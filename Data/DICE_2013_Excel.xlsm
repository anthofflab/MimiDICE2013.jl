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drawings/drawing3.xml" ContentType="application/vnd.openxmlformats-officedocument.drawing+xml"/>
  <Override PartName="/xl/charts/chart19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7670" yWindow="110" windowWidth="7720" windowHeight="8350" tabRatio="713" activeTab="3"/>
  </bookViews>
  <sheets>
    <sheet name="Version notes" sheetId="68" r:id="rId1"/>
    <sheet name="Parameters" sheetId="27" r:id="rId2"/>
    <sheet name="Graphs" sheetId="60" r:id="rId3"/>
    <sheet name="Base" sheetId="48" r:id="rId4"/>
    <sheet name="Opttax" sheetId="62" r:id="rId5"/>
    <sheet name="Limt2" sheetId="63" r:id="rId6"/>
    <sheet name="stern" sheetId="65" r:id="rId7"/>
    <sheet name="sterncalib" sheetId="70" r:id="rId8"/>
    <sheet name="Copen" sheetId="66" r:id="rId9"/>
  </sheets>
  <definedNames>
    <definedName name="Base">Base!$A$1:$BI$154</definedName>
    <definedName name="Copen">Copen!$A$1:$BI$158</definedName>
    <definedName name="LimTwo">Limt2!$A$1:$BI$158</definedName>
    <definedName name="LSGRGeng_RelaxBounds" localSheetId="3" hidden="1">2</definedName>
    <definedName name="LSGRGeng_RelaxBounds" localSheetId="8" hidden="1">2</definedName>
    <definedName name="LSGRGeng_RelaxBounds" localSheetId="5" hidden="1">2</definedName>
    <definedName name="LSGRGeng_RelaxBounds" localSheetId="4" hidden="1">2</definedName>
    <definedName name="LSGRGeng_RelaxBounds" localSheetId="6" hidden="1">2</definedName>
    <definedName name="Optimal">Opttax!$A$1:$BI$158</definedName>
    <definedName name="solver_adj" localSheetId="3" hidden="1">Base!$B$131:$AD$131</definedName>
    <definedName name="solver_adj" localSheetId="8" hidden="1">Copen!$C$133:$Z$133</definedName>
    <definedName name="solver_adj" localSheetId="5" hidden="1">Limt2!$C$133:$U$133</definedName>
    <definedName name="solver_adj" localSheetId="4" hidden="1">Opttax!$C$133:$AN$133</definedName>
    <definedName name="solver_adj" localSheetId="6" hidden="1">stern!$C$133:$K$133</definedName>
    <definedName name="solver_adj" localSheetId="7" hidden="1">sterncalib!$B$132:$AD$132</definedName>
    <definedName name="solver_adj_ob" localSheetId="3" hidden="1">1</definedName>
    <definedName name="solver_adj_ob" localSheetId="8" hidden="1">1</definedName>
    <definedName name="solver_adj_ob" localSheetId="5" hidden="1">1</definedName>
    <definedName name="solver_adj_ob" localSheetId="4" hidden="1">1</definedName>
    <definedName name="solver_adj_ob" localSheetId="6" hidden="1">1</definedName>
    <definedName name="solver_adj_ob" localSheetId="7" hidden="1">1</definedName>
    <definedName name="solver_adj_ob1" localSheetId="3" hidden="1">1</definedName>
    <definedName name="solver_adj_ob1" localSheetId="8" hidden="1">1</definedName>
    <definedName name="solver_adj_ob1" localSheetId="5" hidden="1">1</definedName>
    <definedName name="solver_adj_ob1" localSheetId="4" hidden="1">1</definedName>
    <definedName name="solver_adj_ob1" localSheetId="6" hidden="1">1</definedName>
    <definedName name="solver_adj_ob1" localSheetId="7" hidden="1">1</definedName>
    <definedName name="solver_adj_ob2" localSheetId="3" hidden="1">1</definedName>
    <definedName name="solver_adj_ob2" localSheetId="8" hidden="1">1</definedName>
    <definedName name="solver_adj_ob2" localSheetId="5" hidden="1">1</definedName>
    <definedName name="solver_adj_ob2" localSheetId="4" hidden="1">1</definedName>
    <definedName name="solver_adj_ob2" localSheetId="6" hidden="1">1</definedName>
    <definedName name="solver_adj_ob3" localSheetId="5" hidden="1">1</definedName>
    <definedName name="solver_adj_ob3" localSheetId="4" hidden="1">1</definedName>
    <definedName name="solver_adj_ob3" localSheetId="6" hidden="1">1</definedName>
    <definedName name="solver_adj_ob4" localSheetId="5" hidden="1">1</definedName>
    <definedName name="solver_adj_ob4" localSheetId="4" hidden="1">1</definedName>
    <definedName name="solver_adj_ob5" localSheetId="5" hidden="1">1</definedName>
    <definedName name="solver_adj1" localSheetId="3" hidden="1">Base!$C$132:$Z$132</definedName>
    <definedName name="solver_adj1" localSheetId="8" hidden="1">Copen!$C$133:$Z$133</definedName>
    <definedName name="solver_adj1" localSheetId="5" hidden="1">Limt2!$C$133:$R$133</definedName>
    <definedName name="solver_adj1" localSheetId="4" hidden="1">Opttax!$C$133:$N$133</definedName>
    <definedName name="solver_adj1" localSheetId="6" hidden="1">stern!$C$133:$U$133</definedName>
    <definedName name="solver_adj1" localSheetId="7" hidden="1">sterncalib!$C$133:$K$133</definedName>
    <definedName name="solver_adj2" localSheetId="3" hidden="1">Base!$B$131:$J$131</definedName>
    <definedName name="solver_adj2" localSheetId="8" hidden="1">Copen!$C$132:$AC$132</definedName>
    <definedName name="solver_adj2" localSheetId="5" hidden="1">Limt2!$AA$133:$AH$133</definedName>
    <definedName name="solver_adj2" localSheetId="4" hidden="1">Opttax!$L$133:$Z$133</definedName>
    <definedName name="solver_adj2" localSheetId="6" hidden="1">stern!$C$133:$AC$133</definedName>
    <definedName name="solver_adj3" localSheetId="5" hidden="1">Limt2!$U$133:$AA$133</definedName>
    <definedName name="solver_adj3" localSheetId="4" hidden="1">Opttax!$Y$133:$AN$133</definedName>
    <definedName name="solver_adj3" localSheetId="6" hidden="1">stern!$C$132:$AD$132</definedName>
    <definedName name="solver_adj4" localSheetId="5" hidden="1">Limt2!$C$132:$I$132</definedName>
    <definedName name="solver_adj4" localSheetId="4" hidden="1">Opttax!$B$132:$AD$132</definedName>
    <definedName name="solver_adj5" localSheetId="5" hidden="1">Limt2!$U$133:$X$133</definedName>
    <definedName name="solver_bigm" localSheetId="3" hidden="1">1000000</definedName>
    <definedName name="solver_bnd" localSheetId="3" hidden="1">1</definedName>
    <definedName name="solver_cha" localSheetId="3" hidden="1">0</definedName>
    <definedName name="solver_cha" localSheetId="8" hidden="1">0</definedName>
    <definedName name="solver_cha" localSheetId="5" hidden="1">0</definedName>
    <definedName name="solver_cha" localSheetId="4" hidden="1">0</definedName>
    <definedName name="solver_cha" localSheetId="6" hidden="1">0</definedName>
    <definedName name="solver_cha" localSheetId="7" hidden="1">0</definedName>
    <definedName name="solver_chc1" localSheetId="3" hidden="1">0</definedName>
    <definedName name="solver_chc1" localSheetId="8" hidden="1">0</definedName>
    <definedName name="solver_chc1" localSheetId="5" hidden="1">0</definedName>
    <definedName name="solver_chc1" localSheetId="4" hidden="1">0</definedName>
    <definedName name="solver_chc1" localSheetId="6" hidden="1">0</definedName>
    <definedName name="solver_chc1" localSheetId="7" hidden="1">0</definedName>
    <definedName name="solver_chc2" localSheetId="3" hidden="1">0</definedName>
    <definedName name="solver_chc2" localSheetId="8" hidden="1">0</definedName>
    <definedName name="solver_chc2" localSheetId="5" hidden="1">0</definedName>
    <definedName name="solver_chc2" localSheetId="4" hidden="1">0</definedName>
    <definedName name="solver_chc2" localSheetId="6" hidden="1">0</definedName>
    <definedName name="solver_chc3" localSheetId="3" hidden="1">0</definedName>
    <definedName name="solver_chc3" localSheetId="5" hidden="1">0</definedName>
    <definedName name="solver_chc4" localSheetId="3" hidden="1">0</definedName>
    <definedName name="solver_chc4" localSheetId="5" hidden="1">0</definedName>
    <definedName name="solver_chc5" localSheetId="5" hidden="1">0</definedName>
    <definedName name="solver_chn" localSheetId="3" hidden="1">4</definedName>
    <definedName name="solver_chn" localSheetId="8" hidden="1">4</definedName>
    <definedName name="solver_chn" localSheetId="5" hidden="1">4</definedName>
    <definedName name="solver_chn" localSheetId="4" hidden="1">4</definedName>
    <definedName name="solver_chn" localSheetId="6" hidden="1">4</definedName>
    <definedName name="solver_chn" localSheetId="7" hidden="1">4</definedName>
    <definedName name="solver_chp1" localSheetId="3" hidden="1">0</definedName>
    <definedName name="solver_chp1" localSheetId="8" hidden="1">0</definedName>
    <definedName name="solver_chp1" localSheetId="5" hidden="1">0</definedName>
    <definedName name="solver_chp1" localSheetId="4" hidden="1">0</definedName>
    <definedName name="solver_chp1" localSheetId="6" hidden="1">0</definedName>
    <definedName name="solver_chp1" localSheetId="7" hidden="1">0</definedName>
    <definedName name="solver_chp2" localSheetId="3" hidden="1">0</definedName>
    <definedName name="solver_chp2" localSheetId="8" hidden="1">0</definedName>
    <definedName name="solver_chp2" localSheetId="5" hidden="1">0</definedName>
    <definedName name="solver_chp2" localSheetId="4" hidden="1">0</definedName>
    <definedName name="solver_chp2" localSheetId="6" hidden="1">0</definedName>
    <definedName name="solver_chp3" localSheetId="3" hidden="1">0</definedName>
    <definedName name="solver_chp3" localSheetId="5" hidden="1">0</definedName>
    <definedName name="solver_chp4" localSheetId="3" hidden="1">0</definedName>
    <definedName name="solver_chp4" localSheetId="5" hidden="1">0</definedName>
    <definedName name="solver_chp5" localSheetId="5" hidden="1">0</definedName>
    <definedName name="solver_cht" localSheetId="3" hidden="1">0</definedName>
    <definedName name="solver_cht" localSheetId="8" hidden="1">0</definedName>
    <definedName name="solver_cht" localSheetId="5" hidden="1">0</definedName>
    <definedName name="solver_cht" localSheetId="4" hidden="1">0</definedName>
    <definedName name="solver_cht" localSheetId="6" hidden="1">0</definedName>
    <definedName name="solver_cht" localSheetId="7" hidden="1">0</definedName>
    <definedName name="solver_cir1" localSheetId="3" hidden="1">1</definedName>
    <definedName name="solver_cir1" localSheetId="8" hidden="1">1</definedName>
    <definedName name="solver_cir1" localSheetId="5" hidden="1">1</definedName>
    <definedName name="solver_cir1" localSheetId="4" hidden="1">1</definedName>
    <definedName name="solver_cir1" localSheetId="6" hidden="1">1</definedName>
    <definedName name="solver_cir1" localSheetId="7" hidden="1">1</definedName>
    <definedName name="solver_cir2" localSheetId="3" hidden="1">1</definedName>
    <definedName name="solver_cir2" localSheetId="8" hidden="1">1</definedName>
    <definedName name="solver_cir2" localSheetId="5" hidden="1">1</definedName>
    <definedName name="solver_cir2" localSheetId="4" hidden="1">1</definedName>
    <definedName name="solver_cir2" localSheetId="6" hidden="1">1</definedName>
    <definedName name="solver_cir3" localSheetId="3" hidden="1">1</definedName>
    <definedName name="solver_cir3" localSheetId="5" hidden="1">1</definedName>
    <definedName name="solver_cir4" localSheetId="3" hidden="1">1</definedName>
    <definedName name="solver_cir4" localSheetId="5" hidden="1">1</definedName>
    <definedName name="solver_cir5" localSheetId="5" hidden="1">1</definedName>
    <definedName name="solver_con" localSheetId="3" hidden="1">" "</definedName>
    <definedName name="solver_con" localSheetId="8" hidden="1">" "</definedName>
    <definedName name="solver_con" localSheetId="5" hidden="1">" "</definedName>
    <definedName name="solver_con" localSheetId="4" hidden="1">" "</definedName>
    <definedName name="solver_con" localSheetId="6" hidden="1">" "</definedName>
    <definedName name="solver_con" localSheetId="7" hidden="1">" "</definedName>
    <definedName name="solver_con1" localSheetId="3" hidden="1">" "</definedName>
    <definedName name="solver_con1" localSheetId="8" hidden="1">" "</definedName>
    <definedName name="solver_con1" localSheetId="5" hidden="1">" "</definedName>
    <definedName name="solver_con1" localSheetId="4" hidden="1">" "</definedName>
    <definedName name="solver_con1" localSheetId="6" hidden="1">" "</definedName>
    <definedName name="solver_con1" localSheetId="7" hidden="1">" "</definedName>
    <definedName name="solver_con2" localSheetId="3" hidden="1">" "</definedName>
    <definedName name="solver_con2" localSheetId="8" hidden="1">" "</definedName>
    <definedName name="solver_con2" localSheetId="5" hidden="1">" "</definedName>
    <definedName name="solver_con2" localSheetId="4" hidden="1">" "</definedName>
    <definedName name="solver_con2" localSheetId="6" hidden="1">" "</definedName>
    <definedName name="solver_con3" localSheetId="3" hidden="1">" "</definedName>
    <definedName name="solver_con3" localSheetId="5" hidden="1">" "</definedName>
    <definedName name="solver_con4" localSheetId="3" hidden="1">" "</definedName>
    <definedName name="solver_con4" localSheetId="5" hidden="1">" "</definedName>
    <definedName name="solver_con5" localSheetId="5" hidden="1">" "</definedName>
    <definedName name="solver_corr" hidden="1">1</definedName>
    <definedName name="solver_ctp1" hidden="1">0</definedName>
    <definedName name="solver_ctp2" hidden="1">0</definedName>
    <definedName name="solver_cvg" localSheetId="3" hidden="1">0.0000000001</definedName>
    <definedName name="solver_cvg" localSheetId="8" hidden="1">0.00000000001</definedName>
    <definedName name="solver_cvg" localSheetId="5" hidden="1">0.00000000001</definedName>
    <definedName name="solver_cvg" localSheetId="4" hidden="1">0.0000000001</definedName>
    <definedName name="solver_cvg" localSheetId="1" hidden="1">0.0001</definedName>
    <definedName name="solver_cvg" localSheetId="6" hidden="1">0.0000000001</definedName>
    <definedName name="solver_dia" localSheetId="3" hidden="1">1</definedName>
    <definedName name="solver_dia" localSheetId="8" hidden="1">1</definedName>
    <definedName name="solver_dia" localSheetId="5" hidden="1">1</definedName>
    <definedName name="solver_dia" localSheetId="4" hidden="1">1</definedName>
    <definedName name="solver_dia" localSheetId="1" hidden="1">5</definedName>
    <definedName name="solver_dia" localSheetId="6" hidden="1">1</definedName>
    <definedName name="solver_dia" localSheetId="7" hidden="1">5</definedName>
    <definedName name="solver_disp" hidden="1">0</definedName>
    <definedName name="solver_drv" localSheetId="3" hidden="1">1</definedName>
    <definedName name="solver_drv" localSheetId="8" hidden="1">1</definedName>
    <definedName name="solver_drv" localSheetId="5" hidden="1">2</definedName>
    <definedName name="solver_drv" localSheetId="4" hidden="1">1</definedName>
    <definedName name="solver_drv" localSheetId="1" hidden="1">1</definedName>
    <definedName name="solver_drv" localSheetId="6" hidden="1">1</definedName>
    <definedName name="solver_eng" localSheetId="3" hidden="1">1</definedName>
    <definedName name="solver_eng" localSheetId="8" hidden="1">1</definedName>
    <definedName name="solver_eng" localSheetId="5" hidden="1">1</definedName>
    <definedName name="solver_eng" localSheetId="4" hidden="1">1</definedName>
    <definedName name="solver_eng" localSheetId="6" hidden="1">1</definedName>
    <definedName name="solver_est" localSheetId="3" hidden="1">1</definedName>
    <definedName name="solver_est" localSheetId="8" hidden="1">1</definedName>
    <definedName name="solver_est" localSheetId="5" hidden="1">2</definedName>
    <definedName name="solver_est" localSheetId="4" hidden="1">2</definedName>
    <definedName name="solver_est" localSheetId="1" hidden="1">1</definedName>
    <definedName name="solver_est" localSheetId="6" hidden="1">2</definedName>
    <definedName name="solver_eval" hidden="1">0</definedName>
    <definedName name="solver_glb" localSheetId="3" hidden="1">-1E+30</definedName>
    <definedName name="solver_gub" localSheetId="3" hidden="1">1E+30</definedName>
    <definedName name="solver_iao" localSheetId="3" hidden="1">0</definedName>
    <definedName name="solver_iao" localSheetId="8" hidden="1">0</definedName>
    <definedName name="solver_iao" localSheetId="5" hidden="1">0</definedName>
    <definedName name="solver_iao" localSheetId="4" hidden="1">0</definedName>
    <definedName name="solver_iao" localSheetId="6" hidden="1">0</definedName>
    <definedName name="solver_iao" localSheetId="7" hidden="1">0</definedName>
    <definedName name="solver_inc" localSheetId="3" hidden="1">0</definedName>
    <definedName name="solver_int" localSheetId="3" hidden="1">2</definedName>
    <definedName name="solver_int" localSheetId="8" hidden="1">2</definedName>
    <definedName name="solver_int" localSheetId="5" hidden="1">2</definedName>
    <definedName name="solver_int" localSheetId="4" hidden="1">2</definedName>
    <definedName name="solver_int" localSheetId="1" hidden="1">0</definedName>
    <definedName name="solver_int" localSheetId="6" hidden="1">2</definedName>
    <definedName name="solver_int" localSheetId="7" hidden="1">0</definedName>
    <definedName name="solver_irs" localSheetId="3" hidden="1">0</definedName>
    <definedName name="solver_irs" localSheetId="8" hidden="1">0</definedName>
    <definedName name="solver_irs" localSheetId="5" hidden="1">0</definedName>
    <definedName name="solver_irs" localSheetId="4" hidden="1">0</definedName>
    <definedName name="solver_irs" localSheetId="6" hidden="1">0</definedName>
    <definedName name="solver_irs" localSheetId="7" hidden="1">0</definedName>
    <definedName name="solver_ism" localSheetId="3" hidden="1">0</definedName>
    <definedName name="solver_ism" localSheetId="8" hidden="1">0</definedName>
    <definedName name="solver_ism" localSheetId="5" hidden="1">0</definedName>
    <definedName name="solver_ism" localSheetId="4" hidden="1">0</definedName>
    <definedName name="solver_ism" localSheetId="6" hidden="1">0</definedName>
    <definedName name="solver_ism" localSheetId="7" hidden="1">0</definedName>
    <definedName name="solver_itr" localSheetId="3" hidden="1">1000</definedName>
    <definedName name="solver_itr" localSheetId="8" hidden="1">100</definedName>
    <definedName name="solver_itr" localSheetId="5" hidden="1">100</definedName>
    <definedName name="solver_itr" localSheetId="4" hidden="1">100</definedName>
    <definedName name="solver_itr" localSheetId="1" hidden="1">100</definedName>
    <definedName name="solver_itr" localSheetId="6" hidden="1">100</definedName>
    <definedName name="solver_kiv" localSheetId="3" hidden="1">2E+30</definedName>
    <definedName name="solver_kiv" localSheetId="8" hidden="1">2E+30</definedName>
    <definedName name="solver_kiv" localSheetId="5" hidden="1">2E+30</definedName>
    <definedName name="solver_kiv" localSheetId="4" hidden="1">2E+30</definedName>
    <definedName name="solver_kiv" localSheetId="6" hidden="1">2E+30</definedName>
    <definedName name="solver_lcens" hidden="1">-1E+30</definedName>
    <definedName name="solver_lcut" hidden="1">-1E+30</definedName>
    <definedName name="solver_lhs_ob1" localSheetId="3" hidden="1">0</definedName>
    <definedName name="solver_lhs_ob1" localSheetId="8" hidden="1">0</definedName>
    <definedName name="solver_lhs_ob1" localSheetId="5" hidden="1">0</definedName>
    <definedName name="solver_lhs_ob1" localSheetId="4" hidden="1">0</definedName>
    <definedName name="solver_lhs_ob1" localSheetId="6" hidden="1">0</definedName>
    <definedName name="solver_lhs_ob1" localSheetId="7" hidden="1">0</definedName>
    <definedName name="solver_lhs_ob2" localSheetId="3" hidden="1">0</definedName>
    <definedName name="solver_lhs_ob2" localSheetId="8" hidden="1">0</definedName>
    <definedName name="solver_lhs_ob2" localSheetId="5" hidden="1">0</definedName>
    <definedName name="solver_lhs_ob2" localSheetId="4" hidden="1">0</definedName>
    <definedName name="solver_lhs_ob2" localSheetId="6" hidden="1">0</definedName>
    <definedName name="solver_lhs_ob3" localSheetId="3" hidden="1">0</definedName>
    <definedName name="solver_lhs_ob3" localSheetId="5" hidden="1">0</definedName>
    <definedName name="solver_lhs_ob4" localSheetId="3" hidden="1">0</definedName>
    <definedName name="solver_lhs_ob4" localSheetId="5" hidden="1">0</definedName>
    <definedName name="solver_lhs_ob5" localSheetId="5" hidden="1">0</definedName>
    <definedName name="solver_lhs1" localSheetId="3" hidden="1">Base!$B$131:$BH$131</definedName>
    <definedName name="solver_lhs1" localSheetId="8" hidden="1">Copen!$C$133:$Z$133</definedName>
    <definedName name="solver_lhs1" localSheetId="5" hidden="1">Limt2!$C$133:$AV$133</definedName>
    <definedName name="solver_lhs1" localSheetId="4" hidden="1">Opttax!$C$133:$AN$133</definedName>
    <definedName name="solver_lhs1" localSheetId="6" hidden="1">stern!$C$133:$AC$133</definedName>
    <definedName name="solver_lhs1" localSheetId="7" hidden="1">sterncalib!$C$133:$AI$133</definedName>
    <definedName name="solver_lhs2" localSheetId="3" hidden="1">Base!$B$131:$BH$131</definedName>
    <definedName name="solver_lhs2" localSheetId="8" hidden="1">Copen!$C$133:$Z$133</definedName>
    <definedName name="solver_lhs2" localSheetId="5" hidden="1">Limt2!$C$133:$AN$133</definedName>
    <definedName name="solver_lhs2" localSheetId="4" hidden="1">Opttax!$C$133:$AH$133</definedName>
    <definedName name="solver_lhs2" localSheetId="6" hidden="1">stern!$C$133:$AC$133</definedName>
    <definedName name="solver_lhs3" localSheetId="3" hidden="1">Base!$C$132:$Z$132</definedName>
    <definedName name="solver_lhs3" localSheetId="5" hidden="1">Limt2!$B$100:$BI$100</definedName>
    <definedName name="solver_lhs4" localSheetId="3" hidden="1">Base!$C$132:$Z$132</definedName>
    <definedName name="solver_lhs4" localSheetId="5" hidden="1">Limt2!$B$137:$AB$137</definedName>
    <definedName name="solver_lhs5" localSheetId="5" hidden="1">Limt2!$E$137:$AC$137</definedName>
    <definedName name="solver_lin" localSheetId="3" hidden="1">2</definedName>
    <definedName name="solver_lin" localSheetId="8" hidden="1">2</definedName>
    <definedName name="solver_lin" localSheetId="5" hidden="1">2</definedName>
    <definedName name="solver_lin" localSheetId="4" hidden="1">2</definedName>
    <definedName name="solver_lin" localSheetId="1" hidden="1">2</definedName>
    <definedName name="solver_lin" localSheetId="6" hidden="1">2</definedName>
    <definedName name="solver_log" localSheetId="3" hidden="1">1</definedName>
    <definedName name="solver_lva" localSheetId="3" hidden="1">0</definedName>
    <definedName name="solver_lva" localSheetId="8" hidden="1">0</definedName>
    <definedName name="solver_lva" localSheetId="5" hidden="1">1</definedName>
    <definedName name="solver_lva" localSheetId="4" hidden="1">0</definedName>
    <definedName name="solver_lva" localSheetId="6" hidden="1">0</definedName>
    <definedName name="solver_mda" localSheetId="3" hidden="1">4</definedName>
    <definedName name="solver_mda" localSheetId="8" hidden="1">4</definedName>
    <definedName name="solver_mda" localSheetId="5" hidden="1">4</definedName>
    <definedName name="solver_mda" localSheetId="4" hidden="1">4</definedName>
    <definedName name="solver_mda" localSheetId="1" hidden="1">4</definedName>
    <definedName name="solver_mda" localSheetId="6" hidden="1">4</definedName>
    <definedName name="solver_mda" localSheetId="7" hidden="1">4</definedName>
    <definedName name="solver_mip" localSheetId="3" hidden="1">2147483647</definedName>
    <definedName name="solver_mip" localSheetId="8" hidden="1">2147483647</definedName>
    <definedName name="solver_mip" localSheetId="5" hidden="1">2147483647</definedName>
    <definedName name="solver_mip" localSheetId="4" hidden="1">2147483647</definedName>
    <definedName name="solver_mip" localSheetId="6" hidden="1">2147483647</definedName>
    <definedName name="solver_mni" localSheetId="3" hidden="1">30</definedName>
    <definedName name="solver_mod" localSheetId="3" hidden="1">3</definedName>
    <definedName name="solver_mod" localSheetId="8" hidden="1">1</definedName>
    <definedName name="solver_mod" localSheetId="5" hidden="1">3</definedName>
    <definedName name="solver_mod" localSheetId="4" hidden="1">3</definedName>
    <definedName name="solver_mod" localSheetId="1" hidden="1">3</definedName>
    <definedName name="solver_mod" localSheetId="6" hidden="1">3</definedName>
    <definedName name="solver_mod" localSheetId="7" hidden="1">3</definedName>
    <definedName name="solver_mrt" localSheetId="3" hidden="1">0.075</definedName>
    <definedName name="solver_msl" localSheetId="3" hidden="1">2</definedName>
    <definedName name="solver_msl" localSheetId="8" hidden="1">0</definedName>
    <definedName name="solver_msl" localSheetId="5" hidden="1">0</definedName>
    <definedName name="solver_msl" localSheetId="4" hidden="1">0</definedName>
    <definedName name="solver_msl" localSheetId="6" hidden="1">0</definedName>
    <definedName name="solver_neg" localSheetId="3" hidden="1">2</definedName>
    <definedName name="solver_neg" localSheetId="8" hidden="1">0</definedName>
    <definedName name="solver_neg" localSheetId="5" hidden="1">1</definedName>
    <definedName name="solver_neg" localSheetId="4" hidden="1">0</definedName>
    <definedName name="solver_neg" localSheetId="1" hidden="1">2</definedName>
    <definedName name="solver_neg" localSheetId="6" hidden="1">0</definedName>
    <definedName name="solver_nod" localSheetId="3" hidden="1">2147483647</definedName>
    <definedName name="solver_nod" localSheetId="8" hidden="1">2147483647</definedName>
    <definedName name="solver_nod" localSheetId="5" hidden="1">2147483647</definedName>
    <definedName name="solver_nod" localSheetId="4" hidden="1">2147483647</definedName>
    <definedName name="solver_nod" localSheetId="6" hidden="1">2147483647</definedName>
    <definedName name="solver_nopt" localSheetId="3" hidden="1">1</definedName>
    <definedName name="solver_nsim" hidden="1">1</definedName>
    <definedName name="solver_nsopt" localSheetId="3" hidden="1">-1</definedName>
    <definedName name="solver_nssim" hidden="1">-1</definedName>
    <definedName name="solver_ntr" localSheetId="3" hidden="1">0</definedName>
    <definedName name="solver_ntr" localSheetId="8" hidden="1">0</definedName>
    <definedName name="solver_ntr" localSheetId="5" hidden="1">0</definedName>
    <definedName name="solver_ntr" localSheetId="4" hidden="1">0</definedName>
    <definedName name="solver_ntr" localSheetId="1" hidden="1">0</definedName>
    <definedName name="solver_ntr" localSheetId="6" hidden="1">0</definedName>
    <definedName name="solver_ntr" localSheetId="7" hidden="1">0</definedName>
    <definedName name="solver_ntri" hidden="1">1000</definedName>
    <definedName name="solver_num" localSheetId="3" hidden="1">4</definedName>
    <definedName name="solver_num" localSheetId="8" hidden="1">2</definedName>
    <definedName name="solver_num" localSheetId="5" hidden="1">5</definedName>
    <definedName name="solver_num" localSheetId="4" hidden="1">2</definedName>
    <definedName name="solver_num" localSheetId="1" hidden="1">0</definedName>
    <definedName name="solver_num" localSheetId="6" hidden="1">2</definedName>
    <definedName name="solver_num" localSheetId="7" hidden="1">1</definedName>
    <definedName name="solver_nwt" localSheetId="3" hidden="1">1</definedName>
    <definedName name="solver_nwt" localSheetId="8" hidden="1">1</definedName>
    <definedName name="solver_nwt" localSheetId="5" hidden="1">1</definedName>
    <definedName name="solver_nwt" localSheetId="4" hidden="1">1</definedName>
    <definedName name="solver_nwt" localSheetId="1" hidden="1">1</definedName>
    <definedName name="solver_nwt" localSheetId="6" hidden="1">1</definedName>
    <definedName name="solver_obc" localSheetId="3" hidden="1">0</definedName>
    <definedName name="solver_obc" localSheetId="8" hidden="1">0</definedName>
    <definedName name="solver_obc" localSheetId="5" hidden="1">0</definedName>
    <definedName name="solver_obc" localSheetId="4" hidden="1">0</definedName>
    <definedName name="solver_obc" localSheetId="6" hidden="1">0</definedName>
    <definedName name="solver_obc" localSheetId="7" hidden="1">0</definedName>
    <definedName name="solver_obp" localSheetId="3" hidden="1">0</definedName>
    <definedName name="solver_obp" localSheetId="8" hidden="1">0</definedName>
    <definedName name="solver_obp" localSheetId="5" hidden="1">0</definedName>
    <definedName name="solver_obp" localSheetId="4" hidden="1">0</definedName>
    <definedName name="solver_obp" localSheetId="6" hidden="1">0</definedName>
    <definedName name="solver_obp" localSheetId="7" hidden="1">0</definedName>
    <definedName name="solver_opt" localSheetId="3" hidden="1">Base!$B$129</definedName>
    <definedName name="solver_opt" localSheetId="8" hidden="1">Copen!$B$130</definedName>
    <definedName name="solver_opt" localSheetId="5" hidden="1">Limt2!$B$130</definedName>
    <definedName name="solver_opt" localSheetId="4" hidden="1">Opttax!$B$130</definedName>
    <definedName name="solver_opt" localSheetId="6" hidden="1">stern!$B$130</definedName>
    <definedName name="solver_opt" localSheetId="7" hidden="1">sterncalib!$B$130</definedName>
    <definedName name="solver_opt_ob" localSheetId="3" hidden="1">1</definedName>
    <definedName name="solver_opt_ob" localSheetId="8" hidden="1">1</definedName>
    <definedName name="solver_opt_ob" localSheetId="5" hidden="1">1</definedName>
    <definedName name="solver_opt_ob" localSheetId="4" hidden="1">1</definedName>
    <definedName name="solver_opt_ob" localSheetId="6" hidden="1">1</definedName>
    <definedName name="solver_opt_ob" localSheetId="7" hidden="1">1</definedName>
    <definedName name="solver_pre" localSheetId="3" hidden="1">0.000000001</definedName>
    <definedName name="solver_pre" localSheetId="8" hidden="1">0.000000001</definedName>
    <definedName name="solver_pre" localSheetId="5" hidden="1">0.000000001</definedName>
    <definedName name="solver_pre" localSheetId="4" hidden="1">0.000000001</definedName>
    <definedName name="solver_pre" localSheetId="1" hidden="1">0.000001</definedName>
    <definedName name="solver_pre" localSheetId="6" hidden="1">0.000000001</definedName>
    <definedName name="solver_psi" localSheetId="3" hidden="1">0</definedName>
    <definedName name="solver_psi" localSheetId="8" hidden="1">0</definedName>
    <definedName name="solver_psi" localSheetId="5" hidden="1">0</definedName>
    <definedName name="solver_psi" localSheetId="4" hidden="1">0</definedName>
    <definedName name="solver_psi" localSheetId="6" hidden="1">0</definedName>
    <definedName name="solver_psi" localSheetId="7" hidden="1">0</definedName>
    <definedName name="solver_rbv" localSheetId="3" hidden="1">1</definedName>
    <definedName name="solver_rbv" localSheetId="8" hidden="1">1</definedName>
    <definedName name="solver_rbv" localSheetId="5" hidden="1">1</definedName>
    <definedName name="solver_rbv" localSheetId="4" hidden="1">1</definedName>
    <definedName name="solver_rbv" localSheetId="6" hidden="1">1</definedName>
    <definedName name="solver_rdp" localSheetId="3" hidden="1">0</definedName>
    <definedName name="solver_rdp" localSheetId="8" hidden="1">0</definedName>
    <definedName name="solver_rdp" localSheetId="5" hidden="1">0</definedName>
    <definedName name="solver_rdp" localSheetId="4" hidden="1">0</definedName>
    <definedName name="solver_rdp" localSheetId="6" hidden="1">0</definedName>
    <definedName name="solver_rdp" localSheetId="7" hidden="1">0</definedName>
    <definedName name="solver_rel1" localSheetId="3" hidden="1">3</definedName>
    <definedName name="solver_rel1" localSheetId="8" hidden="1">1</definedName>
    <definedName name="solver_rel1" localSheetId="5" hidden="1">3</definedName>
    <definedName name="solver_rel1" localSheetId="4" hidden="1">1</definedName>
    <definedName name="solver_rel1" localSheetId="6" hidden="1">3</definedName>
    <definedName name="solver_rel1" localSheetId="7" hidden="1">3</definedName>
    <definedName name="solver_rel2" localSheetId="3" hidden="1">1</definedName>
    <definedName name="solver_rel2" localSheetId="8" hidden="1">3</definedName>
    <definedName name="solver_rel2" localSheetId="5" hidden="1">1</definedName>
    <definedName name="solver_rel2" localSheetId="4" hidden="1">3</definedName>
    <definedName name="solver_rel2" localSheetId="6" hidden="1">1</definedName>
    <definedName name="solver_rel3" localSheetId="3" hidden="1">1</definedName>
    <definedName name="solver_rel3" localSheetId="5" hidden="1">1</definedName>
    <definedName name="solver_rel4" localSheetId="3" hidden="1">3</definedName>
    <definedName name="solver_rel4" localSheetId="5" hidden="1">1</definedName>
    <definedName name="solver_rel5" localSheetId="5" hidden="1">3</definedName>
    <definedName name="solver_rep" localSheetId="3" hidden="1">0</definedName>
    <definedName name="solver_rep" localSheetId="8" hidden="1">0</definedName>
    <definedName name="solver_rep" localSheetId="5" hidden="1">0</definedName>
    <definedName name="solver_rep" localSheetId="4" hidden="1">0</definedName>
    <definedName name="solver_rep" localSheetId="6" hidden="1">0</definedName>
    <definedName name="solver_rgen" hidden="1">1</definedName>
    <definedName name="solver_rhs1" localSheetId="3" hidden="1">0.05</definedName>
    <definedName name="solver_rhs1" localSheetId="8" hidden="1">400</definedName>
    <definedName name="solver_rhs1" localSheetId="5" hidden="1">10</definedName>
    <definedName name="solver_rhs1" localSheetId="4" hidden="1">300</definedName>
    <definedName name="solver_rhs1" localSheetId="6" hidden="1">1</definedName>
    <definedName name="solver_rhs1" localSheetId="7" hidden="1">10</definedName>
    <definedName name="solver_rhs2" localSheetId="3" hidden="1">0.5</definedName>
    <definedName name="solver_rhs2" localSheetId="8" hidden="1">1</definedName>
    <definedName name="solver_rhs2" localSheetId="5" hidden="1">400</definedName>
    <definedName name="solver_rhs2" localSheetId="4" hidden="1">1</definedName>
    <definedName name="solver_rhs2" localSheetId="6" hidden="1">300</definedName>
    <definedName name="solver_rhs3" localSheetId="3" hidden="1">400</definedName>
    <definedName name="solver_rhs3" localSheetId="5" hidden="1">2</definedName>
    <definedName name="solver_rhs4" localSheetId="3" hidden="1">1</definedName>
    <definedName name="solver_rhs4" localSheetId="5" hidden="1">1</definedName>
    <definedName name="solver_rhs5" localSheetId="5" hidden="1">0.3</definedName>
    <definedName name="solver_rlx" localSheetId="3" hidden="1">0</definedName>
    <definedName name="solver_rlx" localSheetId="8" hidden="1">0</definedName>
    <definedName name="solver_rlx" localSheetId="5" hidden="1">0</definedName>
    <definedName name="solver_rlx" localSheetId="4" hidden="1">0</definedName>
    <definedName name="solver_rlx" localSheetId="6" hidden="1">0</definedName>
    <definedName name="solver_rlx" localSheetId="7" hidden="1">0</definedName>
    <definedName name="solver_rsd" localSheetId="3" hidden="1">0</definedName>
    <definedName name="solver_rsd" localSheetId="8" hidden="1">0</definedName>
    <definedName name="solver_rsd" localSheetId="5" hidden="1">0</definedName>
    <definedName name="solver_rsd" localSheetId="4" hidden="1">0</definedName>
    <definedName name="solver_rsd" localSheetId="6" hidden="1">0</definedName>
    <definedName name="solver_rsmp" hidden="1">2</definedName>
    <definedName name="solver_rtr" localSheetId="3" hidden="1">0</definedName>
    <definedName name="solver_rtr" localSheetId="8" hidden="1">0</definedName>
    <definedName name="solver_rtr" localSheetId="5" hidden="1">0</definedName>
    <definedName name="solver_rtr" localSheetId="4" hidden="1">0</definedName>
    <definedName name="solver_rtr" localSheetId="6" hidden="1">0</definedName>
    <definedName name="solver_rtr" localSheetId="7" hidden="1">0</definedName>
    <definedName name="solver_rxc1" localSheetId="3" hidden="1">1</definedName>
    <definedName name="solver_rxc1" localSheetId="8" hidden="1">0</definedName>
    <definedName name="solver_rxc1" localSheetId="5" hidden="1">1</definedName>
    <definedName name="solver_rxc1" localSheetId="4" hidden="1">1</definedName>
    <definedName name="solver_rxc1" localSheetId="6" hidden="1">1</definedName>
    <definedName name="solver_rxc1" localSheetId="7" hidden="1">1</definedName>
    <definedName name="solver_rxc2" localSheetId="3" hidden="1">1</definedName>
    <definedName name="solver_rxc2" localSheetId="8" hidden="1">0</definedName>
    <definedName name="solver_rxc2" localSheetId="5" hidden="1">1</definedName>
    <definedName name="solver_rxc2" localSheetId="4" hidden="1">1</definedName>
    <definedName name="solver_rxc2" localSheetId="6" hidden="1">1</definedName>
    <definedName name="solver_rxc3" localSheetId="3" hidden="1">0</definedName>
    <definedName name="solver_rxc3" localSheetId="5" hidden="1">1</definedName>
    <definedName name="solver_rxc4" localSheetId="3" hidden="1">0</definedName>
    <definedName name="solver_rxc4" localSheetId="5" hidden="1">1</definedName>
    <definedName name="solver_rxc5" localSheetId="5" hidden="1">1</definedName>
    <definedName name="solver_rxv" localSheetId="3" hidden="1">1</definedName>
    <definedName name="solver_rxv" localSheetId="8" hidden="1">0</definedName>
    <definedName name="solver_rxv" localSheetId="5" hidden="1">1</definedName>
    <definedName name="solver_rxv" localSheetId="4" hidden="1">1</definedName>
    <definedName name="solver_rxv" localSheetId="6" hidden="1">0</definedName>
    <definedName name="solver_rxv" localSheetId="7" hidden="1">0</definedName>
    <definedName name="solver_rxv1" localSheetId="3" hidden="1">0</definedName>
    <definedName name="solver_rxv1" localSheetId="8" hidden="1">0</definedName>
    <definedName name="solver_rxv1" localSheetId="5" hidden="1">0</definedName>
    <definedName name="solver_rxv1" localSheetId="4" hidden="1">0</definedName>
    <definedName name="solver_rxv1" localSheetId="6" hidden="1">1</definedName>
    <definedName name="solver_rxv1" localSheetId="7" hidden="1">1</definedName>
    <definedName name="solver_rxv2" localSheetId="3" hidden="1">0</definedName>
    <definedName name="solver_rxv2" localSheetId="8" hidden="1">1</definedName>
    <definedName name="solver_rxv2" localSheetId="5" hidden="1">0</definedName>
    <definedName name="solver_rxv2" localSheetId="4" hidden="1">0</definedName>
    <definedName name="solver_rxv2" localSheetId="6" hidden="1">0</definedName>
    <definedName name="solver_rxv3" localSheetId="5" hidden="1">0</definedName>
    <definedName name="solver_rxv3" localSheetId="4" hidden="1">0</definedName>
    <definedName name="solver_rxv3" localSheetId="6" hidden="1">0</definedName>
    <definedName name="solver_rxv4" localSheetId="5" hidden="1">0</definedName>
    <definedName name="solver_rxv4" localSheetId="4" hidden="1">1</definedName>
    <definedName name="solver_rxv5" localSheetId="5" hidden="1">0</definedName>
    <definedName name="solver_scl" localSheetId="3" hidden="1">2</definedName>
    <definedName name="solver_scl" localSheetId="8" hidden="1">0</definedName>
    <definedName name="solver_scl" localSheetId="5" hidden="1">0</definedName>
    <definedName name="solver_scl" localSheetId="4" hidden="1">0</definedName>
    <definedName name="solver_scl" localSheetId="1" hidden="1">2</definedName>
    <definedName name="solver_scl" localSheetId="6" hidden="1">0</definedName>
    <definedName name="solver_seed" hidden="1">0</definedName>
    <definedName name="solver_sel" localSheetId="3" hidden="1">1</definedName>
    <definedName name="solver_sel" localSheetId="8" hidden="1">1</definedName>
    <definedName name="solver_sel" localSheetId="5" hidden="1">1</definedName>
    <definedName name="solver_sel" localSheetId="4" hidden="1">1</definedName>
    <definedName name="solver_sel" localSheetId="6" hidden="1">1</definedName>
    <definedName name="solver_sel" localSheetId="7" hidden="1">1</definedName>
    <definedName name="solver_sho" localSheetId="3" hidden="1">2</definedName>
    <definedName name="solver_sho" localSheetId="8" hidden="1">0</definedName>
    <definedName name="solver_sho" localSheetId="5" hidden="1">0</definedName>
    <definedName name="solver_sho" localSheetId="4" hidden="1">0</definedName>
    <definedName name="solver_sho" localSheetId="1" hidden="1">2</definedName>
    <definedName name="solver_sho" localSheetId="6" hidden="1">0</definedName>
    <definedName name="solver_slv" localSheetId="3" hidden="1">0</definedName>
    <definedName name="solver_slv" localSheetId="8" hidden="1">0</definedName>
    <definedName name="solver_slv" localSheetId="5" hidden="1">0</definedName>
    <definedName name="solver_slv" localSheetId="4" hidden="1">0</definedName>
    <definedName name="solver_slv" localSheetId="1" hidden="1">0</definedName>
    <definedName name="solver_slv" localSheetId="6" hidden="1">0</definedName>
    <definedName name="solver_slv" localSheetId="7" hidden="1">0</definedName>
    <definedName name="solver_slvu" localSheetId="3" hidden="1">0</definedName>
    <definedName name="solver_slvu" localSheetId="8" hidden="1">0</definedName>
    <definedName name="solver_slvu" localSheetId="5" hidden="1">0</definedName>
    <definedName name="solver_slvu" localSheetId="4" hidden="1">0</definedName>
    <definedName name="solver_slvu" localSheetId="1" hidden="1">0</definedName>
    <definedName name="solver_slvu" localSheetId="6" hidden="1">0</definedName>
    <definedName name="solver_slvu" localSheetId="7" hidden="1">0</definedName>
    <definedName name="solver_ssz" localSheetId="3" hidden="1">100</definedName>
    <definedName name="solver_ssz" localSheetId="8" hidden="1">0</definedName>
    <definedName name="solver_ssz" localSheetId="5" hidden="1">0</definedName>
    <definedName name="solver_ssz" localSheetId="4" hidden="1">100</definedName>
    <definedName name="solver_ssz" localSheetId="6" hidden="1">100</definedName>
    <definedName name="solver_strm" hidden="1">0</definedName>
    <definedName name="solver_tim" localSheetId="3" hidden="1">100</definedName>
    <definedName name="solver_tim" localSheetId="8" hidden="1">100</definedName>
    <definedName name="solver_tim" localSheetId="5" hidden="1">1000</definedName>
    <definedName name="solver_tim" localSheetId="4" hidden="1">100</definedName>
    <definedName name="solver_tim" localSheetId="1" hidden="1">100</definedName>
    <definedName name="solver_tim" localSheetId="6" hidden="1">100</definedName>
    <definedName name="solver_tms" localSheetId="3" hidden="1">0</definedName>
    <definedName name="solver_tms" localSheetId="8" hidden="1">0</definedName>
    <definedName name="solver_tms" localSheetId="5" hidden="1">0</definedName>
    <definedName name="solver_tms" localSheetId="4" hidden="1">0</definedName>
    <definedName name="solver_tms" localSheetId="6" hidden="1">0</definedName>
    <definedName name="solver_tol" localSheetId="3" hidden="1">0.05</definedName>
    <definedName name="solver_tol" localSheetId="8" hidden="1">0</definedName>
    <definedName name="solver_tol" localSheetId="5" hidden="1">0.01</definedName>
    <definedName name="solver_tol" localSheetId="4" hidden="1">0.05</definedName>
    <definedName name="solver_tol" localSheetId="1" hidden="1">0.05</definedName>
    <definedName name="solver_tol" localSheetId="6" hidden="1">0.05</definedName>
    <definedName name="solver_tree_a" localSheetId="3" hidden="1">1</definedName>
    <definedName name="solver_tree_b" localSheetId="3" hidden="1">1</definedName>
    <definedName name="solver_tree_ce" localSheetId="3" hidden="1">1</definedName>
    <definedName name="solver_tree_dn" localSheetId="3" hidden="1">1</definedName>
    <definedName name="solver_tree_rt" localSheetId="3" hidden="1">1000000000000</definedName>
    <definedName name="solver_tree_rt" localSheetId="4" hidden="1">1000000000000</definedName>
    <definedName name="solver_typ" localSheetId="3" hidden="1">1</definedName>
    <definedName name="solver_typ" localSheetId="8" hidden="1">1</definedName>
    <definedName name="solver_typ" localSheetId="5" hidden="1">1</definedName>
    <definedName name="solver_typ" localSheetId="4" hidden="1">1</definedName>
    <definedName name="solver_typ" localSheetId="1" hidden="1">2</definedName>
    <definedName name="solver_typ" localSheetId="6" hidden="1">1</definedName>
    <definedName name="solver_typ" localSheetId="7" hidden="1">1</definedName>
    <definedName name="solver_ucens" hidden="1">1E+30</definedName>
    <definedName name="solver_ucut" hidden="1">1E+30</definedName>
    <definedName name="solver_umod" localSheetId="3" hidden="1">1</definedName>
    <definedName name="solver_umod" localSheetId="8" hidden="1">1</definedName>
    <definedName name="solver_umod" localSheetId="5" hidden="1">1</definedName>
    <definedName name="solver_umod" localSheetId="4" hidden="1">1</definedName>
    <definedName name="solver_umod" localSheetId="6" hidden="1">1</definedName>
    <definedName name="solver_umod" localSheetId="7" hidden="1">1</definedName>
    <definedName name="solver_urs" localSheetId="3" hidden="1">0</definedName>
    <definedName name="solver_urs" localSheetId="8" hidden="1">0</definedName>
    <definedName name="solver_urs" localSheetId="5" hidden="1">0</definedName>
    <definedName name="solver_urs" localSheetId="4" hidden="1">0</definedName>
    <definedName name="solver_urs" localSheetId="1" hidden="1">0</definedName>
    <definedName name="solver_urs" localSheetId="6" hidden="1">0</definedName>
    <definedName name="solver_urs" localSheetId="7" hidden="1">0</definedName>
    <definedName name="solver_val" localSheetId="3" hidden="1">0</definedName>
    <definedName name="solver_val" localSheetId="8" hidden="1">0</definedName>
    <definedName name="solver_val" localSheetId="5" hidden="1">0</definedName>
    <definedName name="solver_val" localSheetId="4" hidden="1">0</definedName>
    <definedName name="solver_val" localSheetId="6" hidden="1">0</definedName>
    <definedName name="solver_val" localSheetId="7" hidden="1">0</definedName>
    <definedName name="solver_var" localSheetId="3" hidden="1">" "</definedName>
    <definedName name="solver_var" localSheetId="8" hidden="1">" "</definedName>
    <definedName name="solver_var" localSheetId="5" hidden="1">" "</definedName>
    <definedName name="solver_var" localSheetId="4" hidden="1">" "</definedName>
    <definedName name="solver_var" localSheetId="6" hidden="1">" "</definedName>
    <definedName name="solver_var" localSheetId="7" hidden="1">" "</definedName>
    <definedName name="solver_var1" localSheetId="3" hidden="1">" "</definedName>
    <definedName name="solver_var1" localSheetId="8" hidden="1">" "</definedName>
    <definedName name="solver_var1" localSheetId="5" hidden="1">" "</definedName>
    <definedName name="solver_var1" localSheetId="4" hidden="1">" "</definedName>
    <definedName name="solver_var1" localSheetId="6" hidden="1">" "</definedName>
    <definedName name="solver_var1" localSheetId="7" hidden="1">" "</definedName>
    <definedName name="solver_var2" localSheetId="3" hidden="1">" "</definedName>
    <definedName name="solver_var2" localSheetId="8" hidden="1">" "</definedName>
    <definedName name="solver_var2" localSheetId="5" hidden="1">" "</definedName>
    <definedName name="solver_var2" localSheetId="4" hidden="1">" "</definedName>
    <definedName name="solver_var2" localSheetId="6" hidden="1">" "</definedName>
    <definedName name="solver_var3" localSheetId="5" hidden="1">" "</definedName>
    <definedName name="solver_var3" localSheetId="4" hidden="1">" "</definedName>
    <definedName name="solver_var3" localSheetId="6" hidden="1">" "</definedName>
    <definedName name="solver_var4" localSheetId="5" hidden="1">" "</definedName>
    <definedName name="solver_var4" localSheetId="4" hidden="1">" "</definedName>
    <definedName name="solver_var5" localSheetId="5" hidden="1">" "</definedName>
    <definedName name="solver_ver" localSheetId="3" hidden="1">11</definedName>
    <definedName name="solver_ver" localSheetId="8" hidden="1">11</definedName>
    <definedName name="solver_ver" localSheetId="5" hidden="1">11</definedName>
    <definedName name="solver_ver" localSheetId="4" hidden="1">11</definedName>
    <definedName name="solver_ver" localSheetId="1" hidden="1">9</definedName>
    <definedName name="solver_ver" localSheetId="6" hidden="1">11</definedName>
    <definedName name="solver_ver" localSheetId="7" hidden="1">11</definedName>
    <definedName name="solver_vir" localSheetId="3" hidden="1">1</definedName>
    <definedName name="solver_vir" localSheetId="8" hidden="1">1</definedName>
    <definedName name="solver_vir" localSheetId="5" hidden="1">1</definedName>
    <definedName name="solver_vir" localSheetId="4" hidden="1">1</definedName>
    <definedName name="solver_vir" localSheetId="6" hidden="1">1</definedName>
    <definedName name="solver_vir" localSheetId="7" hidden="1">1</definedName>
    <definedName name="solver_vir1" localSheetId="3" hidden="1">1</definedName>
    <definedName name="solver_vir1" localSheetId="8" hidden="1">1</definedName>
    <definedName name="solver_vir1" localSheetId="5" hidden="1">1</definedName>
    <definedName name="solver_vir1" localSheetId="4" hidden="1">1</definedName>
    <definedName name="solver_vir1" localSheetId="6" hidden="1">1</definedName>
    <definedName name="solver_vir1" localSheetId="7" hidden="1">1</definedName>
    <definedName name="solver_vir2" localSheetId="3" hidden="1">1</definedName>
    <definedName name="solver_vir2" localSheetId="8" hidden="1">1</definedName>
    <definedName name="solver_vir2" localSheetId="5" hidden="1">1</definedName>
    <definedName name="solver_vir2" localSheetId="4" hidden="1">1</definedName>
    <definedName name="solver_vir2" localSheetId="6" hidden="1">1</definedName>
    <definedName name="solver_vir3" localSheetId="5" hidden="1">1</definedName>
    <definedName name="solver_vir3" localSheetId="4" hidden="1">1</definedName>
    <definedName name="solver_vir3" localSheetId="6" hidden="1">1</definedName>
    <definedName name="solver_vir4" localSheetId="5" hidden="1">1</definedName>
    <definedName name="solver_vir4" localSheetId="4" hidden="1">1</definedName>
    <definedName name="solver_vir5" localSheetId="5" hidden="1">1</definedName>
    <definedName name="solver_vol" localSheetId="3" hidden="1">0</definedName>
    <definedName name="solver_vol" localSheetId="8" hidden="1">0</definedName>
    <definedName name="solver_vol" localSheetId="5" hidden="1">0</definedName>
    <definedName name="solver_vol" localSheetId="4" hidden="1">0</definedName>
    <definedName name="solver_vol" localSheetId="6" hidden="1">0</definedName>
    <definedName name="solver_vol" localSheetId="7" hidden="1">0</definedName>
    <definedName name="solver_vst" localSheetId="3" hidden="1">0</definedName>
    <definedName name="solver_vst" localSheetId="8" hidden="1">0</definedName>
    <definedName name="solver_vst" localSheetId="5" hidden="1">0</definedName>
    <definedName name="solver_vst" localSheetId="4" hidden="1">0</definedName>
    <definedName name="solver_vst" localSheetId="6" hidden="1">0</definedName>
    <definedName name="solver_vst" localSheetId="7" hidden="1">0</definedName>
    <definedName name="solver_vst1" localSheetId="3" hidden="1">0</definedName>
    <definedName name="solver_vst1" localSheetId="8" hidden="1">0</definedName>
    <definedName name="solver_vst1" localSheetId="5" hidden="1">0</definedName>
    <definedName name="solver_vst1" localSheetId="4" hidden="1">0</definedName>
    <definedName name="solver_vst1" localSheetId="6" hidden="1">0</definedName>
    <definedName name="solver_vst1" localSheetId="7" hidden="1">0</definedName>
    <definedName name="solver_vst2" localSheetId="3" hidden="1">0</definedName>
    <definedName name="solver_vst2" localSheetId="8" hidden="1">0</definedName>
    <definedName name="solver_vst2" localSheetId="5" hidden="1">0</definedName>
    <definedName name="solver_vst2" localSheetId="4" hidden="1">0</definedName>
    <definedName name="solver_vst2" localSheetId="6" hidden="1">0</definedName>
    <definedName name="solver_vst3" localSheetId="5" hidden="1">0</definedName>
    <definedName name="solver_vst3" localSheetId="4" hidden="1">0</definedName>
    <definedName name="solver_vst3" localSheetId="6" hidden="1">0</definedName>
    <definedName name="solver_vst4" localSheetId="5" hidden="1">0</definedName>
    <definedName name="solver_vst4" localSheetId="4" hidden="1">0</definedName>
    <definedName name="solver_vst5" localSheetId="5" hidden="1">0</definedName>
    <definedName name="solveri_ISpPars_J11" localSheetId="1" hidden="1">"RiskSolver.UI.Charts.InputDlgPars:-1000001;1;1;25;12;50;71;0;90;80;0;0;0;0;"</definedName>
    <definedName name="solveri_ISpPars_J12" localSheetId="1" hidden="1">"RiskSolver.UI.Charts.InputDlgPars:-1000001;1;1;45;12;30;71;0;90;80;0;0;0;0;"</definedName>
    <definedName name="solveri_ISpPars_J14" localSheetId="1" hidden="1">"RiskSolver.UI.Charts.InputDlgPars:-1000001;1;1;25;12;50;71;0;90;80;0;0;0;0;"</definedName>
    <definedName name="solveri_ISpPars_J17" localSheetId="1" hidden="1">"RiskSolver.UI.Charts.InputDlgPars:-1000001;1;1;25;12;50;71;0;90;80;0;0;0;0;"</definedName>
    <definedName name="solveri_ISpPars_J18" localSheetId="1" hidden="1">"RiskSolver.UI.Charts.InputDlgPars:-1000001;1;1;25;12;50;71;0;90;80;0;0;0;0;"</definedName>
    <definedName name="solveri_ISpPars_J21" localSheetId="1" hidden="1">"RiskSolver.UI.Charts.InputDlgPars:-1000001;1;1;25;12;50;71;0;90;80;0;0;0;0;"</definedName>
    <definedName name="solveri_ISpPars_J23" localSheetId="1" hidden="1">"RiskSolver.UI.Charts.InputDlgPars:-1000001;1;1;25;12;50;71;0;90;80;0;0;0;0;"</definedName>
    <definedName name="Stern">stern!$A$1:$BI$158</definedName>
    <definedName name="SternCalib">sterncalib!$A$1:$BI$158</definedName>
  </definedNames>
  <calcPr calcId="145621"/>
</workbook>
</file>

<file path=xl/calcChain.xml><?xml version="1.0" encoding="utf-8"?>
<calcChain xmlns="http://schemas.openxmlformats.org/spreadsheetml/2006/main">
  <c r="B57" i="48" l="1"/>
  <c r="B135" i="66"/>
  <c r="B15" i="65"/>
  <c r="B15" i="70" l="1"/>
  <c r="AE132" i="63" l="1"/>
  <c r="AF132" i="63"/>
  <c r="AG132" i="63"/>
  <c r="AH132" i="63"/>
  <c r="AI132" i="63" s="1"/>
  <c r="AJ132" i="63" s="1"/>
  <c r="AK132" i="63" s="1"/>
  <c r="AL132" i="63" s="1"/>
  <c r="AM132" i="63" s="1"/>
  <c r="AN132" i="63" s="1"/>
  <c r="AO132" i="63" s="1"/>
  <c r="AP132" i="63" s="1"/>
  <c r="AQ132" i="63" s="1"/>
  <c r="AR132" i="63" s="1"/>
  <c r="AS132" i="63" s="1"/>
  <c r="AT132" i="63" s="1"/>
  <c r="AU132" i="63" s="1"/>
  <c r="AV132" i="63" s="1"/>
  <c r="AW132" i="63" s="1"/>
  <c r="AX132" i="63" s="1"/>
  <c r="AY132" i="63" s="1"/>
  <c r="AZ132" i="63" s="1"/>
  <c r="BA132" i="63" s="1"/>
  <c r="BB132" i="63" s="1"/>
  <c r="BC132" i="63" s="1"/>
  <c r="BD132" i="63" s="1"/>
  <c r="BE132" i="63" s="1"/>
  <c r="BF132" i="63" s="1"/>
  <c r="BG132" i="63" s="1"/>
  <c r="BH132" i="63" s="1"/>
  <c r="BI132" i="63" s="1"/>
  <c r="B97" i="48" l="1"/>
  <c r="B8" i="66"/>
  <c r="B7" i="66"/>
  <c r="B8" i="70"/>
  <c r="B7" i="70"/>
  <c r="B8" i="65"/>
  <c r="B7" i="65"/>
  <c r="B8" i="63"/>
  <c r="B7" i="63"/>
  <c r="B8" i="62"/>
  <c r="B7" i="62"/>
  <c r="B9" i="62" s="1"/>
  <c r="B9" i="63" l="1"/>
  <c r="B9" i="70"/>
  <c r="B9" i="65"/>
  <c r="B9" i="66"/>
  <c r="BI137" i="66"/>
  <c r="BH137" i="66"/>
  <c r="BG137" i="66"/>
  <c r="BF137" i="66"/>
  <c r="BE137" i="66"/>
  <c r="BD137" i="66"/>
  <c r="BC137" i="66"/>
  <c r="BB137" i="66"/>
  <c r="BA137" i="66"/>
  <c r="AZ137" i="66"/>
  <c r="AY137" i="66"/>
  <c r="AX137" i="66"/>
  <c r="AW137" i="66"/>
  <c r="AV137" i="66"/>
  <c r="AU137" i="66"/>
  <c r="AT137" i="66"/>
  <c r="AS137" i="66"/>
  <c r="AR137" i="66"/>
  <c r="AQ137" i="66"/>
  <c r="AP137" i="66"/>
  <c r="AO137" i="66"/>
  <c r="AN137" i="66"/>
  <c r="AM137" i="66"/>
  <c r="AL137" i="66"/>
  <c r="AK137" i="66"/>
  <c r="AJ137" i="66"/>
  <c r="AI137" i="66"/>
  <c r="AH137" i="66"/>
  <c r="AG137" i="66"/>
  <c r="AF137" i="66"/>
  <c r="AE137" i="66"/>
  <c r="AD137" i="66"/>
  <c r="AC137" i="66"/>
  <c r="AB137" i="66"/>
  <c r="AA137" i="66"/>
  <c r="Z137" i="66"/>
  <c r="Y137" i="66"/>
  <c r="X137" i="66"/>
  <c r="W137" i="66"/>
  <c r="V137" i="66"/>
  <c r="U137" i="66"/>
  <c r="T137" i="66"/>
  <c r="S137" i="66"/>
  <c r="R137" i="66"/>
  <c r="Q137" i="66"/>
  <c r="P137" i="66"/>
  <c r="O137" i="66"/>
  <c r="N137" i="66"/>
  <c r="M137" i="66"/>
  <c r="L137" i="66"/>
  <c r="K137" i="66"/>
  <c r="J137" i="66"/>
  <c r="I137" i="66"/>
  <c r="H137" i="66"/>
  <c r="G137" i="66"/>
  <c r="F137" i="66"/>
  <c r="E137" i="66"/>
  <c r="D137" i="66"/>
  <c r="C137" i="66"/>
  <c r="BI47" i="66"/>
  <c r="BH47" i="66"/>
  <c r="BG47" i="66"/>
  <c r="BF47" i="66"/>
  <c r="BE47" i="66"/>
  <c r="BD47" i="66"/>
  <c r="BC47" i="66"/>
  <c r="BB47" i="66"/>
  <c r="BA47" i="66"/>
  <c r="AZ47" i="66"/>
  <c r="AY47" i="66"/>
  <c r="AX47" i="66"/>
  <c r="AW47" i="66"/>
  <c r="AV47" i="66"/>
  <c r="AU47" i="66"/>
  <c r="AT47" i="66"/>
  <c r="AS47" i="66"/>
  <c r="AR47" i="66"/>
  <c r="AQ47" i="66"/>
  <c r="AP47" i="66"/>
  <c r="AO47" i="66"/>
  <c r="AN47" i="66"/>
  <c r="AM47" i="66"/>
  <c r="AL47" i="66"/>
  <c r="AK47" i="66"/>
  <c r="AJ47" i="66"/>
  <c r="AI47" i="66"/>
  <c r="AH47" i="66"/>
  <c r="AG47" i="66"/>
  <c r="AF47" i="66"/>
  <c r="AE47" i="66"/>
  <c r="AD47" i="66"/>
  <c r="AC47" i="66"/>
  <c r="AB47" i="66"/>
  <c r="AA47" i="66"/>
  <c r="Z47" i="66"/>
  <c r="Y47" i="66"/>
  <c r="X47" i="66"/>
  <c r="W47" i="66"/>
  <c r="V47" i="66"/>
  <c r="U47" i="66"/>
  <c r="T47" i="66"/>
  <c r="S47" i="66"/>
  <c r="R47" i="66"/>
  <c r="Q47" i="66"/>
  <c r="P47" i="66"/>
  <c r="O47" i="66"/>
  <c r="N47" i="66"/>
  <c r="M47" i="66"/>
  <c r="L47" i="66"/>
  <c r="K47" i="66"/>
  <c r="J47" i="66"/>
  <c r="I47" i="66"/>
  <c r="H47" i="66"/>
  <c r="G47" i="66"/>
  <c r="F47" i="66"/>
  <c r="E47" i="66"/>
  <c r="D47" i="66"/>
  <c r="C47" i="66"/>
  <c r="B47" i="66"/>
  <c r="B50" i="65" l="1"/>
  <c r="B49" i="65"/>
  <c r="B50" i="70"/>
  <c r="B49" i="70"/>
  <c r="BI139" i="66"/>
  <c r="BH139" i="66"/>
  <c r="BG139" i="66"/>
  <c r="BF139" i="66"/>
  <c r="BE139" i="66"/>
  <c r="BD139" i="66"/>
  <c r="BC139" i="66"/>
  <c r="BB139" i="66"/>
  <c r="BA139" i="66"/>
  <c r="AZ139" i="66"/>
  <c r="AY139" i="66"/>
  <c r="AX139" i="66"/>
  <c r="AW139" i="66"/>
  <c r="AV139" i="66"/>
  <c r="AU139" i="66"/>
  <c r="AT139" i="66"/>
  <c r="AS139" i="66"/>
  <c r="AR139" i="66"/>
  <c r="AQ139" i="66"/>
  <c r="AP139" i="66"/>
  <c r="AO139" i="66"/>
  <c r="AN139" i="66"/>
  <c r="AM139" i="66"/>
  <c r="AL139" i="66"/>
  <c r="AK139" i="66"/>
  <c r="AJ139" i="66"/>
  <c r="AI139" i="66"/>
  <c r="AH139" i="66"/>
  <c r="AG139" i="66"/>
  <c r="AF139" i="66"/>
  <c r="AE139" i="66"/>
  <c r="AD139" i="66"/>
  <c r="AC139" i="66"/>
  <c r="AB139" i="66"/>
  <c r="AA139" i="66"/>
  <c r="Z139" i="66"/>
  <c r="Y139" i="66"/>
  <c r="X139" i="66"/>
  <c r="W139" i="66"/>
  <c r="V139" i="66"/>
  <c r="U139" i="66"/>
  <c r="T139" i="66"/>
  <c r="S139" i="66"/>
  <c r="R139" i="66"/>
  <c r="Q139" i="66"/>
  <c r="P139" i="66"/>
  <c r="O139" i="66"/>
  <c r="N139" i="66"/>
  <c r="M139" i="66"/>
  <c r="L139" i="66"/>
  <c r="K139" i="66"/>
  <c r="J139" i="66"/>
  <c r="I139" i="66"/>
  <c r="H139" i="66"/>
  <c r="G139" i="66"/>
  <c r="F139" i="66"/>
  <c r="E139" i="66"/>
  <c r="D139" i="66"/>
  <c r="C139" i="66"/>
  <c r="B49" i="66"/>
  <c r="B50" i="66"/>
  <c r="S131" i="62" l="1"/>
  <c r="R131" i="62"/>
  <c r="Q131" i="62"/>
  <c r="P131" i="62"/>
  <c r="M131" i="62"/>
  <c r="T131" i="62"/>
  <c r="B135" i="70" l="1"/>
  <c r="B135" i="65"/>
  <c r="B135" i="63"/>
  <c r="B134" i="48"/>
  <c r="AE132" i="70" l="1"/>
  <c r="AF132" i="70" s="1"/>
  <c r="AG132" i="70" s="1"/>
  <c r="AH132" i="70" s="1"/>
  <c r="AI132" i="70" s="1"/>
  <c r="AJ132" i="70" s="1"/>
  <c r="AK132" i="70" s="1"/>
  <c r="AL132" i="70" s="1"/>
  <c r="AM132" i="70" s="1"/>
  <c r="AN132" i="70" s="1"/>
  <c r="AO132" i="70" s="1"/>
  <c r="AP132" i="70" s="1"/>
  <c r="AQ132" i="70" s="1"/>
  <c r="AR132" i="70" s="1"/>
  <c r="AS132" i="70" s="1"/>
  <c r="AT132" i="70" s="1"/>
  <c r="AU132" i="70" s="1"/>
  <c r="AV132" i="70" s="1"/>
  <c r="AW132" i="70" s="1"/>
  <c r="AX132" i="70" s="1"/>
  <c r="AY132" i="70" s="1"/>
  <c r="AZ132" i="70" s="1"/>
  <c r="BA132" i="70" s="1"/>
  <c r="BB132" i="70" s="1"/>
  <c r="BC132" i="70" s="1"/>
  <c r="BD132" i="70" s="1"/>
  <c r="BE132" i="70" s="1"/>
  <c r="BF132" i="70" s="1"/>
  <c r="BG132" i="70" s="1"/>
  <c r="BH132" i="70" s="1"/>
  <c r="BI132" i="70" s="1"/>
  <c r="BI135" i="70"/>
  <c r="BH135" i="70"/>
  <c r="BG135" i="70"/>
  <c r="BF135" i="70"/>
  <c r="BE135" i="70"/>
  <c r="BD135" i="70"/>
  <c r="BC135" i="70"/>
  <c r="BB135" i="70"/>
  <c r="BA135" i="70"/>
  <c r="AZ135" i="70"/>
  <c r="AY135" i="70"/>
  <c r="AX135" i="70"/>
  <c r="AW135" i="70"/>
  <c r="AV135" i="70"/>
  <c r="AU135" i="70"/>
  <c r="AT135" i="70"/>
  <c r="AS135" i="70"/>
  <c r="AR135" i="70"/>
  <c r="AQ135" i="70"/>
  <c r="AP135" i="70"/>
  <c r="AO135" i="70"/>
  <c r="AN135" i="70"/>
  <c r="AM135" i="70"/>
  <c r="AL135" i="70"/>
  <c r="AK135" i="70"/>
  <c r="AJ135" i="70"/>
  <c r="AI135" i="70"/>
  <c r="AH135" i="70"/>
  <c r="AG135" i="70"/>
  <c r="AF135" i="70"/>
  <c r="AE135" i="70"/>
  <c r="AD135" i="70"/>
  <c r="AC135" i="70"/>
  <c r="AB135" i="70"/>
  <c r="AA135" i="70"/>
  <c r="Z135" i="70"/>
  <c r="Y135" i="70"/>
  <c r="X135" i="70"/>
  <c r="W135" i="70"/>
  <c r="V135" i="70"/>
  <c r="U135" i="70"/>
  <c r="T135" i="70"/>
  <c r="S135" i="70"/>
  <c r="R135" i="70"/>
  <c r="Q135" i="70"/>
  <c r="P135" i="70"/>
  <c r="O135" i="70"/>
  <c r="N135" i="70"/>
  <c r="M135" i="70"/>
  <c r="L135" i="70"/>
  <c r="K135" i="70"/>
  <c r="J135" i="70"/>
  <c r="I135" i="70"/>
  <c r="H135" i="70"/>
  <c r="G135" i="70"/>
  <c r="F135" i="70"/>
  <c r="E135" i="70"/>
  <c r="D135" i="70"/>
  <c r="C135" i="70"/>
  <c r="C97" i="70"/>
  <c r="B83" i="70"/>
  <c r="B57" i="70"/>
  <c r="BI47" i="70"/>
  <c r="BH47" i="70"/>
  <c r="BG47" i="70"/>
  <c r="BF47" i="70"/>
  <c r="BE47" i="70"/>
  <c r="BD47" i="70"/>
  <c r="BC47" i="70"/>
  <c r="BB47" i="70"/>
  <c r="BA47" i="70"/>
  <c r="AZ47" i="70"/>
  <c r="AY47" i="70"/>
  <c r="AX47" i="70"/>
  <c r="AW47" i="70"/>
  <c r="AV47" i="70"/>
  <c r="AU47" i="70"/>
  <c r="AT47" i="70"/>
  <c r="AS47" i="70"/>
  <c r="AR47" i="70"/>
  <c r="AQ47" i="70"/>
  <c r="AP47" i="70"/>
  <c r="AO47" i="70"/>
  <c r="AN47" i="70"/>
  <c r="AM47" i="70"/>
  <c r="AL47" i="70"/>
  <c r="AK47" i="70"/>
  <c r="AJ47" i="70"/>
  <c r="AI47" i="70"/>
  <c r="AH47" i="70"/>
  <c r="AG47" i="70"/>
  <c r="AF47" i="70"/>
  <c r="AE47" i="70"/>
  <c r="AD47" i="70"/>
  <c r="AC47" i="70"/>
  <c r="AB47" i="70"/>
  <c r="AA47" i="70"/>
  <c r="Z47" i="70"/>
  <c r="Y47" i="70"/>
  <c r="X47" i="70"/>
  <c r="W47" i="70"/>
  <c r="V47" i="70"/>
  <c r="U47" i="70"/>
  <c r="T47" i="70"/>
  <c r="S47" i="70"/>
  <c r="R47" i="70"/>
  <c r="Q47" i="70"/>
  <c r="P47" i="70"/>
  <c r="O47" i="70"/>
  <c r="N47" i="70"/>
  <c r="M47" i="70"/>
  <c r="L47" i="70"/>
  <c r="K47" i="70"/>
  <c r="J47" i="70"/>
  <c r="I47" i="70"/>
  <c r="H47" i="70"/>
  <c r="G47" i="70"/>
  <c r="F47" i="70"/>
  <c r="E47" i="70"/>
  <c r="D47" i="70"/>
  <c r="C47" i="70"/>
  <c r="A47" i="70"/>
  <c r="C43" i="70"/>
  <c r="D43" i="70" s="1"/>
  <c r="E43" i="70" s="1"/>
  <c r="F43" i="70" s="1"/>
  <c r="G43" i="70" s="1"/>
  <c r="H43" i="70" s="1"/>
  <c r="I43" i="70" s="1"/>
  <c r="J43" i="70" s="1"/>
  <c r="K43" i="70" s="1"/>
  <c r="L43" i="70" s="1"/>
  <c r="M43" i="70" s="1"/>
  <c r="N43" i="70" s="1"/>
  <c r="O43" i="70" s="1"/>
  <c r="P43" i="70" s="1"/>
  <c r="Q43" i="70" s="1"/>
  <c r="R43" i="70" s="1"/>
  <c r="S43" i="70" s="1"/>
  <c r="T43" i="70" s="1"/>
  <c r="U43" i="70" s="1"/>
  <c r="V43" i="70" s="1"/>
  <c r="W43" i="70" s="1"/>
  <c r="X43" i="70" s="1"/>
  <c r="Y43" i="70" s="1"/>
  <c r="Z43" i="70" s="1"/>
  <c r="AA43" i="70" s="1"/>
  <c r="AB43" i="70" s="1"/>
  <c r="AC43" i="70" s="1"/>
  <c r="AD43" i="70" s="1"/>
  <c r="AE43" i="70" s="1"/>
  <c r="AF43" i="70" s="1"/>
  <c r="AG43" i="70" s="1"/>
  <c r="AH43" i="70" s="1"/>
  <c r="AI43" i="70" s="1"/>
  <c r="AJ43" i="70" s="1"/>
  <c r="AK43" i="70" s="1"/>
  <c r="AL43" i="70" s="1"/>
  <c r="AM43" i="70" s="1"/>
  <c r="AN43" i="70" s="1"/>
  <c r="AO43" i="70" s="1"/>
  <c r="AP43" i="70" s="1"/>
  <c r="AQ43" i="70" s="1"/>
  <c r="AR43" i="70" s="1"/>
  <c r="AS43" i="70" s="1"/>
  <c r="AT43" i="70" s="1"/>
  <c r="AU43" i="70" s="1"/>
  <c r="AV43" i="70" s="1"/>
  <c r="AW43" i="70" s="1"/>
  <c r="AX43" i="70" s="1"/>
  <c r="AY43" i="70" s="1"/>
  <c r="AZ43" i="70" s="1"/>
  <c r="BA43" i="70" s="1"/>
  <c r="BB43" i="70" s="1"/>
  <c r="BC43" i="70" s="1"/>
  <c r="BD43" i="70" s="1"/>
  <c r="BE43" i="70" s="1"/>
  <c r="BF43" i="70" s="1"/>
  <c r="BG43" i="70" s="1"/>
  <c r="BH43" i="70" s="1"/>
  <c r="BI43" i="70" s="1"/>
  <c r="B35" i="70"/>
  <c r="A30" i="70"/>
  <c r="A29" i="70"/>
  <c r="A28" i="70"/>
  <c r="B18" i="70"/>
  <c r="C15" i="70"/>
  <c r="C120" i="70" s="1"/>
  <c r="B120" i="70"/>
  <c r="D2" i="70"/>
  <c r="E2" i="70" s="1"/>
  <c r="F2" i="70" s="1"/>
  <c r="G2" i="70" s="1"/>
  <c r="H2" i="70" s="1"/>
  <c r="I2" i="70" s="1"/>
  <c r="J2" i="70" s="1"/>
  <c r="K2" i="70" s="1"/>
  <c r="L2" i="70" s="1"/>
  <c r="M2" i="70" s="1"/>
  <c r="N2" i="70" s="1"/>
  <c r="O2" i="70" s="1"/>
  <c r="P2" i="70" s="1"/>
  <c r="Q2" i="70" s="1"/>
  <c r="R2" i="70" s="1"/>
  <c r="S2" i="70" s="1"/>
  <c r="T2" i="70" s="1"/>
  <c r="U2" i="70" s="1"/>
  <c r="V2" i="70" s="1"/>
  <c r="W2" i="70" s="1"/>
  <c r="X2" i="70" s="1"/>
  <c r="Y2" i="70" s="1"/>
  <c r="Z2" i="70" s="1"/>
  <c r="AA2" i="70" s="1"/>
  <c r="AB2" i="70" s="1"/>
  <c r="AC2" i="70" s="1"/>
  <c r="AD2" i="70" s="1"/>
  <c r="AE2" i="70" s="1"/>
  <c r="AF2" i="70" s="1"/>
  <c r="AG2" i="70" s="1"/>
  <c r="AH2" i="70" s="1"/>
  <c r="AI2" i="70" s="1"/>
  <c r="AJ2" i="70" s="1"/>
  <c r="AK2" i="70" s="1"/>
  <c r="AL2" i="70" s="1"/>
  <c r="AM2" i="70" s="1"/>
  <c r="AN2" i="70" s="1"/>
  <c r="AO2" i="70" s="1"/>
  <c r="AP2" i="70" s="1"/>
  <c r="AQ2" i="70" s="1"/>
  <c r="AR2" i="70" s="1"/>
  <c r="AS2" i="70" s="1"/>
  <c r="AT2" i="70" s="1"/>
  <c r="AU2" i="70" s="1"/>
  <c r="AV2" i="70" s="1"/>
  <c r="AW2" i="70" s="1"/>
  <c r="AX2" i="70" s="1"/>
  <c r="AY2" i="70" s="1"/>
  <c r="AZ2" i="70" s="1"/>
  <c r="BA2" i="70" s="1"/>
  <c r="BB2" i="70" s="1"/>
  <c r="BC2" i="70" s="1"/>
  <c r="BD2" i="70" s="1"/>
  <c r="BE2" i="70" s="1"/>
  <c r="BF2" i="70" s="1"/>
  <c r="BG2" i="70" s="1"/>
  <c r="BH2" i="70" s="1"/>
  <c r="BI2" i="70" s="1"/>
  <c r="C2" i="70"/>
  <c r="AO1" i="70"/>
  <c r="AP1" i="70" s="1"/>
  <c r="AQ1" i="70" s="1"/>
  <c r="AR1" i="70" s="1"/>
  <c r="AS1" i="70" s="1"/>
  <c r="AT1" i="70" s="1"/>
  <c r="AU1" i="70" s="1"/>
  <c r="AV1" i="70" s="1"/>
  <c r="AW1" i="70" s="1"/>
  <c r="AX1" i="70" s="1"/>
  <c r="AY1" i="70" s="1"/>
  <c r="AZ1" i="70" s="1"/>
  <c r="BA1" i="70" s="1"/>
  <c r="BB1" i="70" s="1"/>
  <c r="BC1" i="70" s="1"/>
  <c r="BD1" i="70" s="1"/>
  <c r="BE1" i="70" s="1"/>
  <c r="BF1" i="70" s="1"/>
  <c r="BG1" i="70" s="1"/>
  <c r="BH1" i="70" s="1"/>
  <c r="BI1" i="70" s="1"/>
  <c r="D15" i="70" l="1"/>
  <c r="C18" i="70"/>
  <c r="D97" i="70"/>
  <c r="B83" i="66"/>
  <c r="B57" i="66"/>
  <c r="C43" i="66"/>
  <c r="D43" i="66" s="1"/>
  <c r="E43" i="66" s="1"/>
  <c r="F43" i="66" s="1"/>
  <c r="G43" i="66" s="1"/>
  <c r="H43" i="66" s="1"/>
  <c r="I43" i="66" s="1"/>
  <c r="J43" i="66" s="1"/>
  <c r="K43" i="66" s="1"/>
  <c r="L43" i="66" s="1"/>
  <c r="M43" i="66" s="1"/>
  <c r="N43" i="66" s="1"/>
  <c r="O43" i="66" s="1"/>
  <c r="P43" i="66" s="1"/>
  <c r="Q43" i="66" s="1"/>
  <c r="R43" i="66" s="1"/>
  <c r="S43" i="66" s="1"/>
  <c r="T43" i="66" s="1"/>
  <c r="U43" i="66" s="1"/>
  <c r="V43" i="66" s="1"/>
  <c r="W43" i="66" s="1"/>
  <c r="X43" i="66" s="1"/>
  <c r="Y43" i="66" s="1"/>
  <c r="Z43" i="66" s="1"/>
  <c r="AA43" i="66" s="1"/>
  <c r="AB43" i="66" s="1"/>
  <c r="AC43" i="66" s="1"/>
  <c r="AD43" i="66" s="1"/>
  <c r="AE43" i="66" s="1"/>
  <c r="AF43" i="66" s="1"/>
  <c r="AG43" i="66" s="1"/>
  <c r="AH43" i="66" s="1"/>
  <c r="AI43" i="66" s="1"/>
  <c r="AJ43" i="66" s="1"/>
  <c r="AK43" i="66" s="1"/>
  <c r="AL43" i="66" s="1"/>
  <c r="AM43" i="66" s="1"/>
  <c r="AN43" i="66" s="1"/>
  <c r="AO43" i="66" s="1"/>
  <c r="AP43" i="66" s="1"/>
  <c r="AQ43" i="66" s="1"/>
  <c r="AR43" i="66" s="1"/>
  <c r="AS43" i="66" s="1"/>
  <c r="AT43" i="66" s="1"/>
  <c r="AU43" i="66" s="1"/>
  <c r="AV43" i="66" s="1"/>
  <c r="AW43" i="66" s="1"/>
  <c r="AX43" i="66" s="1"/>
  <c r="AY43" i="66" s="1"/>
  <c r="AZ43" i="66" s="1"/>
  <c r="BA43" i="66" s="1"/>
  <c r="BB43" i="66" s="1"/>
  <c r="BC43" i="66" s="1"/>
  <c r="BD43" i="66" s="1"/>
  <c r="BE43" i="66" s="1"/>
  <c r="BF43" i="66" s="1"/>
  <c r="BG43" i="66" s="1"/>
  <c r="BH43" i="66" s="1"/>
  <c r="BI43" i="66" s="1"/>
  <c r="B35" i="66"/>
  <c r="A30" i="66"/>
  <c r="A29" i="66"/>
  <c r="A28" i="66"/>
  <c r="B18" i="66"/>
  <c r="B83" i="65"/>
  <c r="B57" i="65"/>
  <c r="BI47" i="65"/>
  <c r="BH47" i="65"/>
  <c r="BG47" i="65"/>
  <c r="BF47" i="65"/>
  <c r="BE47" i="65"/>
  <c r="BD47" i="65"/>
  <c r="BC47" i="65"/>
  <c r="BB47" i="65"/>
  <c r="BA47" i="65"/>
  <c r="AZ47" i="65"/>
  <c r="AY47" i="65"/>
  <c r="AX47" i="65"/>
  <c r="AW47" i="65"/>
  <c r="AV47" i="65"/>
  <c r="AU47" i="65"/>
  <c r="AT47" i="65"/>
  <c r="AS47" i="65"/>
  <c r="AR47" i="65"/>
  <c r="AQ47" i="65"/>
  <c r="AP47" i="65"/>
  <c r="AO47" i="65"/>
  <c r="AN47" i="65"/>
  <c r="AM47" i="65"/>
  <c r="AL47" i="65"/>
  <c r="AK47" i="65"/>
  <c r="AJ47" i="65"/>
  <c r="AI47" i="65"/>
  <c r="AH47" i="65"/>
  <c r="AG47" i="65"/>
  <c r="AF47" i="65"/>
  <c r="AE47" i="65"/>
  <c r="AD47" i="65"/>
  <c r="AC47" i="65"/>
  <c r="AB47" i="65"/>
  <c r="AA47" i="65"/>
  <c r="Z47" i="65"/>
  <c r="Y47" i="65"/>
  <c r="X47" i="65"/>
  <c r="W47" i="65"/>
  <c r="V47" i="65"/>
  <c r="U47" i="65"/>
  <c r="T47" i="65"/>
  <c r="S47" i="65"/>
  <c r="R47" i="65"/>
  <c r="Q47" i="65"/>
  <c r="P47" i="65"/>
  <c r="O47" i="65"/>
  <c r="N47" i="65"/>
  <c r="M47" i="65"/>
  <c r="L47" i="65"/>
  <c r="K47" i="65"/>
  <c r="J47" i="65"/>
  <c r="I47" i="65"/>
  <c r="H47" i="65"/>
  <c r="G47" i="65"/>
  <c r="F47" i="65"/>
  <c r="E47" i="65"/>
  <c r="D47" i="65"/>
  <c r="C47" i="65"/>
  <c r="A47" i="65"/>
  <c r="C43" i="65"/>
  <c r="D43" i="65" s="1"/>
  <c r="E43" i="65" s="1"/>
  <c r="F43" i="65" s="1"/>
  <c r="G43" i="65" s="1"/>
  <c r="H43" i="65" s="1"/>
  <c r="I43" i="65" s="1"/>
  <c r="J43" i="65" s="1"/>
  <c r="K43" i="65" s="1"/>
  <c r="L43" i="65" s="1"/>
  <c r="M43" i="65" s="1"/>
  <c r="N43" i="65" s="1"/>
  <c r="O43" i="65" s="1"/>
  <c r="P43" i="65" s="1"/>
  <c r="Q43" i="65" s="1"/>
  <c r="R43" i="65" s="1"/>
  <c r="S43" i="65" s="1"/>
  <c r="T43" i="65" s="1"/>
  <c r="U43" i="65" s="1"/>
  <c r="V43" i="65" s="1"/>
  <c r="W43" i="65" s="1"/>
  <c r="X43" i="65" s="1"/>
  <c r="Y43" i="65" s="1"/>
  <c r="Z43" i="65" s="1"/>
  <c r="AA43" i="65" s="1"/>
  <c r="AB43" i="65" s="1"/>
  <c r="AC43" i="65" s="1"/>
  <c r="AD43" i="65" s="1"/>
  <c r="AE43" i="65" s="1"/>
  <c r="AF43" i="65" s="1"/>
  <c r="AG43" i="65" s="1"/>
  <c r="AH43" i="65" s="1"/>
  <c r="AI43" i="65" s="1"/>
  <c r="AJ43" i="65" s="1"/>
  <c r="AK43" i="65" s="1"/>
  <c r="AL43" i="65" s="1"/>
  <c r="AM43" i="65" s="1"/>
  <c r="AN43" i="65" s="1"/>
  <c r="AO43" i="65" s="1"/>
  <c r="AP43" i="65" s="1"/>
  <c r="AQ43" i="65" s="1"/>
  <c r="AR43" i="65" s="1"/>
  <c r="AS43" i="65" s="1"/>
  <c r="AT43" i="65" s="1"/>
  <c r="AU43" i="65" s="1"/>
  <c r="AV43" i="65" s="1"/>
  <c r="AW43" i="65" s="1"/>
  <c r="AX43" i="65" s="1"/>
  <c r="AY43" i="65" s="1"/>
  <c r="AZ43" i="65" s="1"/>
  <c r="BA43" i="65" s="1"/>
  <c r="BB43" i="65" s="1"/>
  <c r="BC43" i="65" s="1"/>
  <c r="BD43" i="65" s="1"/>
  <c r="BE43" i="65" s="1"/>
  <c r="BF43" i="65" s="1"/>
  <c r="BG43" i="65" s="1"/>
  <c r="BH43" i="65" s="1"/>
  <c r="BI43" i="65" s="1"/>
  <c r="B35" i="65"/>
  <c r="A30" i="65"/>
  <c r="A29" i="65"/>
  <c r="A28" i="65"/>
  <c r="B18" i="65"/>
  <c r="C15" i="65"/>
  <c r="D15" i="65" s="1"/>
  <c r="E15" i="65" s="1"/>
  <c r="F15" i="65" s="1"/>
  <c r="G15" i="65" s="1"/>
  <c r="H15" i="65" s="1"/>
  <c r="I15" i="65" s="1"/>
  <c r="J15" i="65" s="1"/>
  <c r="K15" i="65" s="1"/>
  <c r="L15" i="65" s="1"/>
  <c r="M15" i="65" s="1"/>
  <c r="N15" i="65" s="1"/>
  <c r="O15" i="65" s="1"/>
  <c r="P15" i="65" s="1"/>
  <c r="Q15" i="65" s="1"/>
  <c r="R15" i="65" s="1"/>
  <c r="S15" i="65" s="1"/>
  <c r="T15" i="65" s="1"/>
  <c r="U15" i="65" s="1"/>
  <c r="V15" i="65" s="1"/>
  <c r="W15" i="65" s="1"/>
  <c r="X15" i="65" s="1"/>
  <c r="Y15" i="65" s="1"/>
  <c r="Z15" i="65" s="1"/>
  <c r="AA15" i="65" s="1"/>
  <c r="AB15" i="65" s="1"/>
  <c r="AC15" i="65" s="1"/>
  <c r="AD15" i="65" s="1"/>
  <c r="AE15" i="65" s="1"/>
  <c r="AF15" i="65" s="1"/>
  <c r="AG15" i="65" s="1"/>
  <c r="AH15" i="65" s="1"/>
  <c r="AI15" i="65" s="1"/>
  <c r="AJ15" i="65" s="1"/>
  <c r="AK15" i="65" s="1"/>
  <c r="AL15" i="65" s="1"/>
  <c r="AM15" i="65" s="1"/>
  <c r="AN15" i="65" s="1"/>
  <c r="AO15" i="65" s="1"/>
  <c r="AP15" i="65" s="1"/>
  <c r="AQ15" i="65" s="1"/>
  <c r="AR15" i="65" s="1"/>
  <c r="AS15" i="65" s="1"/>
  <c r="AT15" i="65" s="1"/>
  <c r="AU15" i="65" s="1"/>
  <c r="AV15" i="65" s="1"/>
  <c r="AW15" i="65" s="1"/>
  <c r="AX15" i="65" s="1"/>
  <c r="AY15" i="65" s="1"/>
  <c r="AZ15" i="65" s="1"/>
  <c r="BA15" i="65" s="1"/>
  <c r="BB15" i="65" s="1"/>
  <c r="BC15" i="65" s="1"/>
  <c r="BD15" i="65" s="1"/>
  <c r="BE15" i="65" s="1"/>
  <c r="BF15" i="65" s="1"/>
  <c r="BG15" i="65" s="1"/>
  <c r="BH15" i="65" s="1"/>
  <c r="BI15" i="65" s="1"/>
  <c r="D120" i="70" l="1"/>
  <c r="E15" i="70"/>
  <c r="E97" i="70"/>
  <c r="D153" i="70"/>
  <c r="D18" i="70"/>
  <c r="C153" i="70"/>
  <c r="B83" i="63"/>
  <c r="B57" i="63"/>
  <c r="B50" i="63"/>
  <c r="B49" i="63"/>
  <c r="BI47" i="63"/>
  <c r="BH47" i="63"/>
  <c r="BG47" i="63"/>
  <c r="BF47" i="63"/>
  <c r="BE47" i="63"/>
  <c r="BD47" i="63"/>
  <c r="BC47" i="63"/>
  <c r="BB47" i="63"/>
  <c r="BA47" i="63"/>
  <c r="AZ47" i="63"/>
  <c r="AY47" i="63"/>
  <c r="AX47" i="63"/>
  <c r="AW47" i="63"/>
  <c r="AV47" i="63"/>
  <c r="AU47" i="63"/>
  <c r="AT47" i="63"/>
  <c r="AS47" i="63"/>
  <c r="AR47" i="63"/>
  <c r="AQ47" i="63"/>
  <c r="AP47" i="63"/>
  <c r="AO47" i="63"/>
  <c r="AN47" i="63"/>
  <c r="AM47" i="63"/>
  <c r="AL47" i="63"/>
  <c r="AK47" i="63"/>
  <c r="AJ47" i="63"/>
  <c r="AI47" i="63"/>
  <c r="AH47" i="63"/>
  <c r="AG47" i="63"/>
  <c r="AF47" i="63"/>
  <c r="AE47" i="63"/>
  <c r="AD47" i="63"/>
  <c r="AC47" i="63"/>
  <c r="AB47" i="63"/>
  <c r="AA47" i="63"/>
  <c r="Z47" i="63"/>
  <c r="Y47" i="63"/>
  <c r="X47" i="63"/>
  <c r="W47" i="63"/>
  <c r="V47" i="63"/>
  <c r="U47" i="63"/>
  <c r="T47" i="63"/>
  <c r="S47" i="63"/>
  <c r="R47" i="63"/>
  <c r="Q47" i="63"/>
  <c r="P47" i="63"/>
  <c r="O47" i="63"/>
  <c r="N47" i="63"/>
  <c r="M47" i="63"/>
  <c r="L47" i="63"/>
  <c r="K47" i="63"/>
  <c r="J47" i="63"/>
  <c r="I47" i="63"/>
  <c r="H47" i="63"/>
  <c r="G47" i="63"/>
  <c r="F47" i="63"/>
  <c r="E47" i="63"/>
  <c r="D47" i="63"/>
  <c r="C47" i="63"/>
  <c r="A47" i="63"/>
  <c r="C43" i="63"/>
  <c r="D43" i="63" s="1"/>
  <c r="E43" i="63" s="1"/>
  <c r="F43" i="63" s="1"/>
  <c r="G43" i="63" s="1"/>
  <c r="H43" i="63" s="1"/>
  <c r="I43" i="63" s="1"/>
  <c r="J43" i="63" s="1"/>
  <c r="K43" i="63" s="1"/>
  <c r="L43" i="63" s="1"/>
  <c r="M43" i="63" s="1"/>
  <c r="N43" i="63" s="1"/>
  <c r="O43" i="63" s="1"/>
  <c r="P43" i="63" s="1"/>
  <c r="Q43" i="63" s="1"/>
  <c r="R43" i="63" s="1"/>
  <c r="S43" i="63" s="1"/>
  <c r="T43" i="63" s="1"/>
  <c r="U43" i="63" s="1"/>
  <c r="V43" i="63" s="1"/>
  <c r="W43" i="63" s="1"/>
  <c r="X43" i="63" s="1"/>
  <c r="Y43" i="63" s="1"/>
  <c r="Z43" i="63" s="1"/>
  <c r="AA43" i="63" s="1"/>
  <c r="AB43" i="63" s="1"/>
  <c r="AC43" i="63" s="1"/>
  <c r="AD43" i="63" s="1"/>
  <c r="AE43" i="63" s="1"/>
  <c r="AF43" i="63" s="1"/>
  <c r="AG43" i="63" s="1"/>
  <c r="AH43" i="63" s="1"/>
  <c r="AI43" i="63" s="1"/>
  <c r="AJ43" i="63" s="1"/>
  <c r="AK43" i="63" s="1"/>
  <c r="AL43" i="63" s="1"/>
  <c r="AM43" i="63" s="1"/>
  <c r="AN43" i="63" s="1"/>
  <c r="AO43" i="63" s="1"/>
  <c r="AP43" i="63" s="1"/>
  <c r="AQ43" i="63" s="1"/>
  <c r="AR43" i="63" s="1"/>
  <c r="AS43" i="63" s="1"/>
  <c r="AT43" i="63" s="1"/>
  <c r="AU43" i="63" s="1"/>
  <c r="AV43" i="63" s="1"/>
  <c r="AW43" i="63" s="1"/>
  <c r="AX43" i="63" s="1"/>
  <c r="AY43" i="63" s="1"/>
  <c r="AZ43" i="63" s="1"/>
  <c r="BA43" i="63" s="1"/>
  <c r="BB43" i="63" s="1"/>
  <c r="BC43" i="63" s="1"/>
  <c r="BD43" i="63" s="1"/>
  <c r="BE43" i="63" s="1"/>
  <c r="BF43" i="63" s="1"/>
  <c r="BG43" i="63" s="1"/>
  <c r="BH43" i="63" s="1"/>
  <c r="BI43" i="63" s="1"/>
  <c r="B35" i="63"/>
  <c r="A30" i="63"/>
  <c r="A29" i="63"/>
  <c r="A28" i="63"/>
  <c r="B18" i="63"/>
  <c r="B83" i="62"/>
  <c r="B57" i="62"/>
  <c r="B35" i="62"/>
  <c r="B18" i="62"/>
  <c r="E18" i="70" l="1"/>
  <c r="F97" i="70"/>
  <c r="E120" i="70"/>
  <c r="F15" i="70"/>
  <c r="BI134" i="48"/>
  <c r="BH134" i="48"/>
  <c r="BG134" i="48"/>
  <c r="BF134" i="48"/>
  <c r="BE134" i="48"/>
  <c r="BD134" i="48"/>
  <c r="BC134" i="48"/>
  <c r="BB134" i="48"/>
  <c r="BA134" i="48"/>
  <c r="AZ134" i="48"/>
  <c r="AY134" i="48"/>
  <c r="AX134" i="48"/>
  <c r="AW134" i="48"/>
  <c r="AV134" i="48"/>
  <c r="AU134" i="48"/>
  <c r="AT134" i="48"/>
  <c r="AS134" i="48"/>
  <c r="AR134" i="48"/>
  <c r="AQ134" i="48"/>
  <c r="AP134" i="48"/>
  <c r="AO134" i="48"/>
  <c r="AN134" i="48"/>
  <c r="AM134" i="48"/>
  <c r="AL134" i="48"/>
  <c r="AK134" i="48"/>
  <c r="AJ134" i="48"/>
  <c r="AI134" i="48"/>
  <c r="AH134" i="48"/>
  <c r="AG134" i="48"/>
  <c r="AF134" i="48"/>
  <c r="AE134" i="48"/>
  <c r="AD134" i="48"/>
  <c r="AC134" i="48"/>
  <c r="AB134" i="48"/>
  <c r="AA134" i="48"/>
  <c r="Z134" i="48"/>
  <c r="Y134" i="48"/>
  <c r="X134" i="48"/>
  <c r="W134" i="48"/>
  <c r="V134" i="48"/>
  <c r="U134" i="48"/>
  <c r="T134" i="48"/>
  <c r="S134" i="48"/>
  <c r="R134" i="48"/>
  <c r="Q134" i="48"/>
  <c r="P134" i="48"/>
  <c r="O134" i="48"/>
  <c r="N134" i="48"/>
  <c r="M134" i="48"/>
  <c r="L134" i="48"/>
  <c r="K134" i="48"/>
  <c r="J134" i="48"/>
  <c r="I134" i="48"/>
  <c r="H134" i="48"/>
  <c r="G134" i="48"/>
  <c r="F134" i="48"/>
  <c r="E134" i="48"/>
  <c r="D134" i="48"/>
  <c r="C134" i="48"/>
  <c r="B13" i="48"/>
  <c r="B13" i="70" l="1"/>
  <c r="B13" i="65"/>
  <c r="B13" i="66"/>
  <c r="B13" i="62"/>
  <c r="B13" i="63"/>
  <c r="F18" i="70"/>
  <c r="F120" i="70"/>
  <c r="G15" i="70"/>
  <c r="G97" i="70"/>
  <c r="E153" i="70"/>
  <c r="G18" i="70" l="1"/>
  <c r="G120" i="70"/>
  <c r="H15" i="70"/>
  <c r="H97" i="70"/>
  <c r="F153" i="70"/>
  <c r="C97" i="48" l="1"/>
  <c r="H18" i="70"/>
  <c r="H153" i="70" s="1"/>
  <c r="I97" i="70"/>
  <c r="H120" i="70"/>
  <c r="I15" i="70"/>
  <c r="G153" i="70"/>
  <c r="B92" i="62"/>
  <c r="C130" i="62"/>
  <c r="D97" i="48" l="1"/>
  <c r="I120" i="70"/>
  <c r="J15" i="70"/>
  <c r="J97" i="70"/>
  <c r="I18" i="70"/>
  <c r="I153" i="70" s="1"/>
  <c r="B50" i="62"/>
  <c r="B49" i="62"/>
  <c r="E97" i="48" l="1"/>
  <c r="K97" i="70"/>
  <c r="J18" i="70"/>
  <c r="J153" i="70" s="1"/>
  <c r="J120" i="70"/>
  <c r="K15" i="70"/>
  <c r="BI47" i="62"/>
  <c r="BH47" i="62"/>
  <c r="BG47" i="62"/>
  <c r="BF47" i="62"/>
  <c r="BE47" i="62"/>
  <c r="BD47" i="62"/>
  <c r="BC47" i="62"/>
  <c r="BB47" i="62"/>
  <c r="BA47" i="62"/>
  <c r="AZ47" i="62"/>
  <c r="AY47" i="62"/>
  <c r="AX47" i="62"/>
  <c r="AW47" i="62"/>
  <c r="AV47" i="62"/>
  <c r="AU47" i="62"/>
  <c r="AT47" i="62"/>
  <c r="AS47" i="62"/>
  <c r="AR47" i="62"/>
  <c r="AQ47" i="62"/>
  <c r="AP47" i="62"/>
  <c r="AO47" i="62"/>
  <c r="AN47" i="62"/>
  <c r="AM47" i="62"/>
  <c r="AL47" i="62"/>
  <c r="AK47" i="62"/>
  <c r="AJ47" i="62"/>
  <c r="AI47" i="62"/>
  <c r="AH47" i="62"/>
  <c r="AG47" i="62"/>
  <c r="AF47" i="62"/>
  <c r="AE47" i="62"/>
  <c r="AD47" i="62"/>
  <c r="AC47" i="62"/>
  <c r="AB47" i="62"/>
  <c r="AA47" i="62"/>
  <c r="Z47" i="62"/>
  <c r="Y47" i="62"/>
  <c r="X47" i="62"/>
  <c r="W47" i="62"/>
  <c r="V47" i="62"/>
  <c r="U47" i="62"/>
  <c r="T47" i="62"/>
  <c r="S47" i="62"/>
  <c r="R47" i="62"/>
  <c r="Q47" i="62"/>
  <c r="P47" i="62"/>
  <c r="O47" i="62"/>
  <c r="N47" i="62"/>
  <c r="M47" i="62"/>
  <c r="L47" i="62"/>
  <c r="K47" i="62"/>
  <c r="J47" i="62"/>
  <c r="I47" i="62"/>
  <c r="H47" i="62"/>
  <c r="G47" i="62"/>
  <c r="F47" i="62"/>
  <c r="E47" i="62"/>
  <c r="D47" i="62"/>
  <c r="C47" i="62"/>
  <c r="A47" i="62"/>
  <c r="C43" i="62"/>
  <c r="D43" i="62" s="1"/>
  <c r="E43" i="62" s="1"/>
  <c r="F43" i="62" s="1"/>
  <c r="G43" i="62" s="1"/>
  <c r="H43" i="62" s="1"/>
  <c r="I43" i="62" s="1"/>
  <c r="J43" i="62" s="1"/>
  <c r="K43" i="62" s="1"/>
  <c r="L43" i="62" s="1"/>
  <c r="M43" i="62" s="1"/>
  <c r="N43" i="62" s="1"/>
  <c r="O43" i="62" s="1"/>
  <c r="P43" i="62" s="1"/>
  <c r="Q43" i="62" s="1"/>
  <c r="R43" i="62" s="1"/>
  <c r="S43" i="62" s="1"/>
  <c r="T43" i="62" s="1"/>
  <c r="U43" i="62" s="1"/>
  <c r="V43" i="62" s="1"/>
  <c r="W43" i="62" s="1"/>
  <c r="X43" i="62" s="1"/>
  <c r="Y43" i="62" s="1"/>
  <c r="Z43" i="62" s="1"/>
  <c r="AA43" i="62" s="1"/>
  <c r="AB43" i="62" s="1"/>
  <c r="AC43" i="62" s="1"/>
  <c r="AD43" i="62" s="1"/>
  <c r="AE43" i="62" s="1"/>
  <c r="AF43" i="62" s="1"/>
  <c r="AG43" i="62" s="1"/>
  <c r="AH43" i="62" s="1"/>
  <c r="AI43" i="62" s="1"/>
  <c r="AJ43" i="62" s="1"/>
  <c r="AK43" i="62" s="1"/>
  <c r="AL43" i="62" s="1"/>
  <c r="AM43" i="62" s="1"/>
  <c r="AN43" i="62" s="1"/>
  <c r="AO43" i="62" s="1"/>
  <c r="AP43" i="62" s="1"/>
  <c r="AQ43" i="62" s="1"/>
  <c r="AR43" i="62" s="1"/>
  <c r="AS43" i="62" s="1"/>
  <c r="AT43" i="62" s="1"/>
  <c r="AU43" i="62" s="1"/>
  <c r="AV43" i="62" s="1"/>
  <c r="AW43" i="62" s="1"/>
  <c r="AX43" i="62" s="1"/>
  <c r="AY43" i="62" s="1"/>
  <c r="AZ43" i="62" s="1"/>
  <c r="BA43" i="62" s="1"/>
  <c r="BB43" i="62" s="1"/>
  <c r="BC43" i="62" s="1"/>
  <c r="BD43" i="62" s="1"/>
  <c r="BE43" i="62" s="1"/>
  <c r="BF43" i="62" s="1"/>
  <c r="BG43" i="62" s="1"/>
  <c r="BH43" i="62" s="1"/>
  <c r="BI43" i="62" s="1"/>
  <c r="A30" i="62"/>
  <c r="A29" i="62"/>
  <c r="A28" i="62"/>
  <c r="F97" i="48" l="1"/>
  <c r="K18" i="70"/>
  <c r="K120" i="70"/>
  <c r="L15" i="70"/>
  <c r="L97" i="70"/>
  <c r="B92" i="48"/>
  <c r="B92" i="66" l="1"/>
  <c r="C92" i="62"/>
  <c r="B92" i="65"/>
  <c r="B92" i="70"/>
  <c r="B93" i="70" s="1"/>
  <c r="B92" i="63"/>
  <c r="G97" i="48"/>
  <c r="L120" i="70"/>
  <c r="M15" i="70"/>
  <c r="L18" i="70"/>
  <c r="L153" i="70" s="1"/>
  <c r="K153" i="70"/>
  <c r="M97" i="70"/>
  <c r="H97" i="48" l="1"/>
  <c r="N97" i="70"/>
  <c r="M120" i="70"/>
  <c r="N15" i="70"/>
  <c r="M18" i="70"/>
  <c r="F40" i="27"/>
  <c r="E40" i="27"/>
  <c r="D40" i="27"/>
  <c r="C40" i="27"/>
  <c r="I97" i="48" l="1"/>
  <c r="N18" i="70"/>
  <c r="N153" i="70" s="1"/>
  <c r="O97" i="70"/>
  <c r="M153" i="70"/>
  <c r="N120" i="70"/>
  <c r="O15" i="70"/>
  <c r="CV162" i="27"/>
  <c r="CU162" i="27"/>
  <c r="CT162" i="27"/>
  <c r="CS162" i="27"/>
  <c r="CR162" i="27"/>
  <c r="CQ162" i="27"/>
  <c r="CP162" i="27"/>
  <c r="CO162" i="27"/>
  <c r="CN162" i="27"/>
  <c r="CM162" i="27"/>
  <c r="CL162" i="27"/>
  <c r="CK162" i="27"/>
  <c r="CJ162" i="27"/>
  <c r="CI162" i="27"/>
  <c r="CH162" i="27"/>
  <c r="CG162" i="27"/>
  <c r="CF162" i="27"/>
  <c r="CE162" i="27"/>
  <c r="CD162" i="27"/>
  <c r="CC162" i="27"/>
  <c r="CB162" i="27"/>
  <c r="CA162" i="27"/>
  <c r="BZ162" i="27"/>
  <c r="BY162" i="27"/>
  <c r="BX162" i="27"/>
  <c r="BW162" i="27"/>
  <c r="BV162" i="27"/>
  <c r="BU162" i="27"/>
  <c r="BT162" i="27"/>
  <c r="BS162" i="27"/>
  <c r="BR162" i="27"/>
  <c r="BQ162" i="27"/>
  <c r="BP162" i="27"/>
  <c r="BO162" i="27"/>
  <c r="BN162" i="27"/>
  <c r="BM162" i="27"/>
  <c r="BL162" i="27"/>
  <c r="BK162" i="27"/>
  <c r="BJ162" i="27"/>
  <c r="C156" i="27"/>
  <c r="J97" i="48" l="1"/>
  <c r="BS170" i="27"/>
  <c r="BW170" i="27"/>
  <c r="CI170" i="27"/>
  <c r="CM170" i="27"/>
  <c r="BP170" i="27"/>
  <c r="BX170" i="27"/>
  <c r="CF170" i="27"/>
  <c r="CJ170" i="27"/>
  <c r="CR170" i="27"/>
  <c r="CV170" i="27"/>
  <c r="BL170" i="27"/>
  <c r="BT170" i="27"/>
  <c r="CB170" i="27"/>
  <c r="CN170" i="27"/>
  <c r="P97" i="70"/>
  <c r="O18" i="70"/>
  <c r="O153" i="70" s="1"/>
  <c r="O120" i="70"/>
  <c r="P15" i="70"/>
  <c r="BR170" i="27"/>
  <c r="BV170" i="27"/>
  <c r="CH170" i="27"/>
  <c r="CL170" i="27"/>
  <c r="BK170" i="27"/>
  <c r="CA170" i="27"/>
  <c r="CQ170" i="27"/>
  <c r="BQ170" i="27"/>
  <c r="CG170" i="27"/>
  <c r="BN170" i="27"/>
  <c r="BZ170" i="27"/>
  <c r="CD170" i="27"/>
  <c r="CP170" i="27"/>
  <c r="CT170" i="27"/>
  <c r="BO170" i="27"/>
  <c r="CE170" i="27"/>
  <c r="CU170" i="27"/>
  <c r="BM170" i="27"/>
  <c r="BU170" i="27"/>
  <c r="BY170" i="27"/>
  <c r="CC170" i="27"/>
  <c r="CK170" i="27"/>
  <c r="CO170" i="27"/>
  <c r="CS170" i="27"/>
  <c r="D156" i="27"/>
  <c r="E156" i="27" s="1"/>
  <c r="F156" i="27" s="1"/>
  <c r="G156" i="27" s="1"/>
  <c r="H156" i="27" s="1"/>
  <c r="I156" i="27" s="1"/>
  <c r="J156" i="27" s="1"/>
  <c r="K156" i="27" s="1"/>
  <c r="L156" i="27" s="1"/>
  <c r="M156" i="27" s="1"/>
  <c r="N156" i="27" s="1"/>
  <c r="O156" i="27" s="1"/>
  <c r="P156" i="27" s="1"/>
  <c r="Q156" i="27" s="1"/>
  <c r="R156" i="27" s="1"/>
  <c r="S156" i="27" s="1"/>
  <c r="T156" i="27" s="1"/>
  <c r="U156" i="27" s="1"/>
  <c r="V156" i="27" s="1"/>
  <c r="W156" i="27" s="1"/>
  <c r="X156" i="27" s="1"/>
  <c r="Y156" i="27" s="1"/>
  <c r="Z156" i="27" s="1"/>
  <c r="AA156" i="27" s="1"/>
  <c r="AB156" i="27" s="1"/>
  <c r="AC156" i="27" s="1"/>
  <c r="AD156" i="27" s="1"/>
  <c r="AE156" i="27" s="1"/>
  <c r="AF156" i="27" s="1"/>
  <c r="AG156" i="27" s="1"/>
  <c r="AH156" i="27" s="1"/>
  <c r="AI156" i="27" s="1"/>
  <c r="AJ156" i="27" s="1"/>
  <c r="AK156" i="27" s="1"/>
  <c r="AL156" i="27" s="1"/>
  <c r="AM156" i="27" s="1"/>
  <c r="AN156" i="27" s="1"/>
  <c r="AO156" i="27" s="1"/>
  <c r="AP156" i="27" s="1"/>
  <c r="AQ156" i="27" s="1"/>
  <c r="AR156" i="27" s="1"/>
  <c r="AS156" i="27" s="1"/>
  <c r="AT156" i="27" s="1"/>
  <c r="AU156" i="27" s="1"/>
  <c r="AV156" i="27" s="1"/>
  <c r="AW156" i="27" s="1"/>
  <c r="AX156" i="27" s="1"/>
  <c r="AY156" i="27" s="1"/>
  <c r="AZ156" i="27" s="1"/>
  <c r="BA156" i="27" s="1"/>
  <c r="BB156" i="27" s="1"/>
  <c r="BC156" i="27" s="1"/>
  <c r="BD156" i="27" s="1"/>
  <c r="BE156" i="27" s="1"/>
  <c r="BF156" i="27" s="1"/>
  <c r="BG156" i="27" s="1"/>
  <c r="BH156" i="27" s="1"/>
  <c r="BI156" i="27" s="1"/>
  <c r="BJ156" i="27" s="1"/>
  <c r="BK156" i="27" s="1"/>
  <c r="BL156" i="27" s="1"/>
  <c r="BM156" i="27" s="1"/>
  <c r="BN156" i="27" s="1"/>
  <c r="BO156" i="27" s="1"/>
  <c r="BP156" i="27" s="1"/>
  <c r="BQ156" i="27" s="1"/>
  <c r="BR156" i="27" s="1"/>
  <c r="BS156" i="27" s="1"/>
  <c r="BT156" i="27" s="1"/>
  <c r="BU156" i="27" s="1"/>
  <c r="BV156" i="27" s="1"/>
  <c r="BW156" i="27" s="1"/>
  <c r="BX156" i="27" s="1"/>
  <c r="BY156" i="27" s="1"/>
  <c r="BZ156" i="27" s="1"/>
  <c r="CA156" i="27" s="1"/>
  <c r="CB156" i="27" s="1"/>
  <c r="CC156" i="27" s="1"/>
  <c r="CD156" i="27" s="1"/>
  <c r="CE156" i="27" s="1"/>
  <c r="CF156" i="27" s="1"/>
  <c r="CG156" i="27" s="1"/>
  <c r="CH156" i="27" s="1"/>
  <c r="CI156" i="27" s="1"/>
  <c r="CJ156" i="27" s="1"/>
  <c r="CK156" i="27" s="1"/>
  <c r="CL156" i="27" s="1"/>
  <c r="CM156" i="27" s="1"/>
  <c r="CN156" i="27" s="1"/>
  <c r="CO156" i="27" s="1"/>
  <c r="CP156" i="27" s="1"/>
  <c r="CQ156" i="27" s="1"/>
  <c r="CR156" i="27" s="1"/>
  <c r="CS156" i="27" s="1"/>
  <c r="CT156" i="27" s="1"/>
  <c r="CU156" i="27" s="1"/>
  <c r="CV156" i="27" s="1"/>
  <c r="A152" i="27"/>
  <c r="A151" i="27"/>
  <c r="A150" i="27"/>
  <c r="DT104" i="27"/>
  <c r="DS104" i="27"/>
  <c r="DR104" i="27"/>
  <c r="DQ104" i="27"/>
  <c r="DP104" i="27"/>
  <c r="DO104" i="27"/>
  <c r="DN104" i="27"/>
  <c r="DM104" i="27"/>
  <c r="DL104" i="27"/>
  <c r="DK104" i="27"/>
  <c r="DJ104" i="27"/>
  <c r="DI104" i="27"/>
  <c r="DH104" i="27"/>
  <c r="DG104" i="27"/>
  <c r="DF104" i="27"/>
  <c r="DE104" i="27"/>
  <c r="DD104" i="27"/>
  <c r="DC104" i="27"/>
  <c r="DB104" i="27"/>
  <c r="DA104" i="27"/>
  <c r="CZ104" i="27"/>
  <c r="CY104" i="27"/>
  <c r="CX104" i="27"/>
  <c r="CW104" i="27"/>
  <c r="CV104" i="27"/>
  <c r="CU104" i="27"/>
  <c r="CT104" i="27"/>
  <c r="CS104" i="27"/>
  <c r="CR104" i="27"/>
  <c r="CQ104" i="27"/>
  <c r="CP104" i="27"/>
  <c r="CO104" i="27"/>
  <c r="CN104" i="27"/>
  <c r="CM104" i="27"/>
  <c r="CL104" i="27"/>
  <c r="CK104" i="27"/>
  <c r="CJ104" i="27"/>
  <c r="CI104" i="27"/>
  <c r="CH104" i="27"/>
  <c r="CG104" i="27"/>
  <c r="CF104" i="27"/>
  <c r="CE104" i="27"/>
  <c r="CD104" i="27"/>
  <c r="CC104" i="27"/>
  <c r="CB104" i="27"/>
  <c r="CA104" i="27"/>
  <c r="BZ104" i="27"/>
  <c r="BY104" i="27"/>
  <c r="BX104" i="27"/>
  <c r="BW104" i="27"/>
  <c r="BV104" i="27"/>
  <c r="BU104" i="27"/>
  <c r="BT104" i="27"/>
  <c r="BS104" i="27"/>
  <c r="BR104" i="27"/>
  <c r="BQ104" i="27"/>
  <c r="BP104" i="27"/>
  <c r="BO104" i="27"/>
  <c r="BN104" i="27"/>
  <c r="BM104" i="27"/>
  <c r="BL104" i="27"/>
  <c r="BK104" i="27"/>
  <c r="BJ104" i="27"/>
  <c r="AN104" i="27"/>
  <c r="AM104" i="27"/>
  <c r="AL104" i="27"/>
  <c r="AK104" i="27"/>
  <c r="AJ104" i="27"/>
  <c r="AI104" i="27"/>
  <c r="AH104" i="27"/>
  <c r="AG104" i="27"/>
  <c r="AF104" i="27"/>
  <c r="AE104" i="27"/>
  <c r="AD104" i="27"/>
  <c r="AC104" i="27"/>
  <c r="AB104" i="27"/>
  <c r="AA104" i="27"/>
  <c r="Z104" i="27"/>
  <c r="Y104" i="27"/>
  <c r="X104" i="27"/>
  <c r="W104" i="27"/>
  <c r="V104" i="27"/>
  <c r="U104" i="27"/>
  <c r="T104" i="27"/>
  <c r="S104" i="27"/>
  <c r="R104" i="27"/>
  <c r="Q104" i="27"/>
  <c r="P104" i="27"/>
  <c r="O104" i="27"/>
  <c r="N104" i="27"/>
  <c r="M104" i="27"/>
  <c r="L104" i="27"/>
  <c r="K104" i="27"/>
  <c r="J104" i="27"/>
  <c r="I104" i="27"/>
  <c r="H104" i="27"/>
  <c r="G104" i="27"/>
  <c r="F104" i="27"/>
  <c r="E104" i="27"/>
  <c r="D104" i="27"/>
  <c r="C104" i="27"/>
  <c r="B104" i="27"/>
  <c r="K97" i="48" l="1"/>
  <c r="P120" i="70"/>
  <c r="Q15" i="70"/>
  <c r="Q97" i="70"/>
  <c r="P18" i="70"/>
  <c r="P153" i="70" s="1"/>
  <c r="L23" i="48"/>
  <c r="X23" i="48"/>
  <c r="AJ23" i="48"/>
  <c r="I23" i="48"/>
  <c r="Q23" i="48"/>
  <c r="U23" i="48"/>
  <c r="Y23" i="48"/>
  <c r="AC23" i="48"/>
  <c r="AG23" i="48"/>
  <c r="AK23" i="48"/>
  <c r="AO23" i="48"/>
  <c r="D23" i="48"/>
  <c r="P23" i="48"/>
  <c r="AB23" i="48"/>
  <c r="AN23" i="48"/>
  <c r="E23" i="48"/>
  <c r="M23" i="48"/>
  <c r="F23" i="48"/>
  <c r="J23" i="48"/>
  <c r="N23" i="48"/>
  <c r="R23" i="48"/>
  <c r="V23" i="48"/>
  <c r="Z23" i="48"/>
  <c r="AD23" i="48"/>
  <c r="AH23" i="48"/>
  <c r="AL23" i="48"/>
  <c r="H23" i="48"/>
  <c r="T23" i="48"/>
  <c r="AF23" i="48"/>
  <c r="C23" i="48"/>
  <c r="B105" i="27"/>
  <c r="C105" i="27" s="1"/>
  <c r="D105" i="27" s="1"/>
  <c r="E105" i="27" s="1"/>
  <c r="F105" i="27" s="1"/>
  <c r="G23" i="48"/>
  <c r="K23" i="48"/>
  <c r="O23" i="48"/>
  <c r="S23" i="48"/>
  <c r="W23" i="48"/>
  <c r="AA23" i="48"/>
  <c r="AE23" i="48"/>
  <c r="AI23" i="48"/>
  <c r="AM23" i="48"/>
  <c r="L97" i="48" l="1"/>
  <c r="H23" i="70"/>
  <c r="H23" i="66"/>
  <c r="H23" i="65"/>
  <c r="H23" i="63"/>
  <c r="H23" i="62"/>
  <c r="Z23" i="70"/>
  <c r="Z23" i="66"/>
  <c r="Z23" i="65"/>
  <c r="Z23" i="63"/>
  <c r="Z23" i="62"/>
  <c r="J23" i="70"/>
  <c r="J23" i="66"/>
  <c r="J23" i="65"/>
  <c r="J23" i="63"/>
  <c r="J23" i="62"/>
  <c r="AN23" i="70"/>
  <c r="AN23" i="66"/>
  <c r="AN23" i="65"/>
  <c r="AN23" i="63"/>
  <c r="AN23" i="62"/>
  <c r="AO23" i="70"/>
  <c r="AO23" i="66"/>
  <c r="AO23" i="65"/>
  <c r="AO23" i="63"/>
  <c r="AO23" i="62"/>
  <c r="Y23" i="70"/>
  <c r="Y23" i="65"/>
  <c r="Y23" i="66"/>
  <c r="Y23" i="63"/>
  <c r="Y23" i="62"/>
  <c r="AJ23" i="70"/>
  <c r="AJ23" i="66"/>
  <c r="AJ23" i="65"/>
  <c r="AJ23" i="63"/>
  <c r="AJ23" i="62"/>
  <c r="AA23" i="70"/>
  <c r="AA23" i="66"/>
  <c r="AA23" i="65"/>
  <c r="AA23" i="63"/>
  <c r="AA23" i="62"/>
  <c r="AI23" i="70"/>
  <c r="AI23" i="66"/>
  <c r="AI23" i="65"/>
  <c r="AI23" i="63"/>
  <c r="AI23" i="62"/>
  <c r="S23" i="70"/>
  <c r="S23" i="66"/>
  <c r="S23" i="65"/>
  <c r="S23" i="63"/>
  <c r="S23" i="62"/>
  <c r="AE23" i="70"/>
  <c r="AE23" i="66"/>
  <c r="AE23" i="65"/>
  <c r="AE23" i="62"/>
  <c r="AE23" i="63"/>
  <c r="O23" i="70"/>
  <c r="O23" i="66"/>
  <c r="O23" i="65"/>
  <c r="O23" i="62"/>
  <c r="O23" i="63"/>
  <c r="C23" i="70"/>
  <c r="C23" i="66"/>
  <c r="C23" i="65"/>
  <c r="C23" i="63"/>
  <c r="C23" i="62"/>
  <c r="AL23" i="70"/>
  <c r="AL23" i="66"/>
  <c r="AL23" i="65"/>
  <c r="AL23" i="63"/>
  <c r="AL23" i="62"/>
  <c r="V23" i="70"/>
  <c r="V23" i="66"/>
  <c r="V23" i="65"/>
  <c r="V23" i="63"/>
  <c r="V23" i="62"/>
  <c r="F23" i="70"/>
  <c r="F23" i="66"/>
  <c r="F23" i="65"/>
  <c r="F23" i="63"/>
  <c r="F23" i="62"/>
  <c r="AB23" i="70"/>
  <c r="AB23" i="65"/>
  <c r="AB23" i="66"/>
  <c r="AB23" i="63"/>
  <c r="AB23" i="62"/>
  <c r="AK23" i="70"/>
  <c r="AK23" i="65"/>
  <c r="AK23" i="66"/>
  <c r="AK23" i="63"/>
  <c r="AK23" i="62"/>
  <c r="U23" i="70"/>
  <c r="U23" i="65"/>
  <c r="U23" i="66"/>
  <c r="U23" i="62"/>
  <c r="U23" i="63"/>
  <c r="X23" i="70"/>
  <c r="X23" i="66"/>
  <c r="X23" i="65"/>
  <c r="X23" i="63"/>
  <c r="X23" i="62"/>
  <c r="AF23" i="70"/>
  <c r="AF23" i="66"/>
  <c r="AF23" i="65"/>
  <c r="AF23" i="63"/>
  <c r="AF23" i="62"/>
  <c r="Q23" i="70"/>
  <c r="Q23" i="65"/>
  <c r="Q23" i="66"/>
  <c r="Q23" i="63"/>
  <c r="Q23" i="62"/>
  <c r="K23" i="70"/>
  <c r="K23" i="66"/>
  <c r="K23" i="65"/>
  <c r="K23" i="63"/>
  <c r="K23" i="62"/>
  <c r="AH23" i="70"/>
  <c r="AH23" i="66"/>
  <c r="AH23" i="65"/>
  <c r="AH23" i="63"/>
  <c r="AH23" i="62"/>
  <c r="R23" i="70"/>
  <c r="R23" i="66"/>
  <c r="R23" i="65"/>
  <c r="R23" i="63"/>
  <c r="R23" i="62"/>
  <c r="M23" i="70"/>
  <c r="M23" i="65"/>
  <c r="M23" i="66"/>
  <c r="M23" i="62"/>
  <c r="M23" i="63"/>
  <c r="P23" i="70"/>
  <c r="P23" i="66"/>
  <c r="P23" i="65"/>
  <c r="P23" i="63"/>
  <c r="P23" i="62"/>
  <c r="AG23" i="70"/>
  <c r="AG23" i="65"/>
  <c r="AG23" i="66"/>
  <c r="AG23" i="63"/>
  <c r="AG23" i="62"/>
  <c r="L23" i="70"/>
  <c r="L23" i="65"/>
  <c r="L23" i="66"/>
  <c r="L23" i="63"/>
  <c r="L23" i="62"/>
  <c r="AM23" i="70"/>
  <c r="AM23" i="66"/>
  <c r="AM23" i="65"/>
  <c r="AM23" i="62"/>
  <c r="AM23" i="63"/>
  <c r="W23" i="70"/>
  <c r="W23" i="66"/>
  <c r="W23" i="65"/>
  <c r="W23" i="62"/>
  <c r="W23" i="63"/>
  <c r="G23" i="70"/>
  <c r="G23" i="66"/>
  <c r="G23" i="65"/>
  <c r="G23" i="62"/>
  <c r="G23" i="63"/>
  <c r="T23" i="70"/>
  <c r="T23" i="65"/>
  <c r="T23" i="66"/>
  <c r="T23" i="63"/>
  <c r="T23" i="62"/>
  <c r="AD23" i="70"/>
  <c r="AD23" i="66"/>
  <c r="AD23" i="65"/>
  <c r="AD23" i="63"/>
  <c r="AD23" i="62"/>
  <c r="N23" i="70"/>
  <c r="N23" i="66"/>
  <c r="N23" i="65"/>
  <c r="N23" i="63"/>
  <c r="N23" i="62"/>
  <c r="E23" i="70"/>
  <c r="E23" i="65"/>
  <c r="E23" i="66"/>
  <c r="E23" i="63"/>
  <c r="E23" i="62"/>
  <c r="D23" i="70"/>
  <c r="D23" i="66"/>
  <c r="D23" i="65"/>
  <c r="D23" i="63"/>
  <c r="D23" i="62"/>
  <c r="AC23" i="70"/>
  <c r="AC23" i="65"/>
  <c r="AC23" i="66"/>
  <c r="AC23" i="63"/>
  <c r="AC23" i="62"/>
  <c r="I23" i="70"/>
  <c r="I23" i="65"/>
  <c r="I23" i="66"/>
  <c r="I23" i="63"/>
  <c r="I23" i="62"/>
  <c r="Q18" i="70"/>
  <c r="Q153" i="70" s="1"/>
  <c r="R97" i="70"/>
  <c r="Q120" i="70"/>
  <c r="R15" i="70"/>
  <c r="C43" i="48"/>
  <c r="M97" i="48" l="1"/>
  <c r="R120" i="70"/>
  <c r="S15" i="70"/>
  <c r="S97" i="70"/>
  <c r="R18" i="70"/>
  <c r="D43" i="48"/>
  <c r="N97" i="48" l="1"/>
  <c r="S18" i="70"/>
  <c r="S120" i="70"/>
  <c r="T15" i="70"/>
  <c r="R153" i="70"/>
  <c r="T97" i="70"/>
  <c r="E43" i="48"/>
  <c r="F43" i="48" s="1"/>
  <c r="O97" i="48" l="1"/>
  <c r="T120" i="70"/>
  <c r="U15" i="70"/>
  <c r="T18" i="70"/>
  <c r="T153" i="70" s="1"/>
  <c r="U97" i="70"/>
  <c r="S153" i="70"/>
  <c r="G43" i="48"/>
  <c r="P97" i="48" l="1"/>
  <c r="V97" i="70"/>
  <c r="U120" i="70"/>
  <c r="V15" i="70"/>
  <c r="U18" i="70"/>
  <c r="U153" i="70" s="1"/>
  <c r="H43" i="48"/>
  <c r="Q97" i="48" l="1"/>
  <c r="V120" i="70"/>
  <c r="W15" i="70"/>
  <c r="W97" i="70"/>
  <c r="V18" i="70"/>
  <c r="V153" i="70" s="1"/>
  <c r="I43" i="48"/>
  <c r="R97" i="48" l="1"/>
  <c r="W120" i="70"/>
  <c r="X15" i="70"/>
  <c r="X97" i="70"/>
  <c r="W18" i="70"/>
  <c r="J43" i="48"/>
  <c r="S97" i="48" l="1"/>
  <c r="Y97" i="70"/>
  <c r="X18" i="70"/>
  <c r="X153" i="70" s="1"/>
  <c r="W153" i="70"/>
  <c r="X120" i="70"/>
  <c r="Y15" i="70"/>
  <c r="K43" i="48"/>
  <c r="T97" i="48" l="1"/>
  <c r="Z97" i="70"/>
  <c r="Y120" i="70"/>
  <c r="Z15" i="70"/>
  <c r="Y18" i="70"/>
  <c r="L43" i="48"/>
  <c r="U97" i="48" l="1"/>
  <c r="Z18" i="70"/>
  <c r="Z153" i="70" s="1"/>
  <c r="Y153" i="70"/>
  <c r="AA97" i="70"/>
  <c r="Z120" i="70"/>
  <c r="AA15" i="70"/>
  <c r="M43" i="48"/>
  <c r="V97" i="48" l="1"/>
  <c r="AA120" i="70"/>
  <c r="AB15" i="70"/>
  <c r="AA18" i="70"/>
  <c r="AB97" i="70"/>
  <c r="N43" i="48"/>
  <c r="W97" i="48" l="1"/>
  <c r="AB18" i="70"/>
  <c r="AC97" i="70"/>
  <c r="AA153" i="70"/>
  <c r="AB120" i="70"/>
  <c r="AC15" i="70"/>
  <c r="O43" i="48"/>
  <c r="X97" i="48" l="1"/>
  <c r="AC18" i="70"/>
  <c r="AC153" i="70" s="1"/>
  <c r="AD97" i="70"/>
  <c r="AC120" i="70"/>
  <c r="AD15" i="70"/>
  <c r="AB153" i="70"/>
  <c r="P43" i="48"/>
  <c r="Y97" i="48" l="1"/>
  <c r="AD18" i="70"/>
  <c r="AE97" i="70"/>
  <c r="AD120" i="70"/>
  <c r="AE15" i="70"/>
  <c r="Q43" i="48"/>
  <c r="Z97" i="48" l="1"/>
  <c r="AE18" i="70"/>
  <c r="AF97" i="70"/>
  <c r="AE120" i="70"/>
  <c r="AF15" i="70"/>
  <c r="AD153" i="70"/>
  <c r="R43" i="48"/>
  <c r="AA97" i="48" l="1"/>
  <c r="AF120" i="70"/>
  <c r="AG15" i="70"/>
  <c r="AF18" i="70"/>
  <c r="AF153" i="70" s="1"/>
  <c r="AG97" i="70"/>
  <c r="AE153" i="70"/>
  <c r="S43" i="48"/>
  <c r="AB97" i="48" l="1"/>
  <c r="AG120" i="70"/>
  <c r="AH15" i="70"/>
  <c r="AH97" i="70"/>
  <c r="AG18" i="70"/>
  <c r="AG153" i="70" s="1"/>
  <c r="T43" i="48"/>
  <c r="AC97" i="48" l="1"/>
  <c r="AH18" i="70"/>
  <c r="AI97" i="70"/>
  <c r="AH120" i="70"/>
  <c r="AI15" i="70"/>
  <c r="U43" i="48"/>
  <c r="AD97" i="48" l="1"/>
  <c r="AJ97" i="70"/>
  <c r="AI18" i="70"/>
  <c r="AI120" i="70"/>
  <c r="AJ15" i="70"/>
  <c r="AH153" i="70"/>
  <c r="V43" i="48"/>
  <c r="AE97" i="48" l="1"/>
  <c r="AJ18" i="70"/>
  <c r="AK97" i="70"/>
  <c r="AJ120" i="70"/>
  <c r="AK15" i="70"/>
  <c r="AI153" i="70"/>
  <c r="W43" i="48"/>
  <c r="AF97" i="48" l="1"/>
  <c r="AK120" i="70"/>
  <c r="AL15" i="70"/>
  <c r="AL97" i="70"/>
  <c r="AK18" i="70"/>
  <c r="AK153" i="70" s="1"/>
  <c r="AJ153" i="70"/>
  <c r="X43" i="48"/>
  <c r="AG97" i="48" l="1"/>
  <c r="AL120" i="70"/>
  <c r="AM15" i="70"/>
  <c r="AM97" i="70"/>
  <c r="AL18" i="70"/>
  <c r="AL153" i="70" s="1"/>
  <c r="Y43" i="48"/>
  <c r="AH97" i="48" l="1"/>
  <c r="AN97" i="70"/>
  <c r="AM120" i="70"/>
  <c r="AN15" i="70"/>
  <c r="AM18" i="70"/>
  <c r="AM153" i="70" s="1"/>
  <c r="Z43" i="48"/>
  <c r="AI97" i="48" l="1"/>
  <c r="AN120" i="70"/>
  <c r="AO15" i="70"/>
  <c r="AN18" i="70"/>
  <c r="AA43" i="48"/>
  <c r="AJ97" i="48" l="1"/>
  <c r="AO18" i="70"/>
  <c r="AO120" i="70"/>
  <c r="AP15" i="70"/>
  <c r="AN153" i="70"/>
  <c r="AB43" i="48"/>
  <c r="AK97" i="48" l="1"/>
  <c r="AP120" i="70"/>
  <c r="AQ15" i="70"/>
  <c r="AP18" i="70"/>
  <c r="AP153" i="70" s="1"/>
  <c r="AO153" i="70"/>
  <c r="AC43" i="48"/>
  <c r="AL97" i="48" l="1"/>
  <c r="AQ120" i="70"/>
  <c r="AR15" i="70"/>
  <c r="AQ18" i="70"/>
  <c r="AQ153" i="70" s="1"/>
  <c r="AD43" i="48"/>
  <c r="AM97" i="48" l="1"/>
  <c r="AR18" i="70"/>
  <c r="AR153" i="70" s="1"/>
  <c r="AR120" i="70"/>
  <c r="AS15" i="70"/>
  <c r="AE43" i="48"/>
  <c r="AN97" i="48" l="1"/>
  <c r="AS18" i="70"/>
  <c r="AS153" i="70" s="1"/>
  <c r="AS120" i="70"/>
  <c r="AT15" i="70"/>
  <c r="AF43" i="48"/>
  <c r="AO97" i="48" l="1"/>
  <c r="AT120" i="70"/>
  <c r="AU15" i="70"/>
  <c r="AT18" i="70"/>
  <c r="AG43" i="48"/>
  <c r="AP97" i="48" l="1"/>
  <c r="AU18" i="70"/>
  <c r="AT153" i="70"/>
  <c r="AU120" i="70"/>
  <c r="AV15" i="70"/>
  <c r="AH43" i="48"/>
  <c r="AQ97" i="48" l="1"/>
  <c r="AV120" i="70"/>
  <c r="AW15" i="70"/>
  <c r="AV18" i="70"/>
  <c r="AV153" i="70" s="1"/>
  <c r="AU153" i="70"/>
  <c r="AI43" i="48"/>
  <c r="AR97" i="48" l="1"/>
  <c r="AW18" i="70"/>
  <c r="AW120" i="70"/>
  <c r="AX15" i="70"/>
  <c r="AJ43" i="48"/>
  <c r="AS97" i="48" l="1"/>
  <c r="AX18" i="70"/>
  <c r="AX153" i="70" s="1"/>
  <c r="AX120" i="70"/>
  <c r="AY15" i="70"/>
  <c r="AW153" i="70"/>
  <c r="AK43" i="48"/>
  <c r="AT97" i="48" l="1"/>
  <c r="AY120" i="70"/>
  <c r="AZ15" i="70"/>
  <c r="AY18" i="70"/>
  <c r="AY153" i="70" s="1"/>
  <c r="AL43" i="48"/>
  <c r="AU97" i="48" l="1"/>
  <c r="AZ18" i="70"/>
  <c r="AZ153" i="70" s="1"/>
  <c r="AZ120" i="70"/>
  <c r="BA15" i="70"/>
  <c r="AM43" i="48"/>
  <c r="AV97" i="48" l="1"/>
  <c r="BA18" i="70"/>
  <c r="BA153" i="70" s="1"/>
  <c r="BA120" i="70"/>
  <c r="BB15" i="70"/>
  <c r="AN43" i="48"/>
  <c r="AW97" i="48" l="1"/>
  <c r="BB18" i="70"/>
  <c r="BB153" i="70" s="1"/>
  <c r="BB120" i="70"/>
  <c r="BC15" i="70"/>
  <c r="AO43" i="48"/>
  <c r="AX97" i="48" l="1"/>
  <c r="BC18" i="70"/>
  <c r="BC120" i="70"/>
  <c r="BD15" i="70"/>
  <c r="AP43" i="48"/>
  <c r="AY97" i="48" l="1"/>
  <c r="BD18" i="70"/>
  <c r="BD153" i="70" s="1"/>
  <c r="BD120" i="70"/>
  <c r="BE15" i="70"/>
  <c r="BC153" i="70"/>
  <c r="AQ43" i="48"/>
  <c r="AZ97" i="48" l="1"/>
  <c r="BE120" i="70"/>
  <c r="BF15" i="70"/>
  <c r="BE18" i="70"/>
  <c r="BE153" i="70" s="1"/>
  <c r="AR43" i="48"/>
  <c r="BA97" i="48" l="1"/>
  <c r="BF120" i="70"/>
  <c r="BG15" i="70"/>
  <c r="BF18" i="70"/>
  <c r="AS43" i="48"/>
  <c r="BB97" i="48" l="1"/>
  <c r="BG18" i="70"/>
  <c r="BG120" i="70"/>
  <c r="BH15" i="70"/>
  <c r="BF153" i="70"/>
  <c r="AT43" i="48"/>
  <c r="BC97" i="48" l="1"/>
  <c r="BH18" i="70"/>
  <c r="BH153" i="70" s="1"/>
  <c r="BH120" i="70"/>
  <c r="BI15" i="70"/>
  <c r="BI120" i="70" s="1"/>
  <c r="BG153" i="70"/>
  <c r="AU43" i="48"/>
  <c r="BD97" i="48" l="1"/>
  <c r="BI18" i="70"/>
  <c r="BI153" i="70" s="1"/>
  <c r="AV43" i="48"/>
  <c r="BE97" i="48" l="1"/>
  <c r="AW43" i="48"/>
  <c r="BF97" i="48" l="1"/>
  <c r="AX43" i="48"/>
  <c r="BG97" i="48" l="1"/>
  <c r="AY43" i="48"/>
  <c r="BH97" i="48" l="1"/>
  <c r="AZ43" i="48"/>
  <c r="BI97" i="48" l="1"/>
  <c r="BA43" i="48"/>
  <c r="BB43" i="48" l="1"/>
  <c r="BC43" i="48" l="1"/>
  <c r="B30" i="48"/>
  <c r="B30" i="70" l="1"/>
  <c r="B30" i="66"/>
  <c r="B30" i="65"/>
  <c r="B30" i="63"/>
  <c r="B30" i="62"/>
  <c r="BD43" i="48"/>
  <c r="BE43" i="48" s="1"/>
  <c r="BF43" i="48" s="1"/>
  <c r="BG43" i="48" s="1"/>
  <c r="BH43" i="48" s="1"/>
  <c r="BI43" i="48" s="1"/>
  <c r="C97" i="66" l="1"/>
  <c r="D97" i="66" s="1"/>
  <c r="E97" i="66" s="1"/>
  <c r="F97" i="66" s="1"/>
  <c r="G97" i="66" s="1"/>
  <c r="H97" i="66" s="1"/>
  <c r="I97" i="66" s="1"/>
  <c r="J97" i="66" s="1"/>
  <c r="K97" i="66" s="1"/>
  <c r="L97" i="66" s="1"/>
  <c r="M97" i="66" s="1"/>
  <c r="N97" i="66" s="1"/>
  <c r="O97" i="66" s="1"/>
  <c r="P97" i="66" s="1"/>
  <c r="Q97" i="66" s="1"/>
  <c r="R97" i="66" s="1"/>
  <c r="S97" i="66" s="1"/>
  <c r="T97" i="66" s="1"/>
  <c r="U97" i="66" s="1"/>
  <c r="V97" i="66" s="1"/>
  <c r="W97" i="66" s="1"/>
  <c r="X97" i="66" s="1"/>
  <c r="Y97" i="66" s="1"/>
  <c r="Z97" i="66" s="1"/>
  <c r="AA97" i="66" s="1"/>
  <c r="AB97" i="66" s="1"/>
  <c r="AC97" i="66" s="1"/>
  <c r="AD97" i="66" s="1"/>
  <c r="AE97" i="66" s="1"/>
  <c r="AF97" i="66" s="1"/>
  <c r="AG97" i="66" s="1"/>
  <c r="AH97" i="66" s="1"/>
  <c r="AI97" i="66" s="1"/>
  <c r="AJ97" i="66" s="1"/>
  <c r="AK97" i="66" s="1"/>
  <c r="AL97" i="66" s="1"/>
  <c r="AM97" i="66" s="1"/>
  <c r="AN97" i="66" s="1"/>
  <c r="C97" i="65"/>
  <c r="D97" i="65" s="1"/>
  <c r="E97" i="65" s="1"/>
  <c r="F97" i="65" s="1"/>
  <c r="G97" i="65" s="1"/>
  <c r="H97" i="65" s="1"/>
  <c r="I97" i="65" s="1"/>
  <c r="J97" i="65" s="1"/>
  <c r="K97" i="65" s="1"/>
  <c r="L97" i="65" s="1"/>
  <c r="M97" i="65" s="1"/>
  <c r="N97" i="65" s="1"/>
  <c r="O97" i="65" s="1"/>
  <c r="P97" i="65" s="1"/>
  <c r="Q97" i="65" s="1"/>
  <c r="R97" i="65" s="1"/>
  <c r="S97" i="65" s="1"/>
  <c r="T97" i="65" s="1"/>
  <c r="U97" i="65" s="1"/>
  <c r="V97" i="65" s="1"/>
  <c r="W97" i="65" s="1"/>
  <c r="X97" i="65" s="1"/>
  <c r="Y97" i="65" s="1"/>
  <c r="Z97" i="65" s="1"/>
  <c r="AA97" i="65" s="1"/>
  <c r="AB97" i="65" s="1"/>
  <c r="AC97" i="65" s="1"/>
  <c r="AD97" i="65" s="1"/>
  <c r="AE97" i="65" s="1"/>
  <c r="AF97" i="65" s="1"/>
  <c r="AG97" i="65" s="1"/>
  <c r="AH97" i="65" s="1"/>
  <c r="AI97" i="65" s="1"/>
  <c r="AJ97" i="65" s="1"/>
  <c r="AK97" i="65" s="1"/>
  <c r="AL97" i="65" s="1"/>
  <c r="AM97" i="65" s="1"/>
  <c r="AN97" i="65" s="1"/>
  <c r="C97" i="63"/>
  <c r="D97" i="63" s="1"/>
  <c r="E97" i="63" s="1"/>
  <c r="F97" i="63" s="1"/>
  <c r="G97" i="63" s="1"/>
  <c r="H97" i="63" s="1"/>
  <c r="I97" i="63" s="1"/>
  <c r="J97" i="63" s="1"/>
  <c r="K97" i="63" s="1"/>
  <c r="L97" i="63" s="1"/>
  <c r="M97" i="63" s="1"/>
  <c r="N97" i="63" s="1"/>
  <c r="O97" i="63" s="1"/>
  <c r="P97" i="63" s="1"/>
  <c r="Q97" i="63" s="1"/>
  <c r="R97" i="63" s="1"/>
  <c r="S97" i="63" s="1"/>
  <c r="T97" i="63" s="1"/>
  <c r="U97" i="63" s="1"/>
  <c r="V97" i="63" s="1"/>
  <c r="W97" i="63" s="1"/>
  <c r="X97" i="63" s="1"/>
  <c r="Y97" i="63" s="1"/>
  <c r="Z97" i="63" s="1"/>
  <c r="AA97" i="63" s="1"/>
  <c r="AB97" i="63" s="1"/>
  <c r="AC97" i="63" s="1"/>
  <c r="AD97" i="63" s="1"/>
  <c r="AE97" i="63" s="1"/>
  <c r="AF97" i="63" s="1"/>
  <c r="AG97" i="63" s="1"/>
  <c r="AH97" i="63" s="1"/>
  <c r="AI97" i="63" s="1"/>
  <c r="AJ97" i="63" s="1"/>
  <c r="AK97" i="63" s="1"/>
  <c r="AL97" i="63" s="1"/>
  <c r="AM97" i="63" s="1"/>
  <c r="AN97" i="63" s="1"/>
  <c r="C97" i="62"/>
  <c r="D97" i="62" s="1"/>
  <c r="E97" i="62" s="1"/>
  <c r="F97" i="62" s="1"/>
  <c r="G97" i="62" s="1"/>
  <c r="H97" i="62" s="1"/>
  <c r="I97" i="62" s="1"/>
  <c r="J97" i="62" s="1"/>
  <c r="K97" i="62" s="1"/>
  <c r="L97" i="62" s="1"/>
  <c r="M97" i="62" s="1"/>
  <c r="N97" i="62" s="1"/>
  <c r="O97" i="62" s="1"/>
  <c r="P97" i="62" s="1"/>
  <c r="Q97" i="62" s="1"/>
  <c r="R97" i="62" s="1"/>
  <c r="S97" i="62" s="1"/>
  <c r="T97" i="62" s="1"/>
  <c r="U97" i="62" s="1"/>
  <c r="V97" i="62" s="1"/>
  <c r="W97" i="62" s="1"/>
  <c r="X97" i="62" s="1"/>
  <c r="Y97" i="62" s="1"/>
  <c r="Z97" i="62" s="1"/>
  <c r="AA97" i="62" s="1"/>
  <c r="AB97" i="62" s="1"/>
  <c r="AC97" i="62" s="1"/>
  <c r="AD97" i="62" s="1"/>
  <c r="AE97" i="62" s="1"/>
  <c r="AF97" i="62" s="1"/>
  <c r="AG97" i="62" s="1"/>
  <c r="AH97" i="62" s="1"/>
  <c r="AI97" i="62" s="1"/>
  <c r="AJ97" i="62" s="1"/>
  <c r="AK97" i="62" s="1"/>
  <c r="AL97" i="62" s="1"/>
  <c r="AM97" i="62" s="1"/>
  <c r="AN97" i="62" s="1"/>
  <c r="C130" i="66" l="1"/>
  <c r="C2" i="66" l="1"/>
  <c r="D2" i="66" s="1"/>
  <c r="E2" i="66" s="1"/>
  <c r="F2" i="66" s="1"/>
  <c r="G2" i="66" s="1"/>
  <c r="AO1" i="66"/>
  <c r="AP1" i="66" s="1"/>
  <c r="AQ1" i="66" s="1"/>
  <c r="AR1" i="66" s="1"/>
  <c r="AS1" i="66" s="1"/>
  <c r="AT1" i="66" s="1"/>
  <c r="AU1" i="66" s="1"/>
  <c r="AV1" i="66" s="1"/>
  <c r="AW1" i="66" s="1"/>
  <c r="AX1" i="66" s="1"/>
  <c r="AY1" i="66" s="1"/>
  <c r="AZ1" i="66" s="1"/>
  <c r="BA1" i="66" s="1"/>
  <c r="BB1" i="66" s="1"/>
  <c r="BC1" i="66" s="1"/>
  <c r="BD1" i="66" s="1"/>
  <c r="BE1" i="66" s="1"/>
  <c r="BF1" i="66" s="1"/>
  <c r="BG1" i="66" s="1"/>
  <c r="BH1" i="66" s="1"/>
  <c r="BI1" i="66" s="1"/>
  <c r="H2" i="66" l="1"/>
  <c r="BI135" i="65"/>
  <c r="BH135" i="65"/>
  <c r="BG135" i="65"/>
  <c r="BF135" i="65"/>
  <c r="BE135" i="65"/>
  <c r="BD135" i="65"/>
  <c r="BC135" i="65"/>
  <c r="BB135" i="65"/>
  <c r="BA135" i="65"/>
  <c r="AZ135" i="65"/>
  <c r="AY135" i="65"/>
  <c r="AX135" i="65"/>
  <c r="AW135" i="65"/>
  <c r="AV135" i="65"/>
  <c r="AU135" i="65"/>
  <c r="AT135" i="65"/>
  <c r="AS135" i="65"/>
  <c r="AR135" i="65"/>
  <c r="AQ135" i="65"/>
  <c r="AP135" i="65"/>
  <c r="AO135" i="65"/>
  <c r="AN135" i="65"/>
  <c r="AM135" i="65"/>
  <c r="AL135" i="65"/>
  <c r="AK135" i="65"/>
  <c r="AJ135" i="65"/>
  <c r="AI135" i="65"/>
  <c r="AH135" i="65"/>
  <c r="AG135" i="65"/>
  <c r="AF135" i="65"/>
  <c r="AE135" i="65"/>
  <c r="AD135" i="65"/>
  <c r="AC135" i="65"/>
  <c r="AB135" i="65"/>
  <c r="AA135" i="65"/>
  <c r="Z135" i="65"/>
  <c r="Y135" i="65"/>
  <c r="X135" i="65"/>
  <c r="W135" i="65"/>
  <c r="V135" i="65"/>
  <c r="U135" i="65"/>
  <c r="T135" i="65"/>
  <c r="S135" i="65"/>
  <c r="R135" i="65"/>
  <c r="Q135" i="65"/>
  <c r="P135" i="65"/>
  <c r="O135" i="65"/>
  <c r="N135" i="65"/>
  <c r="M135" i="65"/>
  <c r="L135" i="65"/>
  <c r="K135" i="65"/>
  <c r="J135" i="65"/>
  <c r="I135" i="65"/>
  <c r="H135" i="65"/>
  <c r="G135" i="65"/>
  <c r="F135" i="65"/>
  <c r="E135" i="65"/>
  <c r="D135" i="65"/>
  <c r="C135" i="65"/>
  <c r="C2" i="65"/>
  <c r="AO1" i="65"/>
  <c r="AP1" i="65" s="1"/>
  <c r="AQ1" i="65" s="1"/>
  <c r="AR1" i="65" s="1"/>
  <c r="AS1" i="65" s="1"/>
  <c r="AT1" i="65" s="1"/>
  <c r="AU1" i="65" s="1"/>
  <c r="AV1" i="65" s="1"/>
  <c r="AW1" i="65" s="1"/>
  <c r="AX1" i="65" s="1"/>
  <c r="AY1" i="65" s="1"/>
  <c r="AZ1" i="65" s="1"/>
  <c r="BA1" i="65" s="1"/>
  <c r="BB1" i="65" s="1"/>
  <c r="BC1" i="65" s="1"/>
  <c r="BD1" i="65" s="1"/>
  <c r="BE1" i="65" s="1"/>
  <c r="BF1" i="65" s="1"/>
  <c r="BG1" i="65" s="1"/>
  <c r="BH1" i="65" s="1"/>
  <c r="BI1" i="65" s="1"/>
  <c r="D2" i="65" l="1"/>
  <c r="E2" i="65" s="1"/>
  <c r="C18" i="65"/>
  <c r="D18" i="65" s="1"/>
  <c r="AF132" i="65"/>
  <c r="I2" i="66"/>
  <c r="E18" i="65" l="1"/>
  <c r="AG132" i="65"/>
  <c r="J2" i="66"/>
  <c r="F2" i="65"/>
  <c r="BI135" i="63"/>
  <c r="BH135" i="63"/>
  <c r="BG135" i="63"/>
  <c r="BF135" i="63"/>
  <c r="BE135" i="63"/>
  <c r="BD135" i="63"/>
  <c r="BC135" i="63"/>
  <c r="BB135" i="63"/>
  <c r="BA135" i="63"/>
  <c r="AZ135" i="63"/>
  <c r="AY135" i="63"/>
  <c r="AX135" i="63"/>
  <c r="AW135" i="63"/>
  <c r="AV135" i="63"/>
  <c r="AU135" i="63"/>
  <c r="AT135" i="63"/>
  <c r="AS135" i="63"/>
  <c r="AR135" i="63"/>
  <c r="AQ135" i="63"/>
  <c r="AP135" i="63"/>
  <c r="AO135" i="63"/>
  <c r="AN135" i="63"/>
  <c r="AM135" i="63"/>
  <c r="AL135" i="63"/>
  <c r="AK135" i="63"/>
  <c r="AJ135" i="63"/>
  <c r="AI135" i="63"/>
  <c r="AH135" i="63"/>
  <c r="AG135" i="63"/>
  <c r="AF135" i="63"/>
  <c r="AE135" i="63"/>
  <c r="AD135" i="63"/>
  <c r="AC135" i="63"/>
  <c r="AB135" i="63"/>
  <c r="AA135" i="63"/>
  <c r="Z135" i="63"/>
  <c r="Y135" i="63"/>
  <c r="X135" i="63"/>
  <c r="W135" i="63"/>
  <c r="V135" i="63"/>
  <c r="U135" i="63"/>
  <c r="T135" i="63"/>
  <c r="S135" i="63"/>
  <c r="R135" i="63"/>
  <c r="Q135" i="63"/>
  <c r="P135" i="63"/>
  <c r="O135" i="63"/>
  <c r="N135" i="63"/>
  <c r="M135" i="63"/>
  <c r="L135" i="63"/>
  <c r="K135" i="63"/>
  <c r="J135" i="63"/>
  <c r="I135" i="63"/>
  <c r="H135" i="63"/>
  <c r="G135" i="63"/>
  <c r="F135" i="63"/>
  <c r="E135" i="63"/>
  <c r="D135" i="63"/>
  <c r="C135" i="63"/>
  <c r="C2" i="63"/>
  <c r="AO1" i="63"/>
  <c r="AP1" i="63" s="1"/>
  <c r="AQ1" i="63" s="1"/>
  <c r="AR1" i="63" s="1"/>
  <c r="AS1" i="63" s="1"/>
  <c r="AT1" i="63" s="1"/>
  <c r="AU1" i="63" s="1"/>
  <c r="AV1" i="63" s="1"/>
  <c r="AW1" i="63" s="1"/>
  <c r="AX1" i="63" s="1"/>
  <c r="AY1" i="63" s="1"/>
  <c r="AZ1" i="63" s="1"/>
  <c r="BA1" i="63" s="1"/>
  <c r="BB1" i="63" s="1"/>
  <c r="BC1" i="63" s="1"/>
  <c r="BD1" i="63" s="1"/>
  <c r="BE1" i="63" s="1"/>
  <c r="BF1" i="63" s="1"/>
  <c r="BG1" i="63" s="1"/>
  <c r="BH1" i="63" s="1"/>
  <c r="BI1" i="63" s="1"/>
  <c r="BI135" i="62"/>
  <c r="BH135" i="62"/>
  <c r="BG135" i="62"/>
  <c r="BF135" i="62"/>
  <c r="BE135" i="62"/>
  <c r="BD135" i="62"/>
  <c r="BC135" i="62"/>
  <c r="BB135" i="62"/>
  <c r="BA135" i="62"/>
  <c r="AZ135" i="62"/>
  <c r="AY135" i="62"/>
  <c r="AX135" i="62"/>
  <c r="AW135" i="62"/>
  <c r="AV135" i="62"/>
  <c r="AU135" i="62"/>
  <c r="AT135" i="62"/>
  <c r="AS135" i="62"/>
  <c r="AR135" i="62"/>
  <c r="AQ135" i="62"/>
  <c r="AP135" i="62"/>
  <c r="AO135" i="62"/>
  <c r="AN135" i="62"/>
  <c r="AM135" i="62"/>
  <c r="AL135" i="62"/>
  <c r="AK135" i="62"/>
  <c r="AJ135" i="62"/>
  <c r="AI135" i="62"/>
  <c r="AH135" i="62"/>
  <c r="AG135" i="62"/>
  <c r="AF135" i="62"/>
  <c r="AE135" i="62"/>
  <c r="AD135" i="62"/>
  <c r="AC135" i="62"/>
  <c r="AB135" i="62"/>
  <c r="AA135" i="62"/>
  <c r="Z135" i="62"/>
  <c r="Y135" i="62"/>
  <c r="X135" i="62"/>
  <c r="W135" i="62"/>
  <c r="V135" i="62"/>
  <c r="U135" i="62"/>
  <c r="T135" i="62"/>
  <c r="S135" i="62"/>
  <c r="R135" i="62"/>
  <c r="Q135" i="62"/>
  <c r="P135" i="62"/>
  <c r="O135" i="62"/>
  <c r="N135" i="62"/>
  <c r="M135" i="62"/>
  <c r="L135" i="62"/>
  <c r="K135" i="62"/>
  <c r="J135" i="62"/>
  <c r="I135" i="62"/>
  <c r="H135" i="62"/>
  <c r="G135" i="62"/>
  <c r="F135" i="62"/>
  <c r="E135" i="62"/>
  <c r="D135" i="62"/>
  <c r="C135" i="62"/>
  <c r="B135" i="62"/>
  <c r="C2" i="62"/>
  <c r="AO1" i="62"/>
  <c r="AP1" i="62" s="1"/>
  <c r="AQ1" i="62" s="1"/>
  <c r="AR1" i="62" s="1"/>
  <c r="AS1" i="62" s="1"/>
  <c r="AT1" i="62" s="1"/>
  <c r="AU1" i="62" s="1"/>
  <c r="AV1" i="62" s="1"/>
  <c r="AW1" i="62" s="1"/>
  <c r="AX1" i="62" s="1"/>
  <c r="AY1" i="62" s="1"/>
  <c r="AZ1" i="62" s="1"/>
  <c r="BA1" i="62" s="1"/>
  <c r="BB1" i="62" s="1"/>
  <c r="BC1" i="62" s="1"/>
  <c r="BD1" i="62" s="1"/>
  <c r="BE1" i="62" s="1"/>
  <c r="BF1" i="62" s="1"/>
  <c r="BG1" i="62" s="1"/>
  <c r="BH1" i="62" s="1"/>
  <c r="BI1" i="62" s="1"/>
  <c r="F18" i="65" l="1"/>
  <c r="D2" i="62"/>
  <c r="E2" i="62" s="1"/>
  <c r="AH132" i="65"/>
  <c r="B120" i="65"/>
  <c r="K2" i="66"/>
  <c r="C120" i="65"/>
  <c r="G2" i="65"/>
  <c r="D2" i="63"/>
  <c r="E2" i="63" s="1"/>
  <c r="G18" i="65" l="1"/>
  <c r="H18" i="65" s="1"/>
  <c r="C153" i="65"/>
  <c r="D153" i="65"/>
  <c r="AI132" i="65"/>
  <c r="L2" i="66"/>
  <c r="D120" i="65"/>
  <c r="H2" i="65"/>
  <c r="F2" i="63"/>
  <c r="F2" i="62"/>
  <c r="E153" i="65" l="1"/>
  <c r="AJ132" i="65"/>
  <c r="M2" i="66"/>
  <c r="E120" i="65"/>
  <c r="F153" i="65"/>
  <c r="I2" i="65"/>
  <c r="I18" i="65" s="1"/>
  <c r="G2" i="63"/>
  <c r="G2" i="62"/>
  <c r="B62" i="48"/>
  <c r="B63" i="48"/>
  <c r="B67" i="48"/>
  <c r="B70" i="48"/>
  <c r="B74" i="48"/>
  <c r="B75" i="48"/>
  <c r="B76" i="48"/>
  <c r="B77" i="48"/>
  <c r="B82" i="48"/>
  <c r="B79" i="48"/>
  <c r="B80" i="48"/>
  <c r="B84" i="48"/>
  <c r="B74" i="70" l="1"/>
  <c r="B74" i="66"/>
  <c r="B74" i="65"/>
  <c r="B74" i="63"/>
  <c r="B74" i="62"/>
  <c r="B62" i="70"/>
  <c r="B89" i="70"/>
  <c r="B62" i="66"/>
  <c r="B62" i="65"/>
  <c r="B62" i="63"/>
  <c r="B62" i="62"/>
  <c r="B84" i="70"/>
  <c r="B84" i="66"/>
  <c r="B84" i="65"/>
  <c r="B84" i="62"/>
  <c r="B84" i="63"/>
  <c r="B102" i="70"/>
  <c r="B77" i="70"/>
  <c r="B77" i="66"/>
  <c r="B77" i="65"/>
  <c r="B77" i="63"/>
  <c r="B77" i="62"/>
  <c r="B70" i="70"/>
  <c r="B70" i="66"/>
  <c r="B70" i="65"/>
  <c r="B70" i="63"/>
  <c r="B70" i="62"/>
  <c r="B67" i="70"/>
  <c r="B67" i="66"/>
  <c r="B67" i="65"/>
  <c r="B67" i="63"/>
  <c r="B67" i="62"/>
  <c r="B82" i="70"/>
  <c r="B82" i="66"/>
  <c r="B82" i="65"/>
  <c r="B82" i="63"/>
  <c r="B82" i="62"/>
  <c r="B80" i="70"/>
  <c r="B80" i="66"/>
  <c r="B80" i="65"/>
  <c r="B80" i="63"/>
  <c r="B80" i="62"/>
  <c r="B100" i="70"/>
  <c r="B76" i="70"/>
  <c r="B76" i="66"/>
  <c r="B76" i="65"/>
  <c r="B76" i="63"/>
  <c r="B76" i="62"/>
  <c r="B79" i="70"/>
  <c r="B79" i="66"/>
  <c r="B79" i="65"/>
  <c r="B79" i="63"/>
  <c r="B79" i="62"/>
  <c r="B75" i="70"/>
  <c r="B75" i="66"/>
  <c r="B75" i="65"/>
  <c r="B75" i="62"/>
  <c r="B75" i="63"/>
  <c r="B63" i="70"/>
  <c r="B90" i="70"/>
  <c r="B63" i="66"/>
  <c r="B63" i="65"/>
  <c r="B63" i="63"/>
  <c r="B63" i="62"/>
  <c r="N73" i="48"/>
  <c r="T73" i="48"/>
  <c r="AK132" i="65"/>
  <c r="B99" i="48"/>
  <c r="B100" i="66"/>
  <c r="B100" i="65"/>
  <c r="B100" i="62"/>
  <c r="B100" i="63"/>
  <c r="B90" i="48"/>
  <c r="B90" i="66"/>
  <c r="B90" i="65"/>
  <c r="B90" i="63"/>
  <c r="B90" i="62"/>
  <c r="B101" i="48"/>
  <c r="B102" i="66"/>
  <c r="B102" i="65"/>
  <c r="B102" i="62"/>
  <c r="B102" i="63"/>
  <c r="B89" i="48"/>
  <c r="B89" i="66"/>
  <c r="B89" i="65"/>
  <c r="B89" i="63"/>
  <c r="B89" i="62"/>
  <c r="N2" i="66"/>
  <c r="G153" i="65"/>
  <c r="F120" i="65"/>
  <c r="J2" i="65"/>
  <c r="J18" i="65" s="1"/>
  <c r="H2" i="63"/>
  <c r="H2" i="62"/>
  <c r="P73" i="48"/>
  <c r="L73" i="48"/>
  <c r="H73" i="48"/>
  <c r="D73" i="48"/>
  <c r="S73" i="48"/>
  <c r="O73" i="48"/>
  <c r="K73" i="48"/>
  <c r="G73" i="48"/>
  <c r="C73" i="48"/>
  <c r="R73" i="48"/>
  <c r="J73" i="48"/>
  <c r="F73" i="48"/>
  <c r="B73" i="48"/>
  <c r="Q73" i="48"/>
  <c r="M73" i="48"/>
  <c r="I73" i="48"/>
  <c r="E73" i="48"/>
  <c r="B53" i="48"/>
  <c r="C101" i="48" l="1"/>
  <c r="Q73" i="70"/>
  <c r="Q73" i="66"/>
  <c r="Q73" i="65"/>
  <c r="Q73" i="63"/>
  <c r="Q73" i="62"/>
  <c r="R73" i="70"/>
  <c r="R73" i="66"/>
  <c r="R73" i="65"/>
  <c r="R73" i="63"/>
  <c r="R73" i="62"/>
  <c r="O73" i="70"/>
  <c r="O73" i="66"/>
  <c r="O73" i="65"/>
  <c r="O73" i="63"/>
  <c r="O73" i="62"/>
  <c r="L73" i="70"/>
  <c r="L73" i="66"/>
  <c r="L73" i="65"/>
  <c r="L73" i="63"/>
  <c r="L73" i="62"/>
  <c r="B73" i="70"/>
  <c r="B73" i="66"/>
  <c r="B73" i="65"/>
  <c r="B73" i="63"/>
  <c r="B73" i="62"/>
  <c r="S73" i="70"/>
  <c r="S73" i="66"/>
  <c r="S73" i="65"/>
  <c r="S73" i="63"/>
  <c r="S73" i="62"/>
  <c r="P73" i="70"/>
  <c r="P73" i="66"/>
  <c r="P73" i="65"/>
  <c r="P73" i="63"/>
  <c r="P73" i="62"/>
  <c r="C73" i="70"/>
  <c r="C73" i="66"/>
  <c r="C73" i="65"/>
  <c r="C73" i="63"/>
  <c r="C73" i="62"/>
  <c r="F73" i="70"/>
  <c r="F73" i="66"/>
  <c r="F73" i="65"/>
  <c r="F73" i="63"/>
  <c r="F73" i="62"/>
  <c r="G73" i="70"/>
  <c r="G73" i="66"/>
  <c r="G73" i="65"/>
  <c r="G73" i="63"/>
  <c r="G73" i="62"/>
  <c r="D73" i="70"/>
  <c r="D73" i="66"/>
  <c r="D73" i="65"/>
  <c r="D73" i="63"/>
  <c r="D73" i="62"/>
  <c r="N73" i="70"/>
  <c r="N73" i="66"/>
  <c r="N73" i="65"/>
  <c r="N73" i="63"/>
  <c r="N73" i="62"/>
  <c r="E73" i="70"/>
  <c r="E73" i="66"/>
  <c r="E73" i="65"/>
  <c r="E73" i="63"/>
  <c r="E73" i="62"/>
  <c r="I73" i="70"/>
  <c r="I73" i="66"/>
  <c r="I73" i="65"/>
  <c r="I73" i="63"/>
  <c r="I73" i="62"/>
  <c r="B53" i="70"/>
  <c r="B53" i="66"/>
  <c r="B53" i="65"/>
  <c r="B53" i="63"/>
  <c r="B53" i="62"/>
  <c r="M73" i="70"/>
  <c r="M73" i="66"/>
  <c r="M73" i="65"/>
  <c r="M73" i="63"/>
  <c r="M73" i="62"/>
  <c r="J73" i="70"/>
  <c r="J73" i="66"/>
  <c r="J73" i="65"/>
  <c r="J73" i="63"/>
  <c r="J73" i="62"/>
  <c r="K73" i="70"/>
  <c r="K73" i="66"/>
  <c r="K73" i="65"/>
  <c r="K73" i="62"/>
  <c r="K73" i="63"/>
  <c r="H73" i="70"/>
  <c r="H73" i="66"/>
  <c r="H73" i="65"/>
  <c r="H73" i="63"/>
  <c r="H73" i="62"/>
  <c r="T73" i="70"/>
  <c r="T73" i="66"/>
  <c r="T73" i="65"/>
  <c r="T73" i="63"/>
  <c r="T73" i="62"/>
  <c r="C102" i="70"/>
  <c r="C53" i="48"/>
  <c r="U73" i="48"/>
  <c r="AL132" i="65"/>
  <c r="C102" i="63"/>
  <c r="C102" i="62"/>
  <c r="C102" i="65"/>
  <c r="C102" i="66"/>
  <c r="O2" i="66"/>
  <c r="G120" i="65"/>
  <c r="K2" i="65"/>
  <c r="K18" i="65" s="1"/>
  <c r="I2" i="63"/>
  <c r="I2" i="62"/>
  <c r="U73" i="70" l="1"/>
  <c r="U73" i="66"/>
  <c r="U73" i="65"/>
  <c r="U73" i="63"/>
  <c r="U73" i="62"/>
  <c r="C148" i="48"/>
  <c r="C53" i="70"/>
  <c r="C54" i="70" s="1"/>
  <c r="C53" i="66"/>
  <c r="C53" i="65"/>
  <c r="C53" i="63"/>
  <c r="C53" i="62"/>
  <c r="C54" i="62" s="1"/>
  <c r="D53" i="48"/>
  <c r="V73" i="48"/>
  <c r="H153" i="65"/>
  <c r="AM132" i="65"/>
  <c r="P2" i="66"/>
  <c r="L2" i="65"/>
  <c r="L18" i="65" s="1"/>
  <c r="H120" i="65"/>
  <c r="J2" i="63"/>
  <c r="J2" i="62"/>
  <c r="B66" i="27"/>
  <c r="C51" i="27"/>
  <c r="C53" i="27" s="1"/>
  <c r="B36" i="48"/>
  <c r="D53" i="70" l="1"/>
  <c r="D53" i="66"/>
  <c r="D53" i="65"/>
  <c r="D53" i="63"/>
  <c r="D53" i="62"/>
  <c r="C54" i="63"/>
  <c r="C152" i="63"/>
  <c r="C54" i="65"/>
  <c r="C152" i="65"/>
  <c r="V73" i="70"/>
  <c r="V73" i="66"/>
  <c r="V73" i="65"/>
  <c r="V73" i="63"/>
  <c r="V73" i="62"/>
  <c r="C54" i="66"/>
  <c r="C152" i="66"/>
  <c r="B36" i="70"/>
  <c r="B36" i="66"/>
  <c r="B36" i="65"/>
  <c r="B36" i="63"/>
  <c r="B36" i="62"/>
  <c r="C152" i="70"/>
  <c r="D54" i="62"/>
  <c r="B151" i="27"/>
  <c r="B155" i="27" s="1"/>
  <c r="C152" i="62"/>
  <c r="E53" i="48"/>
  <c r="D148" i="48"/>
  <c r="W73" i="48"/>
  <c r="I153" i="65"/>
  <c r="AN132" i="65"/>
  <c r="Q2" i="66"/>
  <c r="I120" i="65"/>
  <c r="M2" i="65"/>
  <c r="M18" i="65" s="1"/>
  <c r="K2" i="63"/>
  <c r="K2" i="62"/>
  <c r="B39" i="48"/>
  <c r="B33" i="48"/>
  <c r="E53" i="70" l="1"/>
  <c r="E53" i="66"/>
  <c r="E53" i="65"/>
  <c r="E53" i="63"/>
  <c r="E53" i="62"/>
  <c r="E54" i="62" s="1"/>
  <c r="D54" i="63"/>
  <c r="D152" i="63"/>
  <c r="D54" i="65"/>
  <c r="D152" i="65"/>
  <c r="D54" i="66"/>
  <c r="D152" i="66"/>
  <c r="B34" i="48"/>
  <c r="B133" i="48" s="1"/>
  <c r="B33" i="70"/>
  <c r="B34" i="70" s="1"/>
  <c r="B33" i="66"/>
  <c r="B34" i="66" s="1"/>
  <c r="B134" i="66" s="1"/>
  <c r="B33" i="65"/>
  <c r="B34" i="65" s="1"/>
  <c r="B33" i="63"/>
  <c r="B34" i="63" s="1"/>
  <c r="B33" i="62"/>
  <c r="B34" i="62" s="1"/>
  <c r="W73" i="70"/>
  <c r="W73" i="66"/>
  <c r="W73" i="65"/>
  <c r="W73" i="62"/>
  <c r="W73" i="63"/>
  <c r="B39" i="70"/>
  <c r="B39" i="66"/>
  <c r="B39" i="65"/>
  <c r="B39" i="63"/>
  <c r="B39" i="62"/>
  <c r="D152" i="70"/>
  <c r="D54" i="70"/>
  <c r="B174" i="27"/>
  <c r="B175" i="27" s="1"/>
  <c r="B176" i="27" s="1"/>
  <c r="C155" i="27"/>
  <c r="D152" i="62"/>
  <c r="F53" i="48"/>
  <c r="E148" i="48"/>
  <c r="X73" i="48"/>
  <c r="J153" i="65"/>
  <c r="AO132" i="65"/>
  <c r="R2" i="66"/>
  <c r="N2" i="65"/>
  <c r="N18" i="65" s="1"/>
  <c r="J120" i="65"/>
  <c r="L2" i="63"/>
  <c r="L2" i="62"/>
  <c r="A30" i="48"/>
  <c r="A29" i="48"/>
  <c r="A28" i="48"/>
  <c r="B29" i="48"/>
  <c r="B28" i="48"/>
  <c r="B27" i="48"/>
  <c r="B26" i="48"/>
  <c r="B25" i="48"/>
  <c r="B16" i="48"/>
  <c r="B140" i="66" l="1"/>
  <c r="B139" i="66"/>
  <c r="B137" i="66" s="1"/>
  <c r="C34" i="48"/>
  <c r="B26" i="70"/>
  <c r="B26" i="66"/>
  <c r="B26" i="65"/>
  <c r="B26" i="62"/>
  <c r="B26" i="63"/>
  <c r="C34" i="65"/>
  <c r="B134" i="65"/>
  <c r="B139" i="65" s="1"/>
  <c r="B137" i="65" s="1"/>
  <c r="E54" i="63"/>
  <c r="E152" i="63"/>
  <c r="B27" i="70"/>
  <c r="B27" i="65"/>
  <c r="B27" i="66"/>
  <c r="B27" i="63"/>
  <c r="B27" i="62"/>
  <c r="C34" i="66"/>
  <c r="E54" i="65"/>
  <c r="E152" i="65"/>
  <c r="F53" i="70"/>
  <c r="F53" i="66"/>
  <c r="F53" i="65"/>
  <c r="F53" i="63"/>
  <c r="F53" i="62"/>
  <c r="F54" i="62" s="1"/>
  <c r="C34" i="62"/>
  <c r="B134" i="62"/>
  <c r="B139" i="62" s="1"/>
  <c r="B137" i="62" s="1"/>
  <c r="B134" i="70"/>
  <c r="B139" i="70" s="1"/>
  <c r="B137" i="70" s="1"/>
  <c r="C34" i="70"/>
  <c r="E54" i="66"/>
  <c r="E152" i="66"/>
  <c r="B16" i="66"/>
  <c r="B16" i="63"/>
  <c r="B16" i="62"/>
  <c r="B28" i="70"/>
  <c r="B28" i="66"/>
  <c r="B28" i="65"/>
  <c r="B28" i="63"/>
  <c r="B28" i="62"/>
  <c r="B25" i="70"/>
  <c r="B25" i="66"/>
  <c r="B25" i="65"/>
  <c r="B25" i="63"/>
  <c r="B25" i="62"/>
  <c r="B29" i="70"/>
  <c r="B29" i="65"/>
  <c r="B29" i="66"/>
  <c r="B29" i="63"/>
  <c r="B29" i="62"/>
  <c r="X73" i="70"/>
  <c r="X73" i="66"/>
  <c r="X73" i="65"/>
  <c r="X73" i="63"/>
  <c r="X73" i="62"/>
  <c r="C34" i="63"/>
  <c r="B134" i="63"/>
  <c r="B139" i="63" s="1"/>
  <c r="B137" i="63" s="1"/>
  <c r="B136" i="48"/>
  <c r="B135" i="48" s="1"/>
  <c r="B137" i="48"/>
  <c r="E152" i="70"/>
  <c r="E54" i="70"/>
  <c r="C133" i="48"/>
  <c r="D34" i="48"/>
  <c r="D155" i="27"/>
  <c r="C154" i="27"/>
  <c r="C174" i="27"/>
  <c r="C175" i="27" s="1"/>
  <c r="C176" i="27" s="1"/>
  <c r="C168" i="27"/>
  <c r="E152" i="62"/>
  <c r="G53" i="48"/>
  <c r="F148" i="48"/>
  <c r="Y73" i="48"/>
  <c r="K153" i="65"/>
  <c r="AP132" i="65"/>
  <c r="S2" i="66"/>
  <c r="O2" i="65"/>
  <c r="O18" i="65" s="1"/>
  <c r="K120" i="65"/>
  <c r="M2" i="63"/>
  <c r="M2" i="62"/>
  <c r="B105" i="48"/>
  <c r="B106" i="66" l="1"/>
  <c r="G53" i="70"/>
  <c r="G53" i="66"/>
  <c r="G53" i="65"/>
  <c r="G53" i="63"/>
  <c r="G53" i="62"/>
  <c r="G54" i="62" s="1"/>
  <c r="B106" i="65"/>
  <c r="F54" i="63"/>
  <c r="F152" i="63"/>
  <c r="C133" i="66"/>
  <c r="D34" i="66"/>
  <c r="Y73" i="70"/>
  <c r="Y73" i="66"/>
  <c r="Y73" i="65"/>
  <c r="Y73" i="63"/>
  <c r="Y73" i="62"/>
  <c r="F54" i="65"/>
  <c r="F152" i="65"/>
  <c r="D34" i="63"/>
  <c r="C134" i="63"/>
  <c r="B106" i="62"/>
  <c r="B106" i="70"/>
  <c r="C134" i="62"/>
  <c r="D34" i="62"/>
  <c r="F54" i="66"/>
  <c r="F152" i="66"/>
  <c r="D34" i="65"/>
  <c r="C134" i="65"/>
  <c r="B106" i="63"/>
  <c r="C134" i="70"/>
  <c r="D34" i="70"/>
  <c r="F152" i="70"/>
  <c r="F54" i="70"/>
  <c r="D174" i="27"/>
  <c r="D175" i="27" s="1"/>
  <c r="D176" i="27" s="1"/>
  <c r="D154" i="27"/>
  <c r="E155" i="27"/>
  <c r="D168" i="27"/>
  <c r="E34" i="48"/>
  <c r="D133" i="48"/>
  <c r="C136" i="48"/>
  <c r="F152" i="62"/>
  <c r="H53" i="48"/>
  <c r="G148" i="48"/>
  <c r="Z73" i="48"/>
  <c r="L153" i="65"/>
  <c r="AQ132" i="65"/>
  <c r="T2" i="66"/>
  <c r="P2" i="65"/>
  <c r="P18" i="65" s="1"/>
  <c r="M153" i="65"/>
  <c r="L120" i="65"/>
  <c r="N2" i="63"/>
  <c r="N2" i="62"/>
  <c r="BI47" i="48"/>
  <c r="BH47" i="48"/>
  <c r="BG47" i="48"/>
  <c r="BF47" i="48"/>
  <c r="BE47" i="48"/>
  <c r="BD47" i="48"/>
  <c r="BC47" i="48"/>
  <c r="BB47" i="48"/>
  <c r="BA47" i="48"/>
  <c r="AZ47" i="48"/>
  <c r="AY47" i="48"/>
  <c r="AX47" i="48"/>
  <c r="AW47" i="48"/>
  <c r="AV47" i="48"/>
  <c r="AU47" i="48"/>
  <c r="AT47" i="48"/>
  <c r="AS47" i="48"/>
  <c r="AR47" i="48"/>
  <c r="AQ47" i="48"/>
  <c r="AP47" i="48"/>
  <c r="AO47" i="48"/>
  <c r="AN47" i="48"/>
  <c r="AM47" i="48"/>
  <c r="AL47" i="48"/>
  <c r="AK47" i="48"/>
  <c r="AJ47" i="48"/>
  <c r="AI47" i="48"/>
  <c r="AH47" i="48"/>
  <c r="AG47" i="48"/>
  <c r="AF47" i="48"/>
  <c r="AE47" i="48"/>
  <c r="AD47" i="48"/>
  <c r="AC47" i="48"/>
  <c r="AB47" i="48"/>
  <c r="AA47" i="48"/>
  <c r="Z47" i="48"/>
  <c r="Y47" i="48"/>
  <c r="X47" i="48"/>
  <c r="W47" i="48"/>
  <c r="V47" i="48"/>
  <c r="U47" i="48"/>
  <c r="T47" i="48"/>
  <c r="S47" i="48"/>
  <c r="R47" i="48"/>
  <c r="Q47" i="48"/>
  <c r="P47" i="48"/>
  <c r="O47" i="48"/>
  <c r="N47" i="48"/>
  <c r="M47" i="48"/>
  <c r="L47" i="48"/>
  <c r="K47" i="48"/>
  <c r="J47" i="48"/>
  <c r="I47" i="48"/>
  <c r="H47" i="48"/>
  <c r="G47" i="48"/>
  <c r="F47" i="48"/>
  <c r="E47" i="48"/>
  <c r="D47" i="48"/>
  <c r="C47" i="48"/>
  <c r="C137" i="48" s="1"/>
  <c r="A47" i="48"/>
  <c r="C135" i="48" l="1"/>
  <c r="G54" i="63"/>
  <c r="G152" i="63"/>
  <c r="E34" i="70"/>
  <c r="D134" i="70"/>
  <c r="D35" i="70"/>
  <c r="D133" i="66"/>
  <c r="D35" i="66"/>
  <c r="E34" i="66"/>
  <c r="G54" i="65"/>
  <c r="G152" i="65"/>
  <c r="H53" i="70"/>
  <c r="H53" i="66"/>
  <c r="H53" i="65"/>
  <c r="H53" i="63"/>
  <c r="H53" i="62"/>
  <c r="H54" i="62" s="1"/>
  <c r="C140" i="70"/>
  <c r="C139" i="70"/>
  <c r="C137" i="70" s="1"/>
  <c r="D134" i="62"/>
  <c r="D35" i="62"/>
  <c r="E34" i="62"/>
  <c r="C140" i="63"/>
  <c r="C139" i="63"/>
  <c r="C137" i="63" s="1"/>
  <c r="C134" i="66"/>
  <c r="C140" i="66" s="1"/>
  <c r="C135" i="66"/>
  <c r="G54" i="66"/>
  <c r="G152" i="66"/>
  <c r="Z73" i="70"/>
  <c r="Z73" i="66"/>
  <c r="Z73" i="65"/>
  <c r="Z73" i="63"/>
  <c r="Z73" i="62"/>
  <c r="D134" i="65"/>
  <c r="E34" i="65"/>
  <c r="D35" i="65"/>
  <c r="C139" i="62"/>
  <c r="C137" i="62" s="1"/>
  <c r="C140" i="62"/>
  <c r="D134" i="63"/>
  <c r="D35" i="63"/>
  <c r="E34" i="63"/>
  <c r="G152" i="70"/>
  <c r="G54" i="70"/>
  <c r="E168" i="27"/>
  <c r="E174" i="27"/>
  <c r="E175" i="27" s="1"/>
  <c r="E176" i="27" s="1"/>
  <c r="E154" i="27"/>
  <c r="F155" i="27"/>
  <c r="D137" i="48"/>
  <c r="D136" i="48"/>
  <c r="D135" i="48" s="1"/>
  <c r="F34" i="48"/>
  <c r="E133" i="48"/>
  <c r="G152" i="62"/>
  <c r="I53" i="48"/>
  <c r="H148" i="48"/>
  <c r="AA73" i="48"/>
  <c r="AR132" i="65"/>
  <c r="U2" i="66"/>
  <c r="M120" i="65"/>
  <c r="Q2" i="65"/>
  <c r="Q18" i="65" s="1"/>
  <c r="N153" i="65"/>
  <c r="O2" i="63"/>
  <c r="O2" i="62"/>
  <c r="AO45" i="27"/>
  <c r="AP45" i="27" s="1"/>
  <c r="AQ45" i="27" s="1"/>
  <c r="AR45" i="27" s="1"/>
  <c r="AS45" i="27" s="1"/>
  <c r="AT45" i="27" s="1"/>
  <c r="AU45" i="27" s="1"/>
  <c r="AV45" i="27" s="1"/>
  <c r="AW45" i="27" s="1"/>
  <c r="AX45" i="27" s="1"/>
  <c r="AY45" i="27" s="1"/>
  <c r="AZ45" i="27" s="1"/>
  <c r="BA45" i="27" s="1"/>
  <c r="BB45" i="27" s="1"/>
  <c r="BC45" i="27" s="1"/>
  <c r="BD45" i="27" s="1"/>
  <c r="BE45" i="27" s="1"/>
  <c r="BF45" i="27" s="1"/>
  <c r="BG45" i="27" s="1"/>
  <c r="BH45" i="27" s="1"/>
  <c r="BI45" i="27" s="1"/>
  <c r="BJ45" i="27" s="1"/>
  <c r="BK45" i="27" s="1"/>
  <c r="BL45" i="27" s="1"/>
  <c r="BM45" i="27" s="1"/>
  <c r="BN45" i="27" s="1"/>
  <c r="BO45" i="27" s="1"/>
  <c r="BP45" i="27" s="1"/>
  <c r="BQ45" i="27" s="1"/>
  <c r="BR45" i="27" s="1"/>
  <c r="BS45" i="27" s="1"/>
  <c r="BT45" i="27" s="1"/>
  <c r="BU45" i="27" s="1"/>
  <c r="BV45" i="27" s="1"/>
  <c r="BW45" i="27" s="1"/>
  <c r="BX45" i="27" s="1"/>
  <c r="BY45" i="27" s="1"/>
  <c r="BZ45" i="27" s="1"/>
  <c r="CA45" i="27" s="1"/>
  <c r="CB45" i="27" s="1"/>
  <c r="CC45" i="27" s="1"/>
  <c r="CD45" i="27" s="1"/>
  <c r="CE45" i="27" s="1"/>
  <c r="CF45" i="27" s="1"/>
  <c r="CG45" i="27" s="1"/>
  <c r="CH45" i="27" s="1"/>
  <c r="CI45" i="27" s="1"/>
  <c r="CJ45" i="27" s="1"/>
  <c r="CK45" i="27" s="1"/>
  <c r="CL45" i="27" s="1"/>
  <c r="CM45" i="27" s="1"/>
  <c r="CN45" i="27" s="1"/>
  <c r="CO45" i="27" s="1"/>
  <c r="CP45" i="27" s="1"/>
  <c r="CQ45" i="27" s="1"/>
  <c r="CR45" i="27" s="1"/>
  <c r="CS45" i="27" s="1"/>
  <c r="CT45" i="27" s="1"/>
  <c r="CU45" i="27" s="1"/>
  <c r="CV45" i="27" s="1"/>
  <c r="CW45" i="27" s="1"/>
  <c r="CX45" i="27" s="1"/>
  <c r="CY45" i="27" s="1"/>
  <c r="CZ45" i="27" s="1"/>
  <c r="DA45" i="27" s="1"/>
  <c r="DB45" i="27" s="1"/>
  <c r="DC45" i="27" s="1"/>
  <c r="DD45" i="27" s="1"/>
  <c r="DE45" i="27" s="1"/>
  <c r="DF45" i="27" s="1"/>
  <c r="DG45" i="27" s="1"/>
  <c r="DH45" i="27" s="1"/>
  <c r="DI45" i="27" s="1"/>
  <c r="DJ45" i="27" s="1"/>
  <c r="DK45" i="27" s="1"/>
  <c r="DL45" i="27" s="1"/>
  <c r="DM45" i="27" s="1"/>
  <c r="DN45" i="27" s="1"/>
  <c r="DO45" i="27" s="1"/>
  <c r="DP45" i="27" s="1"/>
  <c r="DQ45" i="27" s="1"/>
  <c r="DR45" i="27" s="1"/>
  <c r="DS45" i="27" s="1"/>
  <c r="DT45" i="27" s="1"/>
  <c r="DU45" i="27" s="1"/>
  <c r="DV45" i="27" s="1"/>
  <c r="DW45" i="27" s="1"/>
  <c r="DX45" i="27" s="1"/>
  <c r="DY45" i="27" s="1"/>
  <c r="DZ45" i="27" s="1"/>
  <c r="EA45" i="27" s="1"/>
  <c r="EB45" i="27" s="1"/>
  <c r="EC45" i="27" s="1"/>
  <c r="ED45" i="27" s="1"/>
  <c r="EE45" i="27" s="1"/>
  <c r="EF45" i="27" s="1"/>
  <c r="EG45" i="27" s="1"/>
  <c r="EH45" i="27" s="1"/>
  <c r="EI45" i="27" s="1"/>
  <c r="EJ45" i="27" s="1"/>
  <c r="AO44" i="27"/>
  <c r="AP44" i="27" s="1"/>
  <c r="AQ44" i="27" s="1"/>
  <c r="AR44" i="27" s="1"/>
  <c r="AS44" i="27" s="1"/>
  <c r="AT44" i="27" s="1"/>
  <c r="AU44" i="27" s="1"/>
  <c r="AV44" i="27" s="1"/>
  <c r="AW44" i="27" s="1"/>
  <c r="AX44" i="27" s="1"/>
  <c r="AY44" i="27" s="1"/>
  <c r="AZ44" i="27" s="1"/>
  <c r="BA44" i="27" s="1"/>
  <c r="BB44" i="27" s="1"/>
  <c r="BC44" i="27" s="1"/>
  <c r="BD44" i="27" s="1"/>
  <c r="BE44" i="27" s="1"/>
  <c r="BF44" i="27" s="1"/>
  <c r="BG44" i="27" s="1"/>
  <c r="BH44" i="27" s="1"/>
  <c r="BI44" i="27" s="1"/>
  <c r="BJ44" i="27" s="1"/>
  <c r="BK44" i="27" s="1"/>
  <c r="BL44" i="27" s="1"/>
  <c r="BM44" i="27" s="1"/>
  <c r="BN44" i="27" s="1"/>
  <c r="BO44" i="27" s="1"/>
  <c r="BP44" i="27" s="1"/>
  <c r="BQ44" i="27" s="1"/>
  <c r="BR44" i="27" s="1"/>
  <c r="BS44" i="27" s="1"/>
  <c r="BT44" i="27" s="1"/>
  <c r="BU44" i="27" s="1"/>
  <c r="BV44" i="27" s="1"/>
  <c r="BW44" i="27" s="1"/>
  <c r="H54" i="65" l="1"/>
  <c r="H152" i="65"/>
  <c r="D134" i="66"/>
  <c r="D140" i="66" s="1"/>
  <c r="D135" i="66"/>
  <c r="E134" i="70"/>
  <c r="E35" i="70"/>
  <c r="F34" i="70"/>
  <c r="I53" i="70"/>
  <c r="I53" i="66"/>
  <c r="I53" i="65"/>
  <c r="I53" i="63"/>
  <c r="I53" i="62"/>
  <c r="AA73" i="70"/>
  <c r="AA73" i="66"/>
  <c r="AA73" i="65"/>
  <c r="AA73" i="63"/>
  <c r="AA73" i="62"/>
  <c r="E134" i="62"/>
  <c r="E35" i="62"/>
  <c r="F34" i="62"/>
  <c r="H54" i="66"/>
  <c r="H152" i="66"/>
  <c r="D140" i="63"/>
  <c r="D139" i="63"/>
  <c r="D137" i="63" s="1"/>
  <c r="H152" i="70"/>
  <c r="H54" i="70"/>
  <c r="E133" i="66"/>
  <c r="F34" i="66"/>
  <c r="E35" i="66"/>
  <c r="E134" i="63"/>
  <c r="E140" i="63" s="1"/>
  <c r="E35" i="63"/>
  <c r="F34" i="63"/>
  <c r="E134" i="65"/>
  <c r="E35" i="65"/>
  <c r="F34" i="65"/>
  <c r="H54" i="63"/>
  <c r="H152" i="63"/>
  <c r="D140" i="70"/>
  <c r="D139" i="70"/>
  <c r="D137" i="70" s="1"/>
  <c r="F154" i="27"/>
  <c r="F168" i="27"/>
  <c r="F174" i="27"/>
  <c r="F175" i="27" s="1"/>
  <c r="F176" i="27" s="1"/>
  <c r="G155" i="27"/>
  <c r="I54" i="62"/>
  <c r="E137" i="48"/>
  <c r="E136" i="48"/>
  <c r="E135" i="48" s="1"/>
  <c r="G34" i="48"/>
  <c r="F133" i="48"/>
  <c r="H152" i="62"/>
  <c r="J53" i="48"/>
  <c r="I148" i="48"/>
  <c r="AB73" i="48"/>
  <c r="AS132" i="65"/>
  <c r="V2" i="66"/>
  <c r="AO46" i="27"/>
  <c r="R2" i="65"/>
  <c r="R18" i="65" s="1"/>
  <c r="N120" i="65"/>
  <c r="P2" i="63"/>
  <c r="P2" i="62"/>
  <c r="AO47" i="27"/>
  <c r="J53" i="70" l="1"/>
  <c r="J53" i="66"/>
  <c r="J53" i="65"/>
  <c r="J53" i="62"/>
  <c r="J54" i="62" s="1"/>
  <c r="J53" i="63"/>
  <c r="I54" i="65"/>
  <c r="I152" i="65"/>
  <c r="F134" i="70"/>
  <c r="G34" i="70"/>
  <c r="F35" i="70"/>
  <c r="E134" i="66"/>
  <c r="E140" i="66" s="1"/>
  <c r="E135" i="66"/>
  <c r="I54" i="66"/>
  <c r="I152" i="66"/>
  <c r="F134" i="63"/>
  <c r="F140" i="63" s="1"/>
  <c r="G34" i="63"/>
  <c r="F35" i="63"/>
  <c r="F134" i="62"/>
  <c r="F35" i="62"/>
  <c r="G34" i="62"/>
  <c r="I152" i="70"/>
  <c r="I54" i="70"/>
  <c r="E139" i="70"/>
  <c r="E137" i="70" s="1"/>
  <c r="E140" i="70"/>
  <c r="AB73" i="70"/>
  <c r="AB73" i="66"/>
  <c r="AB73" i="65"/>
  <c r="AB73" i="63"/>
  <c r="AB73" i="62"/>
  <c r="E139" i="63"/>
  <c r="E137" i="63" s="1"/>
  <c r="F134" i="65"/>
  <c r="G34" i="65"/>
  <c r="F35" i="65"/>
  <c r="F133" i="66"/>
  <c r="F35" i="66"/>
  <c r="G34" i="66"/>
  <c r="I54" i="63"/>
  <c r="I152" i="63"/>
  <c r="H155" i="27"/>
  <c r="G168" i="27"/>
  <c r="G174" i="27"/>
  <c r="G175" i="27" s="1"/>
  <c r="G176" i="27" s="1"/>
  <c r="G154" i="27"/>
  <c r="F137" i="48"/>
  <c r="F136" i="48"/>
  <c r="F135" i="48" s="1"/>
  <c r="H34" i="48"/>
  <c r="G133" i="48"/>
  <c r="I152" i="62"/>
  <c r="J148" i="48"/>
  <c r="K53" i="48"/>
  <c r="E92" i="27"/>
  <c r="AC73" i="48"/>
  <c r="O153" i="65"/>
  <c r="AT132" i="65"/>
  <c r="AP47" i="27"/>
  <c r="W2" i="66"/>
  <c r="AP46" i="27"/>
  <c r="S2" i="65"/>
  <c r="S18" i="65" s="1"/>
  <c r="O120" i="65"/>
  <c r="Q2" i="63"/>
  <c r="Q2" i="62"/>
  <c r="F134" i="66" l="1"/>
  <c r="F140" i="66" s="1"/>
  <c r="F135" i="66"/>
  <c r="G134" i="62"/>
  <c r="G35" i="62"/>
  <c r="H34" i="62"/>
  <c r="AC73" i="70"/>
  <c r="AC73" i="66"/>
  <c r="AC73" i="65"/>
  <c r="AC73" i="63"/>
  <c r="AC73" i="62"/>
  <c r="G134" i="63"/>
  <c r="G140" i="63" s="1"/>
  <c r="H34" i="63"/>
  <c r="G35" i="63"/>
  <c r="J54" i="65"/>
  <c r="J152" i="65"/>
  <c r="G134" i="70"/>
  <c r="H34" i="70"/>
  <c r="G35" i="70"/>
  <c r="J54" i="66"/>
  <c r="J152" i="66"/>
  <c r="G133" i="66"/>
  <c r="G35" i="66"/>
  <c r="H34" i="66"/>
  <c r="K53" i="70"/>
  <c r="K53" i="66"/>
  <c r="K53" i="65"/>
  <c r="K53" i="63"/>
  <c r="K53" i="62"/>
  <c r="K54" i="62" s="1"/>
  <c r="G134" i="65"/>
  <c r="G35" i="65"/>
  <c r="H34" i="65"/>
  <c r="F140" i="70"/>
  <c r="F139" i="70"/>
  <c r="F137" i="70" s="1"/>
  <c r="J54" i="63"/>
  <c r="J152" i="63"/>
  <c r="J152" i="70"/>
  <c r="J54" i="70"/>
  <c r="G137" i="48"/>
  <c r="G136" i="48"/>
  <c r="G135" i="48" s="1"/>
  <c r="I34" i="48"/>
  <c r="H133" i="48"/>
  <c r="H168" i="27"/>
  <c r="H174" i="27"/>
  <c r="H175" i="27" s="1"/>
  <c r="H176" i="27" s="1"/>
  <c r="H154" i="27"/>
  <c r="I155" i="27"/>
  <c r="J152" i="62"/>
  <c r="L53" i="48"/>
  <c r="K148" i="48"/>
  <c r="AD73" i="48"/>
  <c r="P153" i="65"/>
  <c r="AU132" i="65"/>
  <c r="AQ47" i="27"/>
  <c r="X2" i="66"/>
  <c r="AQ46" i="27"/>
  <c r="P120" i="65"/>
  <c r="T2" i="65"/>
  <c r="T18" i="65" s="1"/>
  <c r="R2" i="63"/>
  <c r="R2" i="62"/>
  <c r="M53" i="48" l="1"/>
  <c r="L53" i="70"/>
  <c r="L53" i="66"/>
  <c r="L53" i="65"/>
  <c r="L53" i="63"/>
  <c r="L53" i="62"/>
  <c r="L54" i="62" s="1"/>
  <c r="K54" i="70"/>
  <c r="K152" i="70"/>
  <c r="G134" i="66"/>
  <c r="G140" i="66" s="1"/>
  <c r="G135" i="66"/>
  <c r="H134" i="65"/>
  <c r="H35" i="65"/>
  <c r="I34" i="65"/>
  <c r="K54" i="63"/>
  <c r="K152" i="63"/>
  <c r="H134" i="70"/>
  <c r="H35" i="70"/>
  <c r="I34" i="70"/>
  <c r="K54" i="65"/>
  <c r="K152" i="65"/>
  <c r="H133" i="66"/>
  <c r="I34" i="66"/>
  <c r="H35" i="66"/>
  <c r="G139" i="70"/>
  <c r="G137" i="70" s="1"/>
  <c r="G140" i="70"/>
  <c r="H134" i="63"/>
  <c r="H140" i="63" s="1"/>
  <c r="H35" i="63"/>
  <c r="I34" i="63"/>
  <c r="H134" i="62"/>
  <c r="H35" i="62"/>
  <c r="I34" i="62"/>
  <c r="AD73" i="70"/>
  <c r="AD73" i="66"/>
  <c r="AD73" i="65"/>
  <c r="AD73" i="63"/>
  <c r="AD73" i="62"/>
  <c r="K54" i="66"/>
  <c r="K152" i="66"/>
  <c r="H137" i="48"/>
  <c r="H136" i="48"/>
  <c r="H135" i="48" s="1"/>
  <c r="J34" i="48"/>
  <c r="I133" i="48"/>
  <c r="J155" i="27"/>
  <c r="I168" i="27"/>
  <c r="I174" i="27"/>
  <c r="I175" i="27" s="1"/>
  <c r="I176" i="27" s="1"/>
  <c r="I154" i="27"/>
  <c r="K152" i="62"/>
  <c r="L148" i="48"/>
  <c r="AE73" i="48"/>
  <c r="Q153" i="65"/>
  <c r="AR47" i="27"/>
  <c r="AV132" i="65"/>
  <c r="Y2" i="66"/>
  <c r="AR46" i="27"/>
  <c r="U2" i="65"/>
  <c r="U18" i="65" s="1"/>
  <c r="Q120" i="65"/>
  <c r="F139" i="63"/>
  <c r="S2" i="63"/>
  <c r="S2" i="62"/>
  <c r="AE73" i="70" l="1"/>
  <c r="AE73" i="66"/>
  <c r="AE73" i="65"/>
  <c r="AE73" i="63"/>
  <c r="AE73" i="62"/>
  <c r="L54" i="65"/>
  <c r="L152" i="65"/>
  <c r="I134" i="63"/>
  <c r="I140" i="63" s="1"/>
  <c r="J34" i="63"/>
  <c r="I35" i="63"/>
  <c r="I133" i="66"/>
  <c r="J34" i="66"/>
  <c r="I35" i="66"/>
  <c r="H139" i="70"/>
  <c r="H137" i="70" s="1"/>
  <c r="H140" i="70"/>
  <c r="I134" i="65"/>
  <c r="I35" i="65"/>
  <c r="J34" i="65"/>
  <c r="L54" i="66"/>
  <c r="L152" i="66"/>
  <c r="I134" i="62"/>
  <c r="I35" i="62"/>
  <c r="J34" i="62"/>
  <c r="H134" i="66"/>
  <c r="H140" i="66" s="1"/>
  <c r="H135" i="66"/>
  <c r="L54" i="70"/>
  <c r="L152" i="70"/>
  <c r="I134" i="70"/>
  <c r="I35" i="70"/>
  <c r="J34" i="70"/>
  <c r="L54" i="63"/>
  <c r="L152" i="63"/>
  <c r="M53" i="70"/>
  <c r="M53" i="66"/>
  <c r="M53" i="65"/>
  <c r="M53" i="63"/>
  <c r="M53" i="62"/>
  <c r="M54" i="62" s="1"/>
  <c r="I137" i="48"/>
  <c r="I136" i="48"/>
  <c r="I135" i="48" s="1"/>
  <c r="J174" i="27"/>
  <c r="J175" i="27" s="1"/>
  <c r="J176" i="27" s="1"/>
  <c r="J154" i="27"/>
  <c r="K155" i="27"/>
  <c r="J168" i="27"/>
  <c r="K34" i="48"/>
  <c r="J133" i="48"/>
  <c r="L152" i="62"/>
  <c r="N53" i="48"/>
  <c r="M148" i="48"/>
  <c r="AF73" i="48"/>
  <c r="AS47" i="27"/>
  <c r="R153" i="65"/>
  <c r="AW132" i="65"/>
  <c r="Z2" i="66"/>
  <c r="AS46" i="27"/>
  <c r="F137" i="63"/>
  <c r="R120" i="65"/>
  <c r="V2" i="65"/>
  <c r="V18" i="65" s="1"/>
  <c r="T2" i="63"/>
  <c r="T2" i="62"/>
  <c r="M54" i="63" l="1"/>
  <c r="M152" i="63"/>
  <c r="M54" i="65"/>
  <c r="M152" i="65"/>
  <c r="I140" i="70"/>
  <c r="I139" i="70"/>
  <c r="I137" i="70" s="1"/>
  <c r="J134" i="62"/>
  <c r="J35" i="62"/>
  <c r="K34" i="62"/>
  <c r="N53" i="70"/>
  <c r="N53" i="66"/>
  <c r="N53" i="65"/>
  <c r="N53" i="63"/>
  <c r="N53" i="62"/>
  <c r="N54" i="62" s="1"/>
  <c r="M54" i="66"/>
  <c r="M152" i="66"/>
  <c r="J133" i="66"/>
  <c r="J35" i="66"/>
  <c r="K34" i="66"/>
  <c r="J134" i="63"/>
  <c r="J140" i="63" s="1"/>
  <c r="K34" i="63"/>
  <c r="J35" i="63"/>
  <c r="AF73" i="70"/>
  <c r="AF73" i="66"/>
  <c r="AF73" i="65"/>
  <c r="AF73" i="63"/>
  <c r="AF73" i="62"/>
  <c r="M152" i="70"/>
  <c r="M54" i="70"/>
  <c r="J134" i="70"/>
  <c r="J35" i="70"/>
  <c r="K34" i="70"/>
  <c r="J134" i="65"/>
  <c r="K34" i="65"/>
  <c r="J35" i="65"/>
  <c r="I134" i="66"/>
  <c r="I140" i="66" s="1"/>
  <c r="I135" i="66"/>
  <c r="J137" i="48"/>
  <c r="J136" i="48"/>
  <c r="J135" i="48" s="1"/>
  <c r="K174" i="27"/>
  <c r="K175" i="27" s="1"/>
  <c r="K176" i="27" s="1"/>
  <c r="K168" i="27"/>
  <c r="K154" i="27"/>
  <c r="L155" i="27"/>
  <c r="L34" i="48"/>
  <c r="K133" i="48"/>
  <c r="M152" i="62"/>
  <c r="O53" i="48"/>
  <c r="N148" i="48"/>
  <c r="AT47" i="27"/>
  <c r="AG73" i="48"/>
  <c r="S153" i="65"/>
  <c r="AX132" i="65"/>
  <c r="D140" i="62"/>
  <c r="D139" i="62"/>
  <c r="C140" i="65"/>
  <c r="C139" i="65"/>
  <c r="AA2" i="66"/>
  <c r="AT46" i="27"/>
  <c r="S120" i="65"/>
  <c r="W2" i="65"/>
  <c r="W18" i="65" s="1"/>
  <c r="U2" i="63"/>
  <c r="U2" i="62"/>
  <c r="AG73" i="70" l="1"/>
  <c r="AG73" i="66"/>
  <c r="AG73" i="65"/>
  <c r="AG73" i="63"/>
  <c r="AG73" i="62"/>
  <c r="O53" i="70"/>
  <c r="O53" i="66"/>
  <c r="O53" i="65"/>
  <c r="O53" i="63"/>
  <c r="O53" i="62"/>
  <c r="O54" i="62" s="1"/>
  <c r="K134" i="70"/>
  <c r="K35" i="70"/>
  <c r="L34" i="70"/>
  <c r="N54" i="66"/>
  <c r="N152" i="66"/>
  <c r="K134" i="65"/>
  <c r="K35" i="65"/>
  <c r="L34" i="65"/>
  <c r="K134" i="63"/>
  <c r="K140" i="63" s="1"/>
  <c r="L34" i="63"/>
  <c r="K35" i="63"/>
  <c r="O54" i="70"/>
  <c r="N152" i="70"/>
  <c r="N54" i="70"/>
  <c r="J140" i="70"/>
  <c r="J139" i="70"/>
  <c r="J137" i="70" s="1"/>
  <c r="J134" i="66"/>
  <c r="J140" i="66" s="1"/>
  <c r="J135" i="66"/>
  <c r="N54" i="63"/>
  <c r="N152" i="63"/>
  <c r="K134" i="62"/>
  <c r="L34" i="62"/>
  <c r="K35" i="62"/>
  <c r="K133" i="66"/>
  <c r="L34" i="66"/>
  <c r="K35" i="66"/>
  <c r="N54" i="65"/>
  <c r="N152" i="65"/>
  <c r="K137" i="48"/>
  <c r="K136" i="48"/>
  <c r="K135" i="48" s="1"/>
  <c r="L174" i="27"/>
  <c r="L175" i="27" s="1"/>
  <c r="L176" i="27" s="1"/>
  <c r="L154" i="27"/>
  <c r="L168" i="27"/>
  <c r="M155" i="27"/>
  <c r="M34" i="48"/>
  <c r="N34" i="48" s="1"/>
  <c r="L133" i="48"/>
  <c r="AU47" i="27"/>
  <c r="N152" i="62"/>
  <c r="P53" i="48"/>
  <c r="O148" i="48"/>
  <c r="AH73" i="48"/>
  <c r="T153" i="65"/>
  <c r="AY132" i="65"/>
  <c r="D137" i="62"/>
  <c r="C137" i="65"/>
  <c r="AB2" i="66"/>
  <c r="AU46" i="27"/>
  <c r="X2" i="65"/>
  <c r="X18" i="65" s="1"/>
  <c r="T120" i="65"/>
  <c r="V2" i="63"/>
  <c r="V2" i="62"/>
  <c r="AV47" i="27"/>
  <c r="K134" i="66" l="1"/>
  <c r="K140" i="66" s="1"/>
  <c r="K135" i="66"/>
  <c r="O54" i="65"/>
  <c r="O152" i="65"/>
  <c r="L134" i="63"/>
  <c r="L140" i="63" s="1"/>
  <c r="M34" i="63"/>
  <c r="L35" i="63"/>
  <c r="L134" i="65"/>
  <c r="L35" i="65"/>
  <c r="M34" i="65"/>
  <c r="K140" i="70"/>
  <c r="K139" i="70"/>
  <c r="K137" i="70" s="1"/>
  <c r="O54" i="66"/>
  <c r="O152" i="66"/>
  <c r="L134" i="62"/>
  <c r="M34" i="62"/>
  <c r="L35" i="62"/>
  <c r="O152" i="70"/>
  <c r="AH73" i="70"/>
  <c r="AH73" i="66"/>
  <c r="AH73" i="65"/>
  <c r="AH73" i="63"/>
  <c r="AH73" i="62"/>
  <c r="P53" i="70"/>
  <c r="P53" i="66"/>
  <c r="P53" i="65"/>
  <c r="P53" i="63"/>
  <c r="P53" i="62"/>
  <c r="P54" i="62" s="1"/>
  <c r="L133" i="66"/>
  <c r="M34" i="66"/>
  <c r="L35" i="66"/>
  <c r="L134" i="70"/>
  <c r="L35" i="70"/>
  <c r="M34" i="70"/>
  <c r="O54" i="63"/>
  <c r="O152" i="63"/>
  <c r="O34" i="48"/>
  <c r="N133" i="48"/>
  <c r="L137" i="48"/>
  <c r="L136" i="48"/>
  <c r="L135" i="48" s="1"/>
  <c r="M174" i="27"/>
  <c r="M175" i="27" s="1"/>
  <c r="M176" i="27" s="1"/>
  <c r="M154" i="27"/>
  <c r="N155" i="27"/>
  <c r="M168" i="27"/>
  <c r="M133" i="48"/>
  <c r="O152" i="62"/>
  <c r="Q53" i="48"/>
  <c r="P148" i="48"/>
  <c r="AI73" i="48"/>
  <c r="U153" i="65"/>
  <c r="AZ132" i="65"/>
  <c r="AC2" i="66"/>
  <c r="AV46" i="27"/>
  <c r="U120" i="65"/>
  <c r="Y2" i="65"/>
  <c r="Y18" i="65" s="1"/>
  <c r="W2" i="63"/>
  <c r="G139" i="63"/>
  <c r="W2" i="62"/>
  <c r="AW47" i="27"/>
  <c r="M134" i="70" l="1"/>
  <c r="M35" i="70"/>
  <c r="N34" i="70"/>
  <c r="P54" i="63"/>
  <c r="P152" i="63"/>
  <c r="M134" i="62"/>
  <c r="M35" i="62"/>
  <c r="N34" i="62"/>
  <c r="M134" i="63"/>
  <c r="M140" i="63" s="1"/>
  <c r="M35" i="63"/>
  <c r="N34" i="63"/>
  <c r="M133" i="66"/>
  <c r="M35" i="66"/>
  <c r="N34" i="66"/>
  <c r="P54" i="65"/>
  <c r="P152" i="65"/>
  <c r="AI73" i="70"/>
  <c r="AI73" i="66"/>
  <c r="AI73" i="65"/>
  <c r="AI73" i="63"/>
  <c r="AI73" i="62"/>
  <c r="L139" i="70"/>
  <c r="L137" i="70" s="1"/>
  <c r="L140" i="70"/>
  <c r="L134" i="66"/>
  <c r="L140" i="66" s="1"/>
  <c r="L135" i="66"/>
  <c r="P54" i="66"/>
  <c r="P152" i="66"/>
  <c r="M134" i="65"/>
  <c r="M35" i="65"/>
  <c r="N34" i="65"/>
  <c r="Q53" i="70"/>
  <c r="Q53" i="66"/>
  <c r="Q53" i="65"/>
  <c r="Q53" i="63"/>
  <c r="Q53" i="62"/>
  <c r="Q54" i="62" s="1"/>
  <c r="P152" i="70"/>
  <c r="P54" i="70"/>
  <c r="N174" i="27"/>
  <c r="N175" i="27" s="1"/>
  <c r="N176" i="27" s="1"/>
  <c r="N154" i="27"/>
  <c r="O155" i="27"/>
  <c r="N168" i="27"/>
  <c r="N137" i="48"/>
  <c r="N136" i="48"/>
  <c r="N135" i="48" s="1"/>
  <c r="M137" i="48"/>
  <c r="M136" i="48"/>
  <c r="M135" i="48" s="1"/>
  <c r="P34" i="48"/>
  <c r="O133" i="48"/>
  <c r="P152" i="62"/>
  <c r="R53" i="48"/>
  <c r="Q148" i="48"/>
  <c r="AJ73" i="48"/>
  <c r="V153" i="65"/>
  <c r="BA132" i="65"/>
  <c r="AD2" i="66"/>
  <c r="AW46" i="27"/>
  <c r="G137" i="63"/>
  <c r="Z2" i="65"/>
  <c r="Z18" i="65" s="1"/>
  <c r="V120" i="65"/>
  <c r="X2" i="63"/>
  <c r="X2" i="62"/>
  <c r="AX47" i="27"/>
  <c r="Q54" i="63" l="1"/>
  <c r="Q152" i="63"/>
  <c r="N134" i="65"/>
  <c r="N35" i="65"/>
  <c r="O34" i="65"/>
  <c r="Q54" i="65"/>
  <c r="Q152" i="65"/>
  <c r="M134" i="66"/>
  <c r="M140" i="66" s="1"/>
  <c r="M135" i="66"/>
  <c r="N134" i="70"/>
  <c r="N35" i="70"/>
  <c r="O34" i="70"/>
  <c r="R53" i="70"/>
  <c r="R53" i="66"/>
  <c r="R53" i="65"/>
  <c r="R53" i="63"/>
  <c r="R53" i="62"/>
  <c r="R54" i="62" s="1"/>
  <c r="Q54" i="66"/>
  <c r="Q152" i="66"/>
  <c r="AJ73" i="70"/>
  <c r="AJ73" i="66"/>
  <c r="AJ73" i="65"/>
  <c r="AJ73" i="63"/>
  <c r="AJ73" i="62"/>
  <c r="Q152" i="70"/>
  <c r="Q54" i="70"/>
  <c r="N133" i="66"/>
  <c r="O34" i="66"/>
  <c r="N35" i="66"/>
  <c r="N134" i="63"/>
  <c r="N140" i="63" s="1"/>
  <c r="N35" i="63"/>
  <c r="O34" i="63"/>
  <c r="N134" i="62"/>
  <c r="O34" i="62"/>
  <c r="N35" i="62"/>
  <c r="M140" i="70"/>
  <c r="M139" i="70"/>
  <c r="M137" i="70" s="1"/>
  <c r="O174" i="27"/>
  <c r="O175" i="27" s="1"/>
  <c r="O176" i="27" s="1"/>
  <c r="O154" i="27"/>
  <c r="O168" i="27"/>
  <c r="P155" i="27"/>
  <c r="O137" i="48"/>
  <c r="O136" i="48"/>
  <c r="O135" i="48" s="1"/>
  <c r="Q34" i="48"/>
  <c r="P133" i="48"/>
  <c r="Q152" i="62"/>
  <c r="S53" i="48"/>
  <c r="R148" i="48"/>
  <c r="AK73" i="48"/>
  <c r="W153" i="65"/>
  <c r="BB132" i="65"/>
  <c r="AE2" i="66"/>
  <c r="AX46" i="27"/>
  <c r="W120" i="65"/>
  <c r="AA2" i="65"/>
  <c r="AA18" i="65" s="1"/>
  <c r="Y2" i="63"/>
  <c r="Y2" i="62"/>
  <c r="AY47" i="27"/>
  <c r="N134" i="66" l="1"/>
  <c r="N140" i="66" s="1"/>
  <c r="N135" i="66"/>
  <c r="R54" i="66"/>
  <c r="R152" i="66"/>
  <c r="R152" i="70"/>
  <c r="R54" i="70"/>
  <c r="N139" i="70"/>
  <c r="N137" i="70" s="1"/>
  <c r="N140" i="70"/>
  <c r="AK73" i="70"/>
  <c r="AK73" i="66"/>
  <c r="AK73" i="65"/>
  <c r="AK73" i="63"/>
  <c r="AK73" i="62"/>
  <c r="S53" i="70"/>
  <c r="S53" i="66"/>
  <c r="S53" i="65"/>
  <c r="S53" i="63"/>
  <c r="S53" i="62"/>
  <c r="S54" i="62" s="1"/>
  <c r="O134" i="63"/>
  <c r="O140" i="63" s="1"/>
  <c r="O35" i="63"/>
  <c r="P34" i="63"/>
  <c r="R54" i="63"/>
  <c r="R152" i="63"/>
  <c r="O134" i="62"/>
  <c r="P34" i="62"/>
  <c r="O35" i="62"/>
  <c r="O133" i="66"/>
  <c r="O35" i="66"/>
  <c r="P34" i="66"/>
  <c r="R54" i="65"/>
  <c r="R152" i="65"/>
  <c r="O134" i="70"/>
  <c r="O35" i="70"/>
  <c r="P34" i="70"/>
  <c r="O134" i="65"/>
  <c r="P34" i="65"/>
  <c r="O35" i="65"/>
  <c r="P137" i="48"/>
  <c r="P136" i="48"/>
  <c r="P135" i="48" s="1"/>
  <c r="P174" i="27"/>
  <c r="P175" i="27" s="1"/>
  <c r="P176" i="27" s="1"/>
  <c r="P168" i="27"/>
  <c r="P154" i="27"/>
  <c r="Q155" i="27"/>
  <c r="R34" i="48"/>
  <c r="Q133" i="48"/>
  <c r="R152" i="62"/>
  <c r="T53" i="48"/>
  <c r="S148" i="48"/>
  <c r="AL73" i="48"/>
  <c r="X153" i="65"/>
  <c r="BC132" i="65"/>
  <c r="AF2" i="66"/>
  <c r="AY46" i="27"/>
  <c r="AB2" i="65"/>
  <c r="AB18" i="65" s="1"/>
  <c r="X120" i="65"/>
  <c r="H139" i="63"/>
  <c r="Z2" i="63"/>
  <c r="Z2" i="62"/>
  <c r="AZ47" i="27"/>
  <c r="AL73" i="70" l="1"/>
  <c r="AL73" i="66"/>
  <c r="AL73" i="65"/>
  <c r="AL73" i="63"/>
  <c r="AL73" i="62"/>
  <c r="P133" i="66"/>
  <c r="P35" i="66"/>
  <c r="Q34" i="66"/>
  <c r="P134" i="62"/>
  <c r="P35" i="62"/>
  <c r="Q34" i="62"/>
  <c r="S54" i="70"/>
  <c r="S152" i="70"/>
  <c r="P134" i="70"/>
  <c r="Q34" i="70"/>
  <c r="P35" i="70"/>
  <c r="P134" i="63"/>
  <c r="P140" i="63" s="1"/>
  <c r="P35" i="63"/>
  <c r="Q34" i="63"/>
  <c r="S54" i="63"/>
  <c r="S152" i="63"/>
  <c r="T53" i="70"/>
  <c r="T53" i="66"/>
  <c r="T53" i="65"/>
  <c r="T53" i="63"/>
  <c r="T53" i="62"/>
  <c r="T54" i="62" s="1"/>
  <c r="P134" i="65"/>
  <c r="P35" i="65"/>
  <c r="Q34" i="65"/>
  <c r="O134" i="66"/>
  <c r="O140" i="66" s="1"/>
  <c r="O135" i="66"/>
  <c r="S54" i="65"/>
  <c r="S152" i="65"/>
  <c r="O139" i="70"/>
  <c r="O137" i="70" s="1"/>
  <c r="O140" i="70"/>
  <c r="S54" i="66"/>
  <c r="S152" i="66"/>
  <c r="S34" i="48"/>
  <c r="R133" i="48"/>
  <c r="Q174" i="27"/>
  <c r="Q175" i="27" s="1"/>
  <c r="Q176" i="27" s="1"/>
  <c r="Q154" i="27"/>
  <c r="R155" i="27"/>
  <c r="Q168" i="27"/>
  <c r="Q137" i="48"/>
  <c r="Q136" i="48"/>
  <c r="Q135" i="48" s="1"/>
  <c r="S152" i="62"/>
  <c r="U53" i="48"/>
  <c r="T148" i="48"/>
  <c r="AM73" i="48"/>
  <c r="Y153" i="65"/>
  <c r="BD132" i="65"/>
  <c r="AG2" i="66"/>
  <c r="AZ46" i="27"/>
  <c r="H137" i="63"/>
  <c r="Y120" i="65"/>
  <c r="AC2" i="65"/>
  <c r="AC18" i="65" s="1"/>
  <c r="AA2" i="63"/>
  <c r="AA2" i="62"/>
  <c r="BA47" i="27"/>
  <c r="U53" i="70" l="1"/>
  <c r="U53" i="66"/>
  <c r="U53" i="65"/>
  <c r="U53" i="63"/>
  <c r="U53" i="62"/>
  <c r="U54" i="62" s="1"/>
  <c r="T54" i="65"/>
  <c r="T152" i="65"/>
  <c r="P140" i="70"/>
  <c r="P139" i="70"/>
  <c r="P137" i="70" s="1"/>
  <c r="Q134" i="62"/>
  <c r="R34" i="62"/>
  <c r="Q35" i="62"/>
  <c r="AM73" i="70"/>
  <c r="AM73" i="66"/>
  <c r="AM73" i="65"/>
  <c r="AM73" i="63"/>
  <c r="AM73" i="62"/>
  <c r="T54" i="66"/>
  <c r="T152" i="66"/>
  <c r="Q134" i="63"/>
  <c r="Q140" i="63" s="1"/>
  <c r="Q35" i="63"/>
  <c r="R34" i="63"/>
  <c r="Q134" i="65"/>
  <c r="Q35" i="65"/>
  <c r="R34" i="65"/>
  <c r="T152" i="70"/>
  <c r="T54" i="70"/>
  <c r="P134" i="66"/>
  <c r="P140" i="66" s="1"/>
  <c r="P135" i="66"/>
  <c r="T54" i="63"/>
  <c r="T152" i="63"/>
  <c r="Q134" i="70"/>
  <c r="Q35" i="70"/>
  <c r="R34" i="70"/>
  <c r="Q133" i="66"/>
  <c r="Q35" i="66"/>
  <c r="R34" i="66"/>
  <c r="T34" i="48"/>
  <c r="S133" i="48"/>
  <c r="R174" i="27"/>
  <c r="R175" i="27" s="1"/>
  <c r="R176" i="27" s="1"/>
  <c r="R154" i="27"/>
  <c r="R168" i="27"/>
  <c r="S155" i="27"/>
  <c r="R137" i="48"/>
  <c r="R136" i="48"/>
  <c r="R135" i="48" s="1"/>
  <c r="T152" i="62"/>
  <c r="V53" i="48"/>
  <c r="U148" i="48"/>
  <c r="AN73" i="48"/>
  <c r="Z153" i="65"/>
  <c r="BE132" i="65"/>
  <c r="E140" i="62"/>
  <c r="E139" i="62"/>
  <c r="D139" i="65"/>
  <c r="D140" i="65"/>
  <c r="AH2" i="66"/>
  <c r="BA46" i="27"/>
  <c r="Z120" i="65"/>
  <c r="AA153" i="65"/>
  <c r="AD2" i="65"/>
  <c r="AD18" i="65" s="1"/>
  <c r="AB2" i="63"/>
  <c r="AB2" i="62"/>
  <c r="BB47" i="27"/>
  <c r="AN73" i="70" l="1"/>
  <c r="AN73" i="66"/>
  <c r="AN73" i="65"/>
  <c r="AN73" i="63"/>
  <c r="AN73" i="62"/>
  <c r="Q134" i="66"/>
  <c r="Q140" i="66" s="1"/>
  <c r="Q135" i="66"/>
  <c r="Q140" i="70"/>
  <c r="Q139" i="70"/>
  <c r="Q137" i="70" s="1"/>
  <c r="R134" i="62"/>
  <c r="S34" i="62"/>
  <c r="R35" i="62"/>
  <c r="U54" i="63"/>
  <c r="U152" i="63"/>
  <c r="R133" i="66"/>
  <c r="S34" i="66"/>
  <c r="R35" i="66"/>
  <c r="R134" i="65"/>
  <c r="R35" i="65"/>
  <c r="S34" i="65"/>
  <c r="R134" i="63"/>
  <c r="R140" i="63" s="1"/>
  <c r="R35" i="63"/>
  <c r="S34" i="63"/>
  <c r="U54" i="65"/>
  <c r="U152" i="65"/>
  <c r="R134" i="70"/>
  <c r="R35" i="70"/>
  <c r="S34" i="70"/>
  <c r="U54" i="66"/>
  <c r="U152" i="66"/>
  <c r="V53" i="70"/>
  <c r="V53" i="66"/>
  <c r="V53" i="65"/>
  <c r="V53" i="63"/>
  <c r="V53" i="62"/>
  <c r="V54" i="62" s="1"/>
  <c r="U152" i="70"/>
  <c r="U54" i="70"/>
  <c r="S174" i="27"/>
  <c r="S175" i="27" s="1"/>
  <c r="S176" i="27" s="1"/>
  <c r="A176" i="27" s="1"/>
  <c r="S154" i="27"/>
  <c r="T155" i="27"/>
  <c r="S168" i="27"/>
  <c r="S137" i="48"/>
  <c r="S136" i="48"/>
  <c r="S135" i="48" s="1"/>
  <c r="U34" i="48"/>
  <c r="T133" i="48"/>
  <c r="U152" i="62"/>
  <c r="W53" i="48"/>
  <c r="V148" i="48"/>
  <c r="AO73" i="48"/>
  <c r="BF132" i="65"/>
  <c r="E137" i="62"/>
  <c r="D137" i="65"/>
  <c r="AI2" i="66"/>
  <c r="BB46" i="27"/>
  <c r="AA120" i="65"/>
  <c r="AB153" i="65"/>
  <c r="AE2" i="65"/>
  <c r="AE18" i="65" s="1"/>
  <c r="I139" i="63"/>
  <c r="AC2" i="63"/>
  <c r="AC2" i="62"/>
  <c r="BC47" i="27"/>
  <c r="V152" i="70" l="1"/>
  <c r="V54" i="70"/>
  <c r="S133" i="66"/>
  <c r="T34" i="66"/>
  <c r="S35" i="66"/>
  <c r="AO73" i="70"/>
  <c r="AO73" i="66"/>
  <c r="AO73" i="65"/>
  <c r="AO73" i="63"/>
  <c r="AO73" i="62"/>
  <c r="V54" i="63"/>
  <c r="V152" i="63"/>
  <c r="S134" i="70"/>
  <c r="S35" i="70"/>
  <c r="T34" i="70"/>
  <c r="R134" i="66"/>
  <c r="R140" i="66" s="1"/>
  <c r="R135" i="66"/>
  <c r="S134" i="62"/>
  <c r="T34" i="62"/>
  <c r="S35" i="62"/>
  <c r="V54" i="65"/>
  <c r="V152" i="65"/>
  <c r="S134" i="63"/>
  <c r="S140" i="63" s="1"/>
  <c r="T34" i="63"/>
  <c r="S35" i="63"/>
  <c r="S134" i="65"/>
  <c r="S35" i="65"/>
  <c r="T34" i="65"/>
  <c r="W53" i="70"/>
  <c r="W53" i="66"/>
  <c r="W53" i="65"/>
  <c r="W53" i="63"/>
  <c r="W53" i="62"/>
  <c r="W54" i="62" s="1"/>
  <c r="V54" i="66"/>
  <c r="V152" i="66"/>
  <c r="R139" i="70"/>
  <c r="R137" i="70" s="1"/>
  <c r="R140" i="70"/>
  <c r="V34" i="48"/>
  <c r="U133" i="48"/>
  <c r="T137" i="48"/>
  <c r="T136" i="48"/>
  <c r="T135" i="48" s="1"/>
  <c r="T174" i="27"/>
  <c r="T175" i="27" s="1"/>
  <c r="T176" i="27" s="1"/>
  <c r="T154" i="27"/>
  <c r="U155" i="27"/>
  <c r="T168" i="27"/>
  <c r="V152" i="62"/>
  <c r="X53" i="48"/>
  <c r="W148" i="48"/>
  <c r="AP73" i="48"/>
  <c r="BG132" i="65"/>
  <c r="AJ2" i="66"/>
  <c r="BC46" i="27"/>
  <c r="I137" i="63"/>
  <c r="AF2" i="65"/>
  <c r="AF18" i="65" s="1"/>
  <c r="AC153" i="65"/>
  <c r="AB120" i="65"/>
  <c r="AD2" i="63"/>
  <c r="AD2" i="62"/>
  <c r="BD47" i="27"/>
  <c r="X53" i="70" l="1"/>
  <c r="X53" i="66"/>
  <c r="X53" i="65"/>
  <c r="X53" i="63"/>
  <c r="X53" i="62"/>
  <c r="X54" i="62" s="1"/>
  <c r="W54" i="66"/>
  <c r="W152" i="66"/>
  <c r="T134" i="63"/>
  <c r="T140" i="63" s="1"/>
  <c r="T35" i="63"/>
  <c r="U34" i="63"/>
  <c r="S134" i="66"/>
  <c r="S140" i="66" s="1"/>
  <c r="S135" i="66"/>
  <c r="W54" i="70"/>
  <c r="W152" i="70"/>
  <c r="S139" i="70"/>
  <c r="S137" i="70" s="1"/>
  <c r="S140" i="70"/>
  <c r="W54" i="63"/>
  <c r="W152" i="63"/>
  <c r="T134" i="65"/>
  <c r="U34" i="65"/>
  <c r="T35" i="65"/>
  <c r="T134" i="62"/>
  <c r="T35" i="62"/>
  <c r="U34" i="62"/>
  <c r="T133" i="66"/>
  <c r="T35" i="66"/>
  <c r="U34" i="66"/>
  <c r="AP73" i="70"/>
  <c r="AP73" i="66"/>
  <c r="AP73" i="65"/>
  <c r="AP73" i="63"/>
  <c r="AP73" i="62"/>
  <c r="W54" i="65"/>
  <c r="W152" i="65"/>
  <c r="T134" i="70"/>
  <c r="U34" i="70"/>
  <c r="T35" i="70"/>
  <c r="U174" i="27"/>
  <c r="U175" i="27" s="1"/>
  <c r="U176" i="27" s="1"/>
  <c r="U154" i="27"/>
  <c r="V155" i="27"/>
  <c r="U168" i="27"/>
  <c r="U137" i="48"/>
  <c r="U136" i="48"/>
  <c r="U135" i="48" s="1"/>
  <c r="W34" i="48"/>
  <c r="V133" i="48"/>
  <c r="W152" i="62"/>
  <c r="Y53" i="48"/>
  <c r="X148" i="48"/>
  <c r="AQ73" i="48"/>
  <c r="BH132" i="65"/>
  <c r="AK2" i="66"/>
  <c r="BD46" i="27"/>
  <c r="AG2" i="65"/>
  <c r="AG18" i="65" s="1"/>
  <c r="AD153" i="65"/>
  <c r="AC120" i="65"/>
  <c r="AE2" i="63"/>
  <c r="AE2" i="62"/>
  <c r="BE47" i="27"/>
  <c r="AQ73" i="70" l="1"/>
  <c r="AQ73" i="66"/>
  <c r="AQ73" i="65"/>
  <c r="AQ73" i="63"/>
  <c r="AQ73" i="62"/>
  <c r="T140" i="70"/>
  <c r="T139" i="70"/>
  <c r="T137" i="70" s="1"/>
  <c r="U134" i="62"/>
  <c r="U35" i="62"/>
  <c r="V34" i="62"/>
  <c r="X54" i="63"/>
  <c r="X152" i="63"/>
  <c r="U133" i="66"/>
  <c r="V34" i="66"/>
  <c r="U35" i="66"/>
  <c r="U134" i="65"/>
  <c r="V34" i="65"/>
  <c r="U35" i="65"/>
  <c r="U134" i="63"/>
  <c r="U140" i="63" s="1"/>
  <c r="V34" i="63"/>
  <c r="U35" i="63"/>
  <c r="X54" i="65"/>
  <c r="X152" i="65"/>
  <c r="Y53" i="70"/>
  <c r="Y53" i="66"/>
  <c r="Y53" i="65"/>
  <c r="Y53" i="63"/>
  <c r="Y53" i="62"/>
  <c r="Y54" i="62" s="1"/>
  <c r="X54" i="66"/>
  <c r="X152" i="66"/>
  <c r="U134" i="70"/>
  <c r="U35" i="70"/>
  <c r="V34" i="70"/>
  <c r="T134" i="66"/>
  <c r="T140" i="66" s="1"/>
  <c r="T135" i="66"/>
  <c r="X152" i="70"/>
  <c r="X54" i="70"/>
  <c r="X34" i="48"/>
  <c r="W133" i="48"/>
  <c r="V174" i="27"/>
  <c r="V175" i="27" s="1"/>
  <c r="V176" i="27" s="1"/>
  <c r="V154" i="27"/>
  <c r="W155" i="27"/>
  <c r="V168" i="27"/>
  <c r="V137" i="48"/>
  <c r="V136" i="48"/>
  <c r="V135" i="48" s="1"/>
  <c r="X152" i="62"/>
  <c r="Z53" i="48"/>
  <c r="Y148" i="48"/>
  <c r="AR73" i="48"/>
  <c r="BI132" i="65"/>
  <c r="AL2" i="66"/>
  <c r="BE46" i="27"/>
  <c r="AD120" i="65"/>
  <c r="AH2" i="65"/>
  <c r="AH18" i="65" s="1"/>
  <c r="AF2" i="63"/>
  <c r="J139" i="63"/>
  <c r="AF2" i="62"/>
  <c r="BF47" i="27"/>
  <c r="Y152" i="70" l="1"/>
  <c r="Y54" i="70"/>
  <c r="AR73" i="70"/>
  <c r="AR73" i="66"/>
  <c r="AR73" i="65"/>
  <c r="AR73" i="63"/>
  <c r="AR73" i="62"/>
  <c r="U139" i="70"/>
  <c r="U137" i="70" s="1"/>
  <c r="U140" i="70"/>
  <c r="Y54" i="63"/>
  <c r="Y152" i="63"/>
  <c r="V134" i="63"/>
  <c r="V140" i="63" s="1"/>
  <c r="W34" i="63"/>
  <c r="V35" i="63"/>
  <c r="Y54" i="65"/>
  <c r="Y152" i="65"/>
  <c r="V134" i="65"/>
  <c r="V35" i="65"/>
  <c r="W34" i="65"/>
  <c r="V133" i="66"/>
  <c r="V35" i="66"/>
  <c r="W34" i="66"/>
  <c r="V134" i="62"/>
  <c r="W34" i="62"/>
  <c r="V35" i="62"/>
  <c r="Z53" i="70"/>
  <c r="Z53" i="66"/>
  <c r="Z53" i="65"/>
  <c r="Z53" i="62"/>
  <c r="Z54" i="62" s="1"/>
  <c r="Z53" i="63"/>
  <c r="V134" i="70"/>
  <c r="W34" i="70"/>
  <c r="V35" i="70"/>
  <c r="Y54" i="66"/>
  <c r="Y152" i="66"/>
  <c r="U134" i="66"/>
  <c r="U140" i="66" s="1"/>
  <c r="U135" i="66"/>
  <c r="W174" i="27"/>
  <c r="W175" i="27" s="1"/>
  <c r="W176" i="27" s="1"/>
  <c r="W168" i="27"/>
  <c r="W154" i="27"/>
  <c r="X155" i="27"/>
  <c r="W137" i="48"/>
  <c r="W136" i="48"/>
  <c r="W135" i="48" s="1"/>
  <c r="Y34" i="48"/>
  <c r="X133" i="48"/>
  <c r="Y152" i="62"/>
  <c r="AA53" i="48"/>
  <c r="Z148" i="48"/>
  <c r="AS73" i="48"/>
  <c r="AE153" i="65"/>
  <c r="AM2" i="66"/>
  <c r="BF46" i="27"/>
  <c r="J137" i="63"/>
  <c r="AI2" i="65"/>
  <c r="AI18" i="65" s="1"/>
  <c r="AE120" i="65"/>
  <c r="AG2" i="63"/>
  <c r="AG2" i="62"/>
  <c r="BG47" i="27"/>
  <c r="AA53" i="70" l="1"/>
  <c r="AA53" i="66"/>
  <c r="AA53" i="65"/>
  <c r="AA53" i="63"/>
  <c r="AA53" i="62"/>
  <c r="AA54" i="62" s="1"/>
  <c r="Z54" i="63"/>
  <c r="Z152" i="63"/>
  <c r="Z152" i="70"/>
  <c r="Z54" i="70"/>
  <c r="W133" i="66"/>
  <c r="X34" i="66"/>
  <c r="W35" i="66"/>
  <c r="W134" i="65"/>
  <c r="W35" i="65"/>
  <c r="X34" i="65"/>
  <c r="W134" i="63"/>
  <c r="W140" i="63" s="1"/>
  <c r="W35" i="63"/>
  <c r="X34" i="63"/>
  <c r="AS73" i="70"/>
  <c r="AS73" i="66"/>
  <c r="AS73" i="65"/>
  <c r="AS73" i="63"/>
  <c r="AS73" i="62"/>
  <c r="W134" i="70"/>
  <c r="X34" i="70"/>
  <c r="W35" i="70"/>
  <c r="Z54" i="65"/>
  <c r="Z152" i="65"/>
  <c r="W134" i="62"/>
  <c r="X34" i="62"/>
  <c r="W35" i="62"/>
  <c r="V140" i="70"/>
  <c r="V139" i="70"/>
  <c r="V137" i="70" s="1"/>
  <c r="Z54" i="66"/>
  <c r="Z152" i="66"/>
  <c r="V134" i="66"/>
  <c r="V140" i="66" s="1"/>
  <c r="V135" i="66"/>
  <c r="Z34" i="48"/>
  <c r="Y133" i="48"/>
  <c r="X174" i="27"/>
  <c r="X175" i="27" s="1"/>
  <c r="X176" i="27" s="1"/>
  <c r="Y155" i="27"/>
  <c r="X168" i="27"/>
  <c r="X154" i="27"/>
  <c r="X137" i="48"/>
  <c r="X136" i="48"/>
  <c r="X135" i="48" s="1"/>
  <c r="Z152" i="62"/>
  <c r="AB53" i="48"/>
  <c r="AA148" i="48"/>
  <c r="AT73" i="48"/>
  <c r="AF153" i="65"/>
  <c r="F140" i="62"/>
  <c r="F139" i="62"/>
  <c r="E139" i="65"/>
  <c r="E140" i="65"/>
  <c r="AN2" i="66"/>
  <c r="BG46" i="27"/>
  <c r="AJ2" i="65"/>
  <c r="AJ18" i="65" s="1"/>
  <c r="AF120" i="65"/>
  <c r="AH2" i="63"/>
  <c r="AH2" i="62"/>
  <c r="BH47" i="27"/>
  <c r="AT73" i="70" l="1"/>
  <c r="AT73" i="66"/>
  <c r="AT73" i="65"/>
  <c r="AT73" i="63"/>
  <c r="AT73" i="62"/>
  <c r="W139" i="70"/>
  <c r="W137" i="70" s="1"/>
  <c r="W140" i="70"/>
  <c r="X133" i="66"/>
  <c r="Y34" i="66"/>
  <c r="X35" i="66"/>
  <c r="AA54" i="63"/>
  <c r="AA152" i="63"/>
  <c r="X134" i="62"/>
  <c r="X35" i="62"/>
  <c r="Y34" i="62"/>
  <c r="W134" i="66"/>
  <c r="W140" i="66" s="1"/>
  <c r="W135" i="66"/>
  <c r="AA54" i="65"/>
  <c r="AA152" i="65"/>
  <c r="AB53" i="70"/>
  <c r="AB53" i="66"/>
  <c r="AB53" i="65"/>
  <c r="AB53" i="63"/>
  <c r="AB53" i="62"/>
  <c r="AB54" i="62" s="1"/>
  <c r="X134" i="65"/>
  <c r="Y34" i="65"/>
  <c r="X35" i="65"/>
  <c r="AA54" i="66"/>
  <c r="AA152" i="66"/>
  <c r="X134" i="70"/>
  <c r="X35" i="70"/>
  <c r="Y34" i="70"/>
  <c r="X134" i="63"/>
  <c r="X140" i="63" s="1"/>
  <c r="Y34" i="63"/>
  <c r="X35" i="63"/>
  <c r="AA54" i="70"/>
  <c r="AA152" i="70"/>
  <c r="Y154" i="27"/>
  <c r="Z155" i="27"/>
  <c r="Y168" i="27"/>
  <c r="Y174" i="27"/>
  <c r="Y175" i="27" s="1"/>
  <c r="Y176" i="27" s="1"/>
  <c r="Y137" i="48"/>
  <c r="Y136" i="48"/>
  <c r="Y135" i="48" s="1"/>
  <c r="AA34" i="48"/>
  <c r="Z133" i="48"/>
  <c r="AA152" i="62"/>
  <c r="AC53" i="48"/>
  <c r="AB148" i="48"/>
  <c r="AU73" i="48"/>
  <c r="AG153" i="65"/>
  <c r="F137" i="62"/>
  <c r="E137" i="65"/>
  <c r="AO2" i="66"/>
  <c r="BH46" i="27"/>
  <c r="AG120" i="65"/>
  <c r="AK2" i="65"/>
  <c r="AK18" i="65" s="1"/>
  <c r="AI2" i="63"/>
  <c r="K139" i="63"/>
  <c r="AI2" i="62"/>
  <c r="BI47" i="27"/>
  <c r="Y134" i="70" l="1"/>
  <c r="Y35" i="70"/>
  <c r="Z34" i="70"/>
  <c r="AB54" i="65"/>
  <c r="AB152" i="65"/>
  <c r="X134" i="66"/>
  <c r="X140" i="66" s="1"/>
  <c r="X135" i="66"/>
  <c r="AU73" i="70"/>
  <c r="AU73" i="66"/>
  <c r="AU73" i="65"/>
  <c r="AU73" i="63"/>
  <c r="AU73" i="62"/>
  <c r="Y134" i="63"/>
  <c r="Y140" i="63" s="1"/>
  <c r="Z34" i="63"/>
  <c r="Y35" i="63"/>
  <c r="AB54" i="66"/>
  <c r="AB152" i="66"/>
  <c r="X140" i="70"/>
  <c r="X139" i="70"/>
  <c r="X137" i="70" s="1"/>
  <c r="Y134" i="65"/>
  <c r="Y35" i="65"/>
  <c r="Z34" i="65"/>
  <c r="AB54" i="70"/>
  <c r="AB152" i="70"/>
  <c r="AC53" i="70"/>
  <c r="AC53" i="66"/>
  <c r="AC53" i="65"/>
  <c r="AC53" i="63"/>
  <c r="AC53" i="62"/>
  <c r="AC54" i="62" s="1"/>
  <c r="AB54" i="63"/>
  <c r="AB152" i="63"/>
  <c r="Y134" i="62"/>
  <c r="Z34" i="62"/>
  <c r="Y35" i="62"/>
  <c r="Y133" i="66"/>
  <c r="Z34" i="66"/>
  <c r="Y35" i="66"/>
  <c r="AB34" i="48"/>
  <c r="AA133" i="48"/>
  <c r="Z154" i="27"/>
  <c r="Z168" i="27"/>
  <c r="AA155" i="27"/>
  <c r="Z174" i="27"/>
  <c r="Z175" i="27" s="1"/>
  <c r="Z176" i="27" s="1"/>
  <c r="Z137" i="48"/>
  <c r="Z136" i="48"/>
  <c r="Z135" i="48" s="1"/>
  <c r="AB152" i="62"/>
  <c r="AD53" i="48"/>
  <c r="AC148" i="48"/>
  <c r="AV73" i="48"/>
  <c r="AH153" i="65"/>
  <c r="AP2" i="66"/>
  <c r="BI46" i="27"/>
  <c r="K137" i="63"/>
  <c r="AL2" i="65"/>
  <c r="AL18" i="65" s="1"/>
  <c r="AH120" i="65"/>
  <c r="AJ2" i="63"/>
  <c r="AJ2" i="62"/>
  <c r="BJ47" i="27"/>
  <c r="AD53" i="70" l="1"/>
  <c r="AD53" i="66"/>
  <c r="AD53" i="65"/>
  <c r="AD53" i="63"/>
  <c r="AD53" i="62"/>
  <c r="AD54" i="62" s="1"/>
  <c r="AC54" i="66"/>
  <c r="AC152" i="66"/>
  <c r="Z134" i="62"/>
  <c r="Z35" i="62"/>
  <c r="AA34" i="62"/>
  <c r="AC152" i="70"/>
  <c r="AC54" i="70"/>
  <c r="Z134" i="70"/>
  <c r="Z35" i="70"/>
  <c r="AA34" i="70"/>
  <c r="Z133" i="66"/>
  <c r="Z35" i="66"/>
  <c r="AA34" i="66"/>
  <c r="AC54" i="63"/>
  <c r="AC152" i="63"/>
  <c r="Z134" i="65"/>
  <c r="Z35" i="65"/>
  <c r="AA34" i="65"/>
  <c r="AV73" i="70"/>
  <c r="AV73" i="66"/>
  <c r="AV73" i="65"/>
  <c r="AV73" i="63"/>
  <c r="AV73" i="62"/>
  <c r="Y134" i="66"/>
  <c r="Y140" i="66" s="1"/>
  <c r="Y135" i="66"/>
  <c r="AC54" i="65"/>
  <c r="AC152" i="65"/>
  <c r="Z134" i="63"/>
  <c r="Z140" i="63" s="1"/>
  <c r="AA34" i="63"/>
  <c r="Z35" i="63"/>
  <c r="Y139" i="70"/>
  <c r="Y137" i="70" s="1"/>
  <c r="Y140" i="70"/>
  <c r="AA137" i="48"/>
  <c r="AA136" i="48"/>
  <c r="AA135" i="48" s="1"/>
  <c r="AA154" i="27"/>
  <c r="AA168" i="27"/>
  <c r="AB155" i="27"/>
  <c r="AA174" i="27"/>
  <c r="AA175" i="27" s="1"/>
  <c r="AA176" i="27" s="1"/>
  <c r="AC34" i="48"/>
  <c r="AB133" i="48"/>
  <c r="AC152" i="62"/>
  <c r="AE53" i="48"/>
  <c r="AD148" i="48"/>
  <c r="AW73" i="48"/>
  <c r="AI153" i="65"/>
  <c r="AQ2" i="66"/>
  <c r="BJ46" i="27"/>
  <c r="AI120" i="65"/>
  <c r="AM2" i="65"/>
  <c r="AM18" i="65" s="1"/>
  <c r="AK2" i="63"/>
  <c r="AK2" i="62"/>
  <c r="BK47" i="27"/>
  <c r="AD54" i="63" l="1"/>
  <c r="AD152" i="63"/>
  <c r="AA134" i="65"/>
  <c r="AB34" i="65"/>
  <c r="AA35" i="65"/>
  <c r="Z134" i="66"/>
  <c r="Z140" i="66" s="1"/>
  <c r="Z135" i="66"/>
  <c r="Z140" i="70"/>
  <c r="Z139" i="70"/>
  <c r="Z137" i="70" s="1"/>
  <c r="AA134" i="62"/>
  <c r="AB34" i="62"/>
  <c r="AA35" i="62"/>
  <c r="AD54" i="65"/>
  <c r="AD152" i="65"/>
  <c r="AA133" i="66"/>
  <c r="AB34" i="66"/>
  <c r="AA35" i="66"/>
  <c r="AD54" i="66"/>
  <c r="AD152" i="66"/>
  <c r="AE53" i="70"/>
  <c r="AE53" i="66"/>
  <c r="AE53" i="65"/>
  <c r="AE53" i="63"/>
  <c r="AE53" i="62"/>
  <c r="AE54" i="62" s="1"/>
  <c r="AW73" i="70"/>
  <c r="AW73" i="66"/>
  <c r="AW73" i="65"/>
  <c r="AW73" i="63"/>
  <c r="AW73" i="62"/>
  <c r="AA134" i="63"/>
  <c r="AA140" i="63" s="1"/>
  <c r="AB34" i="63"/>
  <c r="AA35" i="63"/>
  <c r="AA134" i="70"/>
  <c r="AA35" i="70"/>
  <c r="AB34" i="70"/>
  <c r="AE54" i="70"/>
  <c r="AD152" i="70"/>
  <c r="AD54" i="70"/>
  <c r="AB137" i="48"/>
  <c r="AB136" i="48"/>
  <c r="AB135" i="48" s="1"/>
  <c r="AB154" i="27"/>
  <c r="AB168" i="27"/>
  <c r="AC155" i="27"/>
  <c r="AB174" i="27"/>
  <c r="AB175" i="27" s="1"/>
  <c r="AB176" i="27" s="1"/>
  <c r="AD34" i="48"/>
  <c r="AC133" i="48"/>
  <c r="AD152" i="62"/>
  <c r="AF53" i="48"/>
  <c r="AE148" i="48"/>
  <c r="AX73" i="48"/>
  <c r="AJ153" i="65"/>
  <c r="AR2" i="66"/>
  <c r="BK46" i="27"/>
  <c r="AN2" i="65"/>
  <c r="AN18" i="65" s="1"/>
  <c r="AJ120" i="65"/>
  <c r="AL2" i="63"/>
  <c r="L139" i="63"/>
  <c r="AL2" i="62"/>
  <c r="BL47" i="27"/>
  <c r="AB134" i="70" l="1"/>
  <c r="AC34" i="70"/>
  <c r="AB35" i="70"/>
  <c r="AE152" i="70"/>
  <c r="AB134" i="63"/>
  <c r="AB140" i="63" s="1"/>
  <c r="AC34" i="63"/>
  <c r="AB35" i="63"/>
  <c r="AE54" i="63"/>
  <c r="AE152" i="63"/>
  <c r="AB133" i="66"/>
  <c r="AB35" i="66"/>
  <c r="AC34" i="66"/>
  <c r="AA140" i="70"/>
  <c r="AA139" i="70"/>
  <c r="AA137" i="70" s="1"/>
  <c r="AE54" i="65"/>
  <c r="AE152" i="65"/>
  <c r="AA134" i="66"/>
  <c r="AA140" i="66" s="1"/>
  <c r="AA135" i="66"/>
  <c r="AB134" i="62"/>
  <c r="AB35" i="62"/>
  <c r="AC34" i="62"/>
  <c r="AB134" i="65"/>
  <c r="AC34" i="65"/>
  <c r="AB35" i="65"/>
  <c r="AF53" i="70"/>
  <c r="AF53" i="66"/>
  <c r="AF53" i="65"/>
  <c r="AF53" i="63"/>
  <c r="AF53" i="62"/>
  <c r="AF54" i="62" s="1"/>
  <c r="AX73" i="70"/>
  <c r="AX73" i="66"/>
  <c r="AX73" i="65"/>
  <c r="AX73" i="63"/>
  <c r="AX73" i="62"/>
  <c r="AE54" i="66"/>
  <c r="AE152" i="66"/>
  <c r="AE34" i="48"/>
  <c r="AD133" i="48"/>
  <c r="AC154" i="27"/>
  <c r="AD155" i="27"/>
  <c r="AC168" i="27"/>
  <c r="AC174" i="27"/>
  <c r="AC175" i="27" s="1"/>
  <c r="AC176" i="27" s="1"/>
  <c r="AC137" i="48"/>
  <c r="AC136" i="48"/>
  <c r="AC135" i="48" s="1"/>
  <c r="AE152" i="62"/>
  <c r="AG53" i="48"/>
  <c r="AF148" i="48"/>
  <c r="AY73" i="48"/>
  <c r="AK153" i="65"/>
  <c r="AS2" i="66"/>
  <c r="BL46" i="27"/>
  <c r="L137" i="63"/>
  <c r="AK120" i="65"/>
  <c r="AO2" i="65"/>
  <c r="AO18" i="65" s="1"/>
  <c r="AM2" i="63"/>
  <c r="AM2" i="62"/>
  <c r="BM47" i="27"/>
  <c r="AF152" i="70" l="1"/>
  <c r="AF54" i="70"/>
  <c r="AF54" i="63"/>
  <c r="AF152" i="63"/>
  <c r="AC134" i="62"/>
  <c r="AC35" i="62"/>
  <c r="AD34" i="62"/>
  <c r="AB134" i="66"/>
  <c r="AB140" i="66" s="1"/>
  <c r="AB135" i="66"/>
  <c r="AC134" i="63"/>
  <c r="AC140" i="63" s="1"/>
  <c r="AC35" i="63"/>
  <c r="AD34" i="63"/>
  <c r="AF54" i="65"/>
  <c r="AF152" i="65"/>
  <c r="AC134" i="65"/>
  <c r="AD34" i="65"/>
  <c r="AC35" i="65"/>
  <c r="AC134" i="70"/>
  <c r="AC35" i="70"/>
  <c r="AD34" i="70"/>
  <c r="AG53" i="70"/>
  <c r="AG53" i="66"/>
  <c r="AG53" i="65"/>
  <c r="AG53" i="63"/>
  <c r="AG53" i="62"/>
  <c r="AG54" i="62" s="1"/>
  <c r="AY73" i="70"/>
  <c r="AY73" i="66"/>
  <c r="AY73" i="65"/>
  <c r="AY73" i="63"/>
  <c r="AY73" i="62"/>
  <c r="AF54" i="66"/>
  <c r="AF152" i="66"/>
  <c r="AC133" i="66"/>
  <c r="AD34" i="66"/>
  <c r="AC35" i="66"/>
  <c r="AB140" i="70"/>
  <c r="AB139" i="70"/>
  <c r="AB137" i="70" s="1"/>
  <c r="AD154" i="27"/>
  <c r="AD168" i="27"/>
  <c r="AE155" i="27"/>
  <c r="AD174" i="27"/>
  <c r="AD175" i="27" s="1"/>
  <c r="AD176" i="27" s="1"/>
  <c r="AD137" i="48"/>
  <c r="AD136" i="48"/>
  <c r="AD135" i="48" s="1"/>
  <c r="AF34" i="48"/>
  <c r="AE133" i="48"/>
  <c r="AF152" i="62"/>
  <c r="AH53" i="48"/>
  <c r="AG148" i="48"/>
  <c r="AZ73" i="48"/>
  <c r="AL153" i="65"/>
  <c r="AT2" i="66"/>
  <c r="BM46" i="27"/>
  <c r="AL120" i="65"/>
  <c r="AP2" i="65"/>
  <c r="AP18" i="65" s="1"/>
  <c r="AN2" i="63"/>
  <c r="AN2" i="62"/>
  <c r="BN47" i="27"/>
  <c r="AG54" i="65" l="1"/>
  <c r="AG152" i="65"/>
  <c r="AD134" i="70"/>
  <c r="AE34" i="70"/>
  <c r="AD133" i="66"/>
  <c r="AE34" i="66"/>
  <c r="AG54" i="66"/>
  <c r="AG152" i="66"/>
  <c r="AD134" i="65"/>
  <c r="AE34" i="65"/>
  <c r="AD134" i="63"/>
  <c r="AD140" i="63" s="1"/>
  <c r="AE34" i="63"/>
  <c r="AZ73" i="70"/>
  <c r="AZ73" i="66"/>
  <c r="AZ73" i="65"/>
  <c r="AZ73" i="63"/>
  <c r="AZ73" i="62"/>
  <c r="AC134" i="66"/>
  <c r="AC140" i="66" s="1"/>
  <c r="AC135" i="66"/>
  <c r="AG152" i="70"/>
  <c r="AG54" i="70"/>
  <c r="AC140" i="70"/>
  <c r="AC139" i="70"/>
  <c r="AC137" i="70" s="1"/>
  <c r="AH53" i="70"/>
  <c r="AH53" i="66"/>
  <c r="AH53" i="65"/>
  <c r="AH53" i="63"/>
  <c r="AH53" i="62"/>
  <c r="AH54" i="62" s="1"/>
  <c r="AG54" i="63"/>
  <c r="AG152" i="63"/>
  <c r="AD134" i="62"/>
  <c r="AE34" i="62"/>
  <c r="AE137" i="48"/>
  <c r="AE136" i="48"/>
  <c r="AE135" i="48" s="1"/>
  <c r="AG34" i="48"/>
  <c r="AF133" i="48"/>
  <c r="AE154" i="27"/>
  <c r="AE168" i="27"/>
  <c r="AF155" i="27"/>
  <c r="AE174" i="27"/>
  <c r="AE175" i="27" s="1"/>
  <c r="AE176" i="27" s="1"/>
  <c r="AG152" i="62"/>
  <c r="AI53" i="48"/>
  <c r="AH148" i="48"/>
  <c r="BA73" i="48"/>
  <c r="AM153" i="65"/>
  <c r="G140" i="62"/>
  <c r="G139" i="62"/>
  <c r="F139" i="65"/>
  <c r="F140" i="65"/>
  <c r="AU2" i="66"/>
  <c r="BN46" i="27"/>
  <c r="AQ2" i="65"/>
  <c r="AQ18" i="65" s="1"/>
  <c r="AM120" i="65"/>
  <c r="AO2" i="63"/>
  <c r="M139" i="63"/>
  <c r="AO2" i="62"/>
  <c r="BO47" i="27"/>
  <c r="AI53" i="70" l="1"/>
  <c r="AI53" i="66"/>
  <c r="AI53" i="65"/>
  <c r="AI53" i="63"/>
  <c r="AI53" i="62"/>
  <c r="AI54" i="62" s="1"/>
  <c r="AH54" i="65"/>
  <c r="AH152" i="65"/>
  <c r="AE134" i="63"/>
  <c r="AE140" i="63" s="1"/>
  <c r="AF34" i="63"/>
  <c r="AD139" i="70"/>
  <c r="AD137" i="70" s="1"/>
  <c r="AD140" i="70"/>
  <c r="AH54" i="66"/>
  <c r="AH152" i="66"/>
  <c r="AD134" i="66"/>
  <c r="AD140" i="66" s="1"/>
  <c r="AD135" i="66"/>
  <c r="BA73" i="70"/>
  <c r="BA73" i="66"/>
  <c r="BA73" i="65"/>
  <c r="BA73" i="63"/>
  <c r="BA73" i="62"/>
  <c r="AE134" i="62"/>
  <c r="AF34" i="62"/>
  <c r="AH152" i="70"/>
  <c r="AH54" i="70"/>
  <c r="AH54" i="63"/>
  <c r="AH152" i="63"/>
  <c r="AE134" i="65"/>
  <c r="AF34" i="65"/>
  <c r="AE133" i="66"/>
  <c r="AF34" i="66"/>
  <c r="AE134" i="70"/>
  <c r="AF34" i="70"/>
  <c r="AF137" i="48"/>
  <c r="AF136" i="48"/>
  <c r="AF135" i="48" s="1"/>
  <c r="AF154" i="27"/>
  <c r="AG155" i="27"/>
  <c r="AF168" i="27"/>
  <c r="AF174" i="27"/>
  <c r="AF175" i="27" s="1"/>
  <c r="AF176" i="27" s="1"/>
  <c r="AH34" i="48"/>
  <c r="AG133" i="48"/>
  <c r="AH152" i="62"/>
  <c r="AJ53" i="48"/>
  <c r="AI148" i="48"/>
  <c r="BB73" i="48"/>
  <c r="AN153" i="65"/>
  <c r="G137" i="62"/>
  <c r="F137" i="65"/>
  <c r="AV2" i="66"/>
  <c r="BO46" i="27"/>
  <c r="M137" i="63"/>
  <c r="AO153" i="65"/>
  <c r="AN120" i="65"/>
  <c r="AR2" i="65"/>
  <c r="AR18" i="65" s="1"/>
  <c r="AP2" i="63"/>
  <c r="AP2" i="62"/>
  <c r="BP47" i="27"/>
  <c r="AI54" i="63" l="1"/>
  <c r="AI152" i="63"/>
  <c r="AF133" i="66"/>
  <c r="AG34" i="66"/>
  <c r="AF134" i="62"/>
  <c r="AG34" i="62"/>
  <c r="AI54" i="65"/>
  <c r="AI152" i="65"/>
  <c r="AF134" i="70"/>
  <c r="AG34" i="70"/>
  <c r="AE134" i="66"/>
  <c r="AE140" i="66" s="1"/>
  <c r="AE135" i="66"/>
  <c r="AI54" i="66"/>
  <c r="AI152" i="66"/>
  <c r="AJ53" i="70"/>
  <c r="AJ53" i="66"/>
  <c r="AJ53" i="65"/>
  <c r="AJ53" i="63"/>
  <c r="AJ53" i="62"/>
  <c r="AJ54" i="62" s="1"/>
  <c r="BB73" i="70"/>
  <c r="BB73" i="66"/>
  <c r="BB73" i="65"/>
  <c r="BB73" i="63"/>
  <c r="BB73" i="62"/>
  <c r="AE140" i="70"/>
  <c r="AE139" i="70"/>
  <c r="AE137" i="70" s="1"/>
  <c r="AF134" i="65"/>
  <c r="AG34" i="65"/>
  <c r="AF134" i="63"/>
  <c r="AF140" i="63" s="1"/>
  <c r="AG34" i="63"/>
  <c r="AI54" i="70"/>
  <c r="AI152" i="70"/>
  <c r="AG137" i="48"/>
  <c r="AG136" i="48"/>
  <c r="AG135" i="48" s="1"/>
  <c r="AI34" i="48"/>
  <c r="AH133" i="48"/>
  <c r="AG154" i="27"/>
  <c r="AH155" i="27"/>
  <c r="AG168" i="27"/>
  <c r="AG174" i="27"/>
  <c r="AG175" i="27" s="1"/>
  <c r="AG176" i="27" s="1"/>
  <c r="AI152" i="62"/>
  <c r="AK53" i="48"/>
  <c r="AJ148" i="48"/>
  <c r="BC73" i="48"/>
  <c r="AW2" i="66"/>
  <c r="BP46" i="27"/>
  <c r="AS2" i="65"/>
  <c r="AS18" i="65" s="1"/>
  <c r="AO120" i="65"/>
  <c r="AQ2" i="63"/>
  <c r="AQ2" i="62"/>
  <c r="BQ47" i="27"/>
  <c r="BC73" i="70" l="1"/>
  <c r="BC73" i="66"/>
  <c r="BC73" i="65"/>
  <c r="BC73" i="62"/>
  <c r="BC73" i="63"/>
  <c r="AG134" i="63"/>
  <c r="AG140" i="63" s="1"/>
  <c r="AH34" i="63"/>
  <c r="AJ54" i="66"/>
  <c r="AJ152" i="66"/>
  <c r="AF140" i="70"/>
  <c r="AF139" i="70"/>
  <c r="AF137" i="70" s="1"/>
  <c r="AG134" i="62"/>
  <c r="AH34" i="62"/>
  <c r="AF134" i="66"/>
  <c r="AF140" i="66" s="1"/>
  <c r="AF135" i="66"/>
  <c r="AJ152" i="70"/>
  <c r="AJ54" i="70"/>
  <c r="AK53" i="70"/>
  <c r="AK53" i="66"/>
  <c r="AK53" i="65"/>
  <c r="AK53" i="63"/>
  <c r="AK53" i="62"/>
  <c r="AK54" i="62" s="1"/>
  <c r="AJ54" i="63"/>
  <c r="AJ152" i="63"/>
  <c r="AG134" i="65"/>
  <c r="AH34" i="65"/>
  <c r="AJ54" i="65"/>
  <c r="AJ152" i="65"/>
  <c r="AG134" i="70"/>
  <c r="AH34" i="70"/>
  <c r="AG133" i="66"/>
  <c r="AH34" i="66"/>
  <c r="AH137" i="48"/>
  <c r="AH136" i="48"/>
  <c r="AH135" i="48" s="1"/>
  <c r="AH154" i="27"/>
  <c r="AI155" i="27"/>
  <c r="AH168" i="27"/>
  <c r="AH174" i="27"/>
  <c r="AH175" i="27" s="1"/>
  <c r="AH176" i="27" s="1"/>
  <c r="AJ34" i="48"/>
  <c r="AI133" i="48"/>
  <c r="AJ152" i="62"/>
  <c r="AL53" i="48"/>
  <c r="AK148" i="48"/>
  <c r="BD73" i="48"/>
  <c r="AP153" i="65"/>
  <c r="AX2" i="66"/>
  <c r="BQ46" i="27"/>
  <c r="AP120" i="65"/>
  <c r="AT2" i="65"/>
  <c r="AT18" i="65" s="1"/>
  <c r="N139" i="63"/>
  <c r="AR2" i="63"/>
  <c r="AR2" i="62"/>
  <c r="BR47" i="27"/>
  <c r="AL53" i="70" l="1"/>
  <c r="AL53" i="66"/>
  <c r="AL53" i="65"/>
  <c r="AL53" i="63"/>
  <c r="AL53" i="62"/>
  <c r="AL54" i="62" s="1"/>
  <c r="AK54" i="65"/>
  <c r="AK152" i="65"/>
  <c r="AH134" i="70"/>
  <c r="AI34" i="70"/>
  <c r="AH134" i="65"/>
  <c r="AI34" i="65"/>
  <c r="AK54" i="66"/>
  <c r="AK152" i="66"/>
  <c r="AH134" i="63"/>
  <c r="AH140" i="63" s="1"/>
  <c r="AI34" i="63"/>
  <c r="BE73" i="48"/>
  <c r="BD73" i="70"/>
  <c r="BD73" i="66"/>
  <c r="BD73" i="65"/>
  <c r="BD73" i="63"/>
  <c r="BD73" i="62"/>
  <c r="AH133" i="66"/>
  <c r="AI34" i="66"/>
  <c r="AG140" i="70"/>
  <c r="AG139" i="70"/>
  <c r="AG137" i="70" s="1"/>
  <c r="AK152" i="70"/>
  <c r="AK54" i="70"/>
  <c r="AH134" i="62"/>
  <c r="AI34" i="62"/>
  <c r="AG134" i="66"/>
  <c r="AG140" i="66" s="1"/>
  <c r="AG135" i="66"/>
  <c r="AK54" i="63"/>
  <c r="AK152" i="63"/>
  <c r="AI137" i="48"/>
  <c r="AI136" i="48"/>
  <c r="AI135" i="48" s="1"/>
  <c r="AI154" i="27"/>
  <c r="AI168" i="27"/>
  <c r="AJ155" i="27"/>
  <c r="AI174" i="27"/>
  <c r="AI175" i="27" s="1"/>
  <c r="AI176" i="27" s="1"/>
  <c r="AK34" i="48"/>
  <c r="AJ133" i="48"/>
  <c r="AK152" i="62"/>
  <c r="AM53" i="48"/>
  <c r="AL148" i="48"/>
  <c r="AQ153" i="65"/>
  <c r="AY2" i="66"/>
  <c r="BR46" i="27"/>
  <c r="N137" i="63"/>
  <c r="AQ120" i="65"/>
  <c r="AU2" i="65"/>
  <c r="AU18" i="65" s="1"/>
  <c r="AS2" i="63"/>
  <c r="AS2" i="62"/>
  <c r="BS47" i="27"/>
  <c r="AM53" i="70" l="1"/>
  <c r="AM53" i="66"/>
  <c r="AM53" i="65"/>
  <c r="AM53" i="63"/>
  <c r="AM53" i="62"/>
  <c r="AM54" i="62" s="1"/>
  <c r="AI134" i="62"/>
  <c r="AJ34" i="62"/>
  <c r="AI133" i="66"/>
  <c r="AJ34" i="66"/>
  <c r="AL54" i="63"/>
  <c r="AL152" i="63"/>
  <c r="AH134" i="66"/>
  <c r="AH140" i="66" s="1"/>
  <c r="AH135" i="66"/>
  <c r="AI134" i="63"/>
  <c r="AI140" i="63" s="1"/>
  <c r="AJ34" i="63"/>
  <c r="AL54" i="65"/>
  <c r="AL152" i="65"/>
  <c r="AI134" i="65"/>
  <c r="AJ34" i="65"/>
  <c r="AI134" i="70"/>
  <c r="AJ34" i="70"/>
  <c r="AL54" i="66"/>
  <c r="AL152" i="66"/>
  <c r="BF73" i="48"/>
  <c r="BE73" i="70"/>
  <c r="BE73" i="66"/>
  <c r="BE73" i="65"/>
  <c r="BE73" i="63"/>
  <c r="BE73" i="62"/>
  <c r="AH140" i="70"/>
  <c r="AH139" i="70"/>
  <c r="AH137" i="70" s="1"/>
  <c r="AL152" i="70"/>
  <c r="AL54" i="70"/>
  <c r="AJ137" i="48"/>
  <c r="AJ136" i="48"/>
  <c r="AJ135" i="48" s="1"/>
  <c r="AJ168" i="27"/>
  <c r="AJ174" i="27"/>
  <c r="AK155" i="27"/>
  <c r="AJ154" i="27"/>
  <c r="AL34" i="48"/>
  <c r="AK133" i="48"/>
  <c r="AL152" i="62"/>
  <c r="AN53" i="48"/>
  <c r="AM148" i="48"/>
  <c r="AR153" i="65"/>
  <c r="AZ2" i="66"/>
  <c r="BS46" i="27"/>
  <c r="AR120" i="65"/>
  <c r="AV2" i="65"/>
  <c r="AV18" i="65" s="1"/>
  <c r="AT2" i="63"/>
  <c r="AT2" i="62"/>
  <c r="BT47" i="27"/>
  <c r="AN53" i="70" l="1"/>
  <c r="AN53" i="66"/>
  <c r="AN53" i="65"/>
  <c r="AN53" i="63"/>
  <c r="AN53" i="62"/>
  <c r="AN54" i="62" s="1"/>
  <c r="AJ134" i="65"/>
  <c r="AK34" i="65"/>
  <c r="AM54" i="63"/>
  <c r="AM152" i="63"/>
  <c r="AJ134" i="63"/>
  <c r="AJ140" i="63" s="1"/>
  <c r="AK34" i="63"/>
  <c r="AJ134" i="62"/>
  <c r="AK34" i="62"/>
  <c r="AM54" i="65"/>
  <c r="AM152" i="65"/>
  <c r="BG73" i="48"/>
  <c r="BF73" i="70"/>
  <c r="BF73" i="66"/>
  <c r="BF73" i="65"/>
  <c r="BF73" i="63"/>
  <c r="BF73" i="62"/>
  <c r="AJ134" i="70"/>
  <c r="AK34" i="70"/>
  <c r="AJ133" i="66"/>
  <c r="AK34" i="66"/>
  <c r="AM54" i="66"/>
  <c r="AM152" i="66"/>
  <c r="AI140" i="70"/>
  <c r="AI139" i="70"/>
  <c r="AI137" i="70" s="1"/>
  <c r="AI134" i="66"/>
  <c r="AI140" i="66" s="1"/>
  <c r="AI135" i="66"/>
  <c r="AM152" i="70"/>
  <c r="AM54" i="70"/>
  <c r="AK168" i="27"/>
  <c r="AK174" i="27"/>
  <c r="AL155" i="27"/>
  <c r="AK154" i="27"/>
  <c r="AK137" i="48"/>
  <c r="AK136" i="48"/>
  <c r="AK135" i="48" s="1"/>
  <c r="AM34" i="48"/>
  <c r="AL133" i="48"/>
  <c r="AM152" i="62"/>
  <c r="AO53" i="48"/>
  <c r="AN148" i="48"/>
  <c r="AS153" i="65"/>
  <c r="BA2" i="66"/>
  <c r="BT46" i="27"/>
  <c r="AW2" i="65"/>
  <c r="AW18" i="65" s="1"/>
  <c r="AS120" i="65"/>
  <c r="O139" i="63"/>
  <c r="AU2" i="63"/>
  <c r="AU2" i="62"/>
  <c r="BU47" i="27"/>
  <c r="AJ140" i="70" l="1"/>
  <c r="AJ139" i="70"/>
  <c r="AJ137" i="70" s="1"/>
  <c r="AK134" i="63"/>
  <c r="AK140" i="63" s="1"/>
  <c r="AL34" i="63"/>
  <c r="AN54" i="63"/>
  <c r="AN152" i="63"/>
  <c r="AJ134" i="66"/>
  <c r="AJ140" i="66" s="1"/>
  <c r="AJ135" i="66"/>
  <c r="AK134" i="62"/>
  <c r="AL34" i="62"/>
  <c r="AK134" i="65"/>
  <c r="AL34" i="65"/>
  <c r="AN54" i="65"/>
  <c r="AN152" i="65"/>
  <c r="AO53" i="70"/>
  <c r="AO53" i="66"/>
  <c r="AO53" i="65"/>
  <c r="AO53" i="63"/>
  <c r="AO53" i="62"/>
  <c r="AO54" i="62" s="1"/>
  <c r="BH73" i="48"/>
  <c r="BG73" i="70"/>
  <c r="BG73" i="66"/>
  <c r="BG73" i="65"/>
  <c r="BG73" i="63"/>
  <c r="BG73" i="62"/>
  <c r="AN54" i="66"/>
  <c r="AN152" i="66"/>
  <c r="AK133" i="66"/>
  <c r="AL34" i="66"/>
  <c r="AK134" i="70"/>
  <c r="AL34" i="70"/>
  <c r="AN152" i="70"/>
  <c r="AN54" i="70"/>
  <c r="AL174" i="27"/>
  <c r="AM155" i="27"/>
  <c r="AL168" i="27"/>
  <c r="AL154" i="27"/>
  <c r="AL137" i="48"/>
  <c r="AL136" i="48"/>
  <c r="AL135" i="48" s="1"/>
  <c r="AN34" i="48"/>
  <c r="AM133" i="48"/>
  <c r="AN152" i="62"/>
  <c r="AP53" i="48"/>
  <c r="AO148" i="48"/>
  <c r="AT153" i="65"/>
  <c r="H140" i="62"/>
  <c r="H139" i="62"/>
  <c r="G139" i="65"/>
  <c r="G140" i="65"/>
  <c r="BB2" i="66"/>
  <c r="BU46" i="27"/>
  <c r="O137" i="63"/>
  <c r="AU153" i="65"/>
  <c r="AX2" i="65"/>
  <c r="AX18" i="65" s="1"/>
  <c r="AT120" i="65"/>
  <c r="AV2" i="63"/>
  <c r="AV2" i="62"/>
  <c r="BV47" i="27"/>
  <c r="AO54" i="63" l="1"/>
  <c r="AO152" i="63"/>
  <c r="AL134" i="63"/>
  <c r="AL140" i="63" s="1"/>
  <c r="AM34" i="63"/>
  <c r="AL134" i="70"/>
  <c r="AM34" i="70"/>
  <c r="AK134" i="66"/>
  <c r="AK140" i="66" s="1"/>
  <c r="AK135" i="66"/>
  <c r="AO54" i="65"/>
  <c r="AO152" i="65"/>
  <c r="AL134" i="62"/>
  <c r="AM34" i="62"/>
  <c r="AP53" i="70"/>
  <c r="AP53" i="66"/>
  <c r="AP53" i="65"/>
  <c r="AP53" i="63"/>
  <c r="AP53" i="62"/>
  <c r="AP54" i="62" s="1"/>
  <c r="AK140" i="70"/>
  <c r="AK139" i="70"/>
  <c r="AK137" i="70" s="1"/>
  <c r="BI73" i="48"/>
  <c r="BH73" i="70"/>
  <c r="BH73" i="66"/>
  <c r="BH73" i="65"/>
  <c r="BH73" i="63"/>
  <c r="BH73" i="62"/>
  <c r="AO54" i="66"/>
  <c r="AO152" i="66"/>
  <c r="AL134" i="65"/>
  <c r="AM34" i="65"/>
  <c r="AL133" i="66"/>
  <c r="AM34" i="66"/>
  <c r="AO152" i="70"/>
  <c r="AO54" i="70"/>
  <c r="AM137" i="48"/>
  <c r="AM136" i="48"/>
  <c r="AM135" i="48" s="1"/>
  <c r="AN155" i="27"/>
  <c r="AM168" i="27"/>
  <c r="AM174" i="27"/>
  <c r="AM154" i="27"/>
  <c r="AO34" i="48"/>
  <c r="AP34" i="48" s="1"/>
  <c r="AQ34" i="48" s="1"/>
  <c r="AR34" i="48" s="1"/>
  <c r="AS34" i="48" s="1"/>
  <c r="AT34" i="48" s="1"/>
  <c r="AU34" i="48" s="1"/>
  <c r="AV34" i="48" s="1"/>
  <c r="AW34" i="48" s="1"/>
  <c r="AX34" i="48" s="1"/>
  <c r="AY34" i="48" s="1"/>
  <c r="AZ34" i="48" s="1"/>
  <c r="BA34" i="48" s="1"/>
  <c r="BB34" i="48" s="1"/>
  <c r="BC34" i="48" s="1"/>
  <c r="BD34" i="48" s="1"/>
  <c r="BE34" i="48" s="1"/>
  <c r="BF34" i="48" s="1"/>
  <c r="BG34" i="48" s="1"/>
  <c r="BH34" i="48" s="1"/>
  <c r="BI34" i="48" s="1"/>
  <c r="AN133" i="48"/>
  <c r="AO152" i="62"/>
  <c r="AQ53" i="48"/>
  <c r="AP148" i="48"/>
  <c r="H137" i="62"/>
  <c r="G137" i="65"/>
  <c r="BC2" i="66"/>
  <c r="BV46" i="27"/>
  <c r="AU120" i="65"/>
  <c r="AY2" i="65"/>
  <c r="AY18" i="65" s="1"/>
  <c r="AV153" i="65"/>
  <c r="AW2" i="63"/>
  <c r="AW2" i="62"/>
  <c r="BW47" i="27"/>
  <c r="AQ53" i="70" l="1"/>
  <c r="AQ53" i="66"/>
  <c r="AQ53" i="65"/>
  <c r="AQ53" i="63"/>
  <c r="AQ53" i="62"/>
  <c r="AQ54" i="62" s="1"/>
  <c r="AM133" i="66"/>
  <c r="AN34" i="66"/>
  <c r="AP54" i="66"/>
  <c r="AP152" i="66"/>
  <c r="AM134" i="65"/>
  <c r="AN34" i="65"/>
  <c r="AP152" i="70"/>
  <c r="AP54" i="70"/>
  <c r="AM134" i="70"/>
  <c r="AN34" i="70"/>
  <c r="AL134" i="66"/>
  <c r="AL140" i="66" s="1"/>
  <c r="AL135" i="66"/>
  <c r="BI73" i="70"/>
  <c r="BI73" i="66"/>
  <c r="BI73" i="65"/>
  <c r="BI73" i="63"/>
  <c r="BI73" i="62"/>
  <c r="AP54" i="63"/>
  <c r="AP152" i="63"/>
  <c r="AM134" i="62"/>
  <c r="AN34" i="62"/>
  <c r="AL139" i="70"/>
  <c r="AL137" i="70" s="1"/>
  <c r="AL140" i="70"/>
  <c r="AP54" i="65"/>
  <c r="AP152" i="65"/>
  <c r="AM134" i="63"/>
  <c r="AM140" i="63" s="1"/>
  <c r="AN34" i="63"/>
  <c r="AN168" i="27"/>
  <c r="AN174" i="27"/>
  <c r="AO155" i="27"/>
  <c r="AN154" i="27"/>
  <c r="AN137" i="48"/>
  <c r="AN136" i="48"/>
  <c r="AN135" i="48" s="1"/>
  <c r="AP152" i="62"/>
  <c r="AR53" i="48"/>
  <c r="AQ148" i="48"/>
  <c r="BD2" i="66"/>
  <c r="BW46" i="27"/>
  <c r="AV120" i="65"/>
  <c r="AW153" i="65"/>
  <c r="AZ2" i="65"/>
  <c r="AZ18" i="65" s="1"/>
  <c r="AX2" i="63"/>
  <c r="AX2" i="62"/>
  <c r="BX47" i="27"/>
  <c r="AR53" i="70" l="1"/>
  <c r="AR53" i="66"/>
  <c r="AR53" i="65"/>
  <c r="AR53" i="63"/>
  <c r="AR53" i="62"/>
  <c r="AR54" i="62" s="1"/>
  <c r="AM139" i="70"/>
  <c r="AM137" i="70" s="1"/>
  <c r="AM140" i="70"/>
  <c r="AQ54" i="63"/>
  <c r="AQ152" i="63"/>
  <c r="AN133" i="66"/>
  <c r="AO34" i="66"/>
  <c r="AQ54" i="65"/>
  <c r="AQ152" i="65"/>
  <c r="AM134" i="66"/>
  <c r="AM140" i="66" s="1"/>
  <c r="AM135" i="66"/>
  <c r="AQ54" i="66"/>
  <c r="AQ152" i="66"/>
  <c r="AN134" i="63"/>
  <c r="AN140" i="63" s="1"/>
  <c r="AO34" i="63"/>
  <c r="AN134" i="62"/>
  <c r="AO34" i="62"/>
  <c r="AN134" i="70"/>
  <c r="AO34" i="70"/>
  <c r="AN134" i="65"/>
  <c r="AO34" i="65"/>
  <c r="AQ54" i="70"/>
  <c r="AQ152" i="70"/>
  <c r="AO168" i="27"/>
  <c r="AO174" i="27"/>
  <c r="AP155" i="27"/>
  <c r="AO154" i="27"/>
  <c r="AQ152" i="62"/>
  <c r="AS53" i="48"/>
  <c r="AR148" i="48"/>
  <c r="BE2" i="66"/>
  <c r="BX46" i="27"/>
  <c r="AX153" i="65"/>
  <c r="BA2" i="65"/>
  <c r="BA18" i="65" s="1"/>
  <c r="AW120" i="65"/>
  <c r="P139" i="63"/>
  <c r="AY2" i="63"/>
  <c r="AY2" i="62"/>
  <c r="BY47" i="27"/>
  <c r="AS53" i="70" l="1"/>
  <c r="AS53" i="66"/>
  <c r="AS53" i="65"/>
  <c r="AS53" i="63"/>
  <c r="AS53" i="62"/>
  <c r="AS54" i="62" s="1"/>
  <c r="AO134" i="62"/>
  <c r="AP34" i="62"/>
  <c r="AO133" i="66"/>
  <c r="AP34" i="66"/>
  <c r="AR54" i="63"/>
  <c r="AR152" i="63"/>
  <c r="AR54" i="65"/>
  <c r="AR152" i="65"/>
  <c r="AO134" i="70"/>
  <c r="AP34" i="70"/>
  <c r="AN134" i="66"/>
  <c r="AN140" i="66" s="1"/>
  <c r="AN135" i="66"/>
  <c r="AR54" i="66"/>
  <c r="AR152" i="66"/>
  <c r="AO134" i="65"/>
  <c r="AP34" i="65"/>
  <c r="AN140" i="70"/>
  <c r="AN139" i="70"/>
  <c r="AN137" i="70" s="1"/>
  <c r="AO134" i="63"/>
  <c r="AO140" i="63" s="1"/>
  <c r="AP34" i="63"/>
  <c r="AR54" i="70"/>
  <c r="AR152" i="70"/>
  <c r="AP168" i="27"/>
  <c r="AQ155" i="27"/>
  <c r="AP174" i="27"/>
  <c r="AP154" i="27"/>
  <c r="AR152" i="62"/>
  <c r="AT53" i="48"/>
  <c r="AS148" i="48"/>
  <c r="BF2" i="66"/>
  <c r="BY46" i="27"/>
  <c r="P137" i="63"/>
  <c r="AX120" i="65"/>
  <c r="BB2" i="65"/>
  <c r="BB18" i="65" s="1"/>
  <c r="AZ2" i="63"/>
  <c r="AZ2" i="62"/>
  <c r="BZ47" i="27"/>
  <c r="AP134" i="70" l="1"/>
  <c r="AQ34" i="70"/>
  <c r="AO134" i="66"/>
  <c r="AO140" i="66" s="1"/>
  <c r="AO135" i="66"/>
  <c r="AS54" i="63"/>
  <c r="AS152" i="63"/>
  <c r="AT53" i="70"/>
  <c r="AT53" i="66"/>
  <c r="AT53" i="65"/>
  <c r="AT53" i="63"/>
  <c r="AT53" i="62"/>
  <c r="AT54" i="62" s="1"/>
  <c r="AP134" i="63"/>
  <c r="AP140" i="63" s="1"/>
  <c r="AQ34" i="63"/>
  <c r="AO140" i="70"/>
  <c r="AO139" i="70"/>
  <c r="AO137" i="70" s="1"/>
  <c r="AP134" i="62"/>
  <c r="AQ34" i="62"/>
  <c r="AS54" i="65"/>
  <c r="AS152" i="65"/>
  <c r="AP134" i="65"/>
  <c r="AQ34" i="65"/>
  <c r="AS54" i="66"/>
  <c r="AS152" i="66"/>
  <c r="AP133" i="66"/>
  <c r="AQ34" i="66"/>
  <c r="AS152" i="70"/>
  <c r="AS54" i="70"/>
  <c r="AR155" i="27"/>
  <c r="AQ174" i="27"/>
  <c r="AQ168" i="27"/>
  <c r="AQ154" i="27"/>
  <c r="AS152" i="62"/>
  <c r="AU53" i="48"/>
  <c r="AT148" i="48"/>
  <c r="AY153" i="65"/>
  <c r="BG2" i="66"/>
  <c r="BZ46" i="27"/>
  <c r="BC2" i="65"/>
  <c r="BC18" i="65" s="1"/>
  <c r="AY120" i="65"/>
  <c r="BA2" i="63"/>
  <c r="Q139" i="63"/>
  <c r="BA2" i="62"/>
  <c r="CA47" i="27"/>
  <c r="AP134" i="66" l="1"/>
  <c r="AP140" i="66" s="1"/>
  <c r="AP135" i="66"/>
  <c r="AQ134" i="65"/>
  <c r="AR34" i="65"/>
  <c r="AQ134" i="62"/>
  <c r="AR34" i="62"/>
  <c r="AQ134" i="63"/>
  <c r="AQ140" i="63" s="1"/>
  <c r="AR34" i="63"/>
  <c r="AT54" i="63"/>
  <c r="AT152" i="63"/>
  <c r="AT54" i="65"/>
  <c r="AT152" i="65"/>
  <c r="AQ134" i="70"/>
  <c r="AR34" i="70"/>
  <c r="AQ133" i="66"/>
  <c r="AR34" i="66"/>
  <c r="AT54" i="66"/>
  <c r="AT152" i="66"/>
  <c r="AP140" i="70"/>
  <c r="AP139" i="70"/>
  <c r="AP137" i="70" s="1"/>
  <c r="AU53" i="70"/>
  <c r="AU152" i="70" s="1"/>
  <c r="AU53" i="66"/>
  <c r="AU53" i="65"/>
  <c r="AU53" i="63"/>
  <c r="AU53" i="62"/>
  <c r="AU54" i="62" s="1"/>
  <c r="AT152" i="70"/>
  <c r="AT54" i="70"/>
  <c r="AR168" i="27"/>
  <c r="AS155" i="27"/>
  <c r="AR174" i="27"/>
  <c r="AR154" i="27"/>
  <c r="AT152" i="62"/>
  <c r="AV53" i="48"/>
  <c r="AU148" i="48"/>
  <c r="AZ153" i="65"/>
  <c r="H139" i="65"/>
  <c r="H140" i="65"/>
  <c r="BH2" i="66"/>
  <c r="CA46" i="27"/>
  <c r="Q137" i="63"/>
  <c r="BA153" i="65"/>
  <c r="AZ120" i="65"/>
  <c r="BD2" i="65"/>
  <c r="BD18" i="65" s="1"/>
  <c r="BB2" i="63"/>
  <c r="BB2" i="62"/>
  <c r="CB47" i="27"/>
  <c r="AU54" i="70" l="1"/>
  <c r="AU54" i="65"/>
  <c r="AU152" i="65"/>
  <c r="AR134" i="70"/>
  <c r="AS34" i="70"/>
  <c r="AU54" i="66"/>
  <c r="AU152" i="66"/>
  <c r="AR133" i="66"/>
  <c r="AS34" i="66"/>
  <c r="AQ139" i="70"/>
  <c r="AQ137" i="70" s="1"/>
  <c r="AQ140" i="70"/>
  <c r="AR134" i="62"/>
  <c r="AS34" i="62"/>
  <c r="AV53" i="70"/>
  <c r="AV53" i="66"/>
  <c r="AV53" i="65"/>
  <c r="AV53" i="63"/>
  <c r="AV53" i="62"/>
  <c r="AV54" i="62" s="1"/>
  <c r="AQ134" i="66"/>
  <c r="AQ140" i="66" s="1"/>
  <c r="AQ135" i="66"/>
  <c r="AR134" i="63"/>
  <c r="AR140" i="63" s="1"/>
  <c r="AS34" i="63"/>
  <c r="AU54" i="63"/>
  <c r="AU152" i="63"/>
  <c r="AR134" i="65"/>
  <c r="AS34" i="65"/>
  <c r="AT155" i="27"/>
  <c r="AS174" i="27"/>
  <c r="AS168" i="27"/>
  <c r="AS154" i="27"/>
  <c r="AU152" i="62"/>
  <c r="AW53" i="48"/>
  <c r="AV148" i="48"/>
  <c r="I140" i="62"/>
  <c r="I139" i="62"/>
  <c r="H137" i="65"/>
  <c r="BI2" i="66"/>
  <c r="CB46" i="27"/>
  <c r="BA120" i="65"/>
  <c r="BE2" i="65"/>
  <c r="BE18" i="65" s="1"/>
  <c r="BB153" i="65"/>
  <c r="BC2" i="63"/>
  <c r="BC2" i="62"/>
  <c r="CC47" i="27"/>
  <c r="AW53" i="70" l="1"/>
  <c r="AW53" i="66"/>
  <c r="AW53" i="65"/>
  <c r="AW53" i="63"/>
  <c r="AW53" i="62"/>
  <c r="AW54" i="62" s="1"/>
  <c r="AV54" i="66"/>
  <c r="AV152" i="66"/>
  <c r="AR134" i="66"/>
  <c r="AR140" i="66" s="1"/>
  <c r="AR135" i="66"/>
  <c r="AS134" i="70"/>
  <c r="AT34" i="70"/>
  <c r="AS134" i="63"/>
  <c r="AS140" i="63" s="1"/>
  <c r="AT34" i="63"/>
  <c r="AV152" i="70"/>
  <c r="AV54" i="70"/>
  <c r="AR140" i="70"/>
  <c r="AR139" i="70"/>
  <c r="AR137" i="70" s="1"/>
  <c r="AV54" i="63"/>
  <c r="AV152" i="63"/>
  <c r="AS134" i="62"/>
  <c r="AT34" i="62"/>
  <c r="AS134" i="65"/>
  <c r="AT34" i="65"/>
  <c r="AV54" i="65"/>
  <c r="AV152" i="65"/>
  <c r="AS133" i="66"/>
  <c r="AT34" i="66"/>
  <c r="AU155" i="27"/>
  <c r="AT174" i="27"/>
  <c r="AT168" i="27"/>
  <c r="AT154" i="27"/>
  <c r="AV152" i="62"/>
  <c r="AX53" i="48"/>
  <c r="AW148" i="48"/>
  <c r="I137" i="62"/>
  <c r="CC46" i="27"/>
  <c r="BB120" i="65"/>
  <c r="BF2" i="65"/>
  <c r="BF18" i="65" s="1"/>
  <c r="BD2" i="63"/>
  <c r="BD2" i="62"/>
  <c r="CD47" i="27"/>
  <c r="AT134" i="62" l="1"/>
  <c r="AU34" i="62"/>
  <c r="AW54" i="63"/>
  <c r="AW152" i="63"/>
  <c r="AT133" i="66"/>
  <c r="AU34" i="66"/>
  <c r="AT134" i="65"/>
  <c r="AU34" i="65"/>
  <c r="AT134" i="63"/>
  <c r="AT140" i="63" s="1"/>
  <c r="AU34" i="63"/>
  <c r="AT134" i="70"/>
  <c r="AU34" i="70"/>
  <c r="AW54" i="65"/>
  <c r="AW152" i="65"/>
  <c r="AS134" i="66"/>
  <c r="AS140" i="66" s="1"/>
  <c r="AS135" i="66"/>
  <c r="AS140" i="70"/>
  <c r="AS139" i="70"/>
  <c r="AS137" i="70" s="1"/>
  <c r="AW54" i="66"/>
  <c r="AW152" i="66"/>
  <c r="AX53" i="70"/>
  <c r="AX53" i="66"/>
  <c r="AX53" i="65"/>
  <c r="AX53" i="63"/>
  <c r="AX53" i="62"/>
  <c r="AX54" i="62" s="1"/>
  <c r="AW152" i="70"/>
  <c r="AW54" i="70"/>
  <c r="AV155" i="27"/>
  <c r="AU168" i="27"/>
  <c r="AU174" i="27"/>
  <c r="AU154" i="27"/>
  <c r="AW152" i="62"/>
  <c r="AY53" i="48"/>
  <c r="AX148" i="48"/>
  <c r="BC153" i="65"/>
  <c r="CD46" i="27"/>
  <c r="BC120" i="65"/>
  <c r="BG2" i="65"/>
  <c r="BG18" i="65" s="1"/>
  <c r="R139" i="63"/>
  <c r="BE2" i="63"/>
  <c r="BE2" i="62"/>
  <c r="CE47" i="27"/>
  <c r="AX54" i="65" l="1"/>
  <c r="AX152" i="65"/>
  <c r="AU134" i="70"/>
  <c r="AV34" i="70"/>
  <c r="AU133" i="66"/>
  <c r="AV34" i="66"/>
  <c r="AX54" i="66"/>
  <c r="AX152" i="66"/>
  <c r="AT139" i="70"/>
  <c r="AT137" i="70" s="1"/>
  <c r="AT140" i="70"/>
  <c r="AX152" i="70"/>
  <c r="AX54" i="70"/>
  <c r="AU134" i="63"/>
  <c r="AU140" i="63" s="1"/>
  <c r="AV34" i="63"/>
  <c r="AU134" i="65"/>
  <c r="AV34" i="65"/>
  <c r="AT134" i="66"/>
  <c r="AT140" i="66" s="1"/>
  <c r="AT135" i="66"/>
  <c r="AU134" i="62"/>
  <c r="AV34" i="62"/>
  <c r="AY53" i="70"/>
  <c r="AY53" i="66"/>
  <c r="AY53" i="65"/>
  <c r="AY53" i="63"/>
  <c r="AY53" i="62"/>
  <c r="AY54" i="62" s="1"/>
  <c r="AX54" i="63"/>
  <c r="AX152" i="63"/>
  <c r="AW155" i="27"/>
  <c r="AV174" i="27"/>
  <c r="AV168" i="27"/>
  <c r="AV154" i="27"/>
  <c r="AX152" i="62"/>
  <c r="AZ53" i="48"/>
  <c r="AY148" i="48"/>
  <c r="BD153" i="65"/>
  <c r="CE46" i="27"/>
  <c r="R137" i="63"/>
  <c r="BH2" i="65"/>
  <c r="BH18" i="65" s="1"/>
  <c r="BD120" i="65"/>
  <c r="BE153" i="65"/>
  <c r="BF2" i="63"/>
  <c r="BF2" i="62"/>
  <c r="CF47" i="27"/>
  <c r="AY54" i="65" l="1"/>
  <c r="AY152" i="65"/>
  <c r="AV134" i="65"/>
  <c r="AW34" i="65"/>
  <c r="AV134" i="70"/>
  <c r="AW34" i="70"/>
  <c r="AY54" i="66"/>
  <c r="AY152" i="66"/>
  <c r="AV133" i="66"/>
  <c r="AW34" i="66"/>
  <c r="AU140" i="70"/>
  <c r="AU139" i="70"/>
  <c r="AU137" i="70" s="1"/>
  <c r="AY54" i="70"/>
  <c r="AY152" i="70"/>
  <c r="AV134" i="63"/>
  <c r="AV140" i="63" s="1"/>
  <c r="AW34" i="63"/>
  <c r="AU134" i="66"/>
  <c r="AU140" i="66" s="1"/>
  <c r="AU135" i="66"/>
  <c r="AZ53" i="70"/>
  <c r="AZ53" i="66"/>
  <c r="AZ53" i="65"/>
  <c r="AZ53" i="63"/>
  <c r="AZ53" i="62"/>
  <c r="AZ54" i="62" s="1"/>
  <c r="AY54" i="63"/>
  <c r="AY152" i="63"/>
  <c r="AV134" i="62"/>
  <c r="AW34" i="62"/>
  <c r="AX155" i="27"/>
  <c r="AW174" i="27"/>
  <c r="AW168" i="27"/>
  <c r="AW154" i="27"/>
  <c r="AY152" i="62"/>
  <c r="BA53" i="48"/>
  <c r="AZ148" i="48"/>
  <c r="CF46" i="27"/>
  <c r="BE120" i="65"/>
  <c r="BI2" i="65"/>
  <c r="BI18" i="65" s="1"/>
  <c r="BG2" i="63"/>
  <c r="BG2" i="62"/>
  <c r="CG47" i="27"/>
  <c r="AW134" i="62" l="1"/>
  <c r="AX34" i="62"/>
  <c r="AZ152" i="70"/>
  <c r="AZ54" i="70"/>
  <c r="AW134" i="63"/>
  <c r="AW140" i="63" s="1"/>
  <c r="AX34" i="63"/>
  <c r="AV134" i="66"/>
  <c r="AV140" i="66" s="1"/>
  <c r="AV135" i="66"/>
  <c r="AW134" i="70"/>
  <c r="AX34" i="70"/>
  <c r="AW134" i="65"/>
  <c r="AX34" i="65"/>
  <c r="AZ54" i="63"/>
  <c r="AZ152" i="63"/>
  <c r="AV140" i="70"/>
  <c r="AV139" i="70"/>
  <c r="AV137" i="70" s="1"/>
  <c r="AZ54" i="65"/>
  <c r="AZ152" i="65"/>
  <c r="AW133" i="66"/>
  <c r="AX34" i="66"/>
  <c r="BA53" i="70"/>
  <c r="BA53" i="66"/>
  <c r="BA53" i="65"/>
  <c r="BA53" i="63"/>
  <c r="BA53" i="62"/>
  <c r="BA54" i="62" s="1"/>
  <c r="AZ54" i="66"/>
  <c r="AZ152" i="66"/>
  <c r="AY155" i="27"/>
  <c r="AX168" i="27"/>
  <c r="AX174" i="27"/>
  <c r="AX154" i="27"/>
  <c r="AZ152" i="62"/>
  <c r="BB53" i="48"/>
  <c r="BA148" i="48"/>
  <c r="BF153" i="65"/>
  <c r="CG46" i="27"/>
  <c r="BF120" i="65"/>
  <c r="S139" i="63"/>
  <c r="BH2" i="63"/>
  <c r="BH2" i="62"/>
  <c r="CH47" i="27"/>
  <c r="BA54" i="66" l="1"/>
  <c r="BA152" i="66"/>
  <c r="AW134" i="66"/>
  <c r="AW140" i="66" s="1"/>
  <c r="AW135" i="66"/>
  <c r="AX134" i="70"/>
  <c r="AY34" i="70"/>
  <c r="BA152" i="70"/>
  <c r="BA54" i="70"/>
  <c r="AX134" i="65"/>
  <c r="AY34" i="65"/>
  <c r="AW140" i="70"/>
  <c r="AW139" i="70"/>
  <c r="AW137" i="70" s="1"/>
  <c r="BA54" i="63"/>
  <c r="BA152" i="63"/>
  <c r="AX134" i="63"/>
  <c r="AX140" i="63" s="1"/>
  <c r="AY34" i="63"/>
  <c r="AX134" i="62"/>
  <c r="AY34" i="62"/>
  <c r="BB53" i="70"/>
  <c r="BB53" i="66"/>
  <c r="BB53" i="65"/>
  <c r="BB53" i="63"/>
  <c r="BB53" i="62"/>
  <c r="BB54" i="62" s="1"/>
  <c r="BA54" i="65"/>
  <c r="BA152" i="65"/>
  <c r="AX133" i="66"/>
  <c r="AY34" i="66"/>
  <c r="AZ155" i="27"/>
  <c r="AY168" i="27"/>
  <c r="AY174" i="27"/>
  <c r="AY154" i="27"/>
  <c r="BA152" i="62"/>
  <c r="BC53" i="48"/>
  <c r="BB148" i="48"/>
  <c r="BG153" i="65"/>
  <c r="I139" i="65"/>
  <c r="I140" i="65"/>
  <c r="CH46" i="27"/>
  <c r="S137" i="63"/>
  <c r="BG120" i="65"/>
  <c r="BH153" i="65"/>
  <c r="BI2" i="63"/>
  <c r="BI2" i="62"/>
  <c r="CI47" i="27"/>
  <c r="AY133" i="66" l="1"/>
  <c r="AZ34" i="66"/>
  <c r="BB54" i="66"/>
  <c r="BB152" i="66"/>
  <c r="AY134" i="63"/>
  <c r="AY140" i="63" s="1"/>
  <c r="AZ34" i="63"/>
  <c r="AY134" i="65"/>
  <c r="AZ34" i="65"/>
  <c r="BB152" i="70"/>
  <c r="BB54" i="70"/>
  <c r="AY134" i="70"/>
  <c r="AZ34" i="70"/>
  <c r="BC53" i="70"/>
  <c r="BC53" i="66"/>
  <c r="BC53" i="65"/>
  <c r="BC53" i="63"/>
  <c r="BC53" i="62"/>
  <c r="BC54" i="62" s="1"/>
  <c r="AX134" i="66"/>
  <c r="AX140" i="66" s="1"/>
  <c r="AX135" i="66"/>
  <c r="BB54" i="63"/>
  <c r="BB152" i="63"/>
  <c r="AY134" i="62"/>
  <c r="AZ34" i="62"/>
  <c r="AX140" i="70"/>
  <c r="AX139" i="70"/>
  <c r="AX137" i="70" s="1"/>
  <c r="BB54" i="65"/>
  <c r="BB152" i="65"/>
  <c r="BA155" i="27"/>
  <c r="AZ174" i="27"/>
  <c r="AZ168" i="27"/>
  <c r="AZ154" i="27"/>
  <c r="BB152" i="62"/>
  <c r="BD53" i="48"/>
  <c r="BC148" i="48"/>
  <c r="J140" i="62"/>
  <c r="J139" i="62"/>
  <c r="I137" i="65"/>
  <c r="CI46" i="27"/>
  <c r="BH120" i="65"/>
  <c r="BI153" i="65"/>
  <c r="CJ47" i="27"/>
  <c r="AZ134" i="62" l="1"/>
  <c r="BA34" i="62"/>
  <c r="BC54" i="65"/>
  <c r="BC152" i="65"/>
  <c r="AZ134" i="70"/>
  <c r="BA34" i="70"/>
  <c r="AZ134" i="63"/>
  <c r="AZ140" i="63" s="1"/>
  <c r="BA34" i="63"/>
  <c r="BC54" i="66"/>
  <c r="BC152" i="66"/>
  <c r="AY139" i="70"/>
  <c r="AY137" i="70" s="1"/>
  <c r="AY140" i="70"/>
  <c r="AZ134" i="65"/>
  <c r="BA34" i="65"/>
  <c r="AZ133" i="66"/>
  <c r="BA34" i="66"/>
  <c r="BC152" i="70"/>
  <c r="BC54" i="70"/>
  <c r="BD53" i="70"/>
  <c r="BD53" i="66"/>
  <c r="BD53" i="65"/>
  <c r="BD53" i="63"/>
  <c r="BD53" i="62"/>
  <c r="BD54" i="62" s="1"/>
  <c r="BC54" i="63"/>
  <c r="BC152" i="63"/>
  <c r="AY134" i="66"/>
  <c r="AY140" i="66" s="1"/>
  <c r="AY135" i="66"/>
  <c r="BA168" i="27"/>
  <c r="BB155" i="27"/>
  <c r="BA174" i="27"/>
  <c r="BA154" i="27"/>
  <c r="BC152" i="62"/>
  <c r="BE53" i="48"/>
  <c r="BD148" i="48"/>
  <c r="J137" i="62"/>
  <c r="CJ46" i="27"/>
  <c r="BI120" i="65"/>
  <c r="CK47" i="27"/>
  <c r="BD152" i="70" l="1"/>
  <c r="BD54" i="70"/>
  <c r="BE53" i="70"/>
  <c r="BE53" i="66"/>
  <c r="BE53" i="65"/>
  <c r="BE53" i="63"/>
  <c r="BE53" i="62"/>
  <c r="BE54" i="62" s="1"/>
  <c r="BD54" i="63"/>
  <c r="BD152" i="63"/>
  <c r="BA133" i="66"/>
  <c r="BB34" i="66"/>
  <c r="BD54" i="65"/>
  <c r="BD152" i="65"/>
  <c r="AZ134" i="66"/>
  <c r="AZ140" i="66" s="1"/>
  <c r="AZ135" i="66"/>
  <c r="BA134" i="63"/>
  <c r="BA140" i="63" s="1"/>
  <c r="BB34" i="63"/>
  <c r="BA134" i="70"/>
  <c r="BB34" i="70"/>
  <c r="BA134" i="62"/>
  <c r="BB34" i="62"/>
  <c r="BD54" i="66"/>
  <c r="BD152" i="66"/>
  <c r="BA134" i="65"/>
  <c r="BB34" i="65"/>
  <c r="AZ139" i="70"/>
  <c r="AZ137" i="70" s="1"/>
  <c r="AZ140" i="70"/>
  <c r="BB168" i="27"/>
  <c r="BB174" i="27"/>
  <c r="BC155" i="27"/>
  <c r="BB154" i="27"/>
  <c r="BD152" i="62"/>
  <c r="BF53" i="48"/>
  <c r="BE148" i="48"/>
  <c r="CK46" i="27"/>
  <c r="T139" i="63"/>
  <c r="CL47" i="27"/>
  <c r="BB134" i="65" l="1"/>
  <c r="BC34" i="65"/>
  <c r="BB134" i="62"/>
  <c r="BC34" i="62"/>
  <c r="BA140" i="70"/>
  <c r="BA139" i="70"/>
  <c r="BA137" i="70" s="1"/>
  <c r="BE54" i="66"/>
  <c r="BE152" i="66"/>
  <c r="BB133" i="66"/>
  <c r="BC34" i="66"/>
  <c r="BE152" i="70"/>
  <c r="BE54" i="70"/>
  <c r="BB134" i="63"/>
  <c r="BB140" i="63" s="1"/>
  <c r="BC34" i="63"/>
  <c r="BA134" i="66"/>
  <c r="BA140" i="66" s="1"/>
  <c r="BA135" i="66"/>
  <c r="BE54" i="63"/>
  <c r="BE152" i="63"/>
  <c r="BF53" i="70"/>
  <c r="BF53" i="66"/>
  <c r="BF53" i="65"/>
  <c r="BF53" i="62"/>
  <c r="BF54" i="62" s="1"/>
  <c r="BF53" i="63"/>
  <c r="BB134" i="70"/>
  <c r="BC34" i="70"/>
  <c r="BE54" i="65"/>
  <c r="BE152" i="65"/>
  <c r="BC168" i="27"/>
  <c r="BC174" i="27"/>
  <c r="BD155" i="27"/>
  <c r="BC154" i="27"/>
  <c r="BE152" i="62"/>
  <c r="BG53" i="48"/>
  <c r="BF148" i="48"/>
  <c r="CL46" i="27"/>
  <c r="T137" i="63"/>
  <c r="CM47" i="27"/>
  <c r="BG53" i="70" l="1"/>
  <c r="BG53" i="66"/>
  <c r="BG53" i="65"/>
  <c r="BG53" i="63"/>
  <c r="BG53" i="62"/>
  <c r="BG54" i="62" s="1"/>
  <c r="BB140" i="70"/>
  <c r="BB139" i="70"/>
  <c r="BB137" i="70" s="1"/>
  <c r="BF54" i="66"/>
  <c r="BF152" i="66"/>
  <c r="BC133" i="66"/>
  <c r="BD34" i="66"/>
  <c r="BF54" i="63"/>
  <c r="BF152" i="63"/>
  <c r="BF152" i="70"/>
  <c r="BF54" i="70"/>
  <c r="BB134" i="66"/>
  <c r="BB140" i="66" s="1"/>
  <c r="BB135" i="66"/>
  <c r="BC134" i="63"/>
  <c r="BC140" i="63" s="1"/>
  <c r="BD34" i="63"/>
  <c r="BC134" i="65"/>
  <c r="BD34" i="65"/>
  <c r="BC134" i="70"/>
  <c r="BD34" i="70"/>
  <c r="BF54" i="65"/>
  <c r="BF152" i="65"/>
  <c r="BC134" i="62"/>
  <c r="BD34" i="62"/>
  <c r="BD174" i="27"/>
  <c r="BE155" i="27"/>
  <c r="BD154" i="27"/>
  <c r="BD168" i="27"/>
  <c r="BF152" i="62"/>
  <c r="BH53" i="48"/>
  <c r="BG148" i="48"/>
  <c r="CM46" i="27"/>
  <c r="CN47" i="27"/>
  <c r="BD134" i="62" l="1"/>
  <c r="BE34" i="62"/>
  <c r="BD133" i="66"/>
  <c r="BE34" i="66"/>
  <c r="BG54" i="63"/>
  <c r="BG152" i="63"/>
  <c r="BD134" i="70"/>
  <c r="BE34" i="70"/>
  <c r="BG54" i="65"/>
  <c r="BG152" i="65"/>
  <c r="BC140" i="70"/>
  <c r="BC139" i="70"/>
  <c r="BC137" i="70" s="1"/>
  <c r="BC134" i="66"/>
  <c r="BC140" i="66" s="1"/>
  <c r="BC135" i="66"/>
  <c r="BG54" i="66"/>
  <c r="BG152" i="66"/>
  <c r="BH53" i="70"/>
  <c r="BH53" i="66"/>
  <c r="BH53" i="65"/>
  <c r="BH53" i="63"/>
  <c r="BH53" i="62"/>
  <c r="BH54" i="62" s="1"/>
  <c r="BD134" i="65"/>
  <c r="BE34" i="65"/>
  <c r="BD134" i="63"/>
  <c r="BD140" i="63" s="1"/>
  <c r="BE34" i="63"/>
  <c r="BG54" i="70"/>
  <c r="BG152" i="70"/>
  <c r="BE174" i="27"/>
  <c r="BF155" i="27"/>
  <c r="BE154" i="27"/>
  <c r="BE168" i="27"/>
  <c r="BG152" i="62"/>
  <c r="BI53" i="48"/>
  <c r="BH148" i="48"/>
  <c r="J139" i="65"/>
  <c r="J140" i="65"/>
  <c r="CN46" i="27"/>
  <c r="U139" i="63"/>
  <c r="CO47" i="27"/>
  <c r="BH54" i="63" l="1"/>
  <c r="BH152" i="63"/>
  <c r="BD140" i="70"/>
  <c r="BD139" i="70"/>
  <c r="BD137" i="70" s="1"/>
  <c r="BE134" i="65"/>
  <c r="BF34" i="65"/>
  <c r="BH54" i="65"/>
  <c r="BH152" i="65"/>
  <c r="BD134" i="66"/>
  <c r="BD140" i="66" s="1"/>
  <c r="BD135" i="66"/>
  <c r="BE134" i="63"/>
  <c r="BE140" i="63" s="1"/>
  <c r="BF34" i="63"/>
  <c r="BH54" i="66"/>
  <c r="BH152" i="66"/>
  <c r="BE134" i="62"/>
  <c r="BF34" i="62"/>
  <c r="BI53" i="70"/>
  <c r="BI53" i="66"/>
  <c r="BI53" i="65"/>
  <c r="BI53" i="63"/>
  <c r="BI53" i="62"/>
  <c r="BI54" i="62" s="1"/>
  <c r="BH54" i="70"/>
  <c r="BH152" i="70"/>
  <c r="BE134" i="70"/>
  <c r="BF34" i="70"/>
  <c r="BE133" i="66"/>
  <c r="BF34" i="66"/>
  <c r="BF174" i="27"/>
  <c r="BG155" i="27"/>
  <c r="BF154" i="27"/>
  <c r="BF168" i="27"/>
  <c r="BH152" i="62"/>
  <c r="BI148" i="48"/>
  <c r="J137" i="65"/>
  <c r="CO46" i="27"/>
  <c r="U137" i="63"/>
  <c r="CP47" i="27"/>
  <c r="BF133" i="66" l="1"/>
  <c r="BG34" i="66"/>
  <c r="BF134" i="70"/>
  <c r="BG34" i="70"/>
  <c r="BI152" i="70"/>
  <c r="BI54" i="70"/>
  <c r="BE140" i="70"/>
  <c r="BE139" i="70"/>
  <c r="BE137" i="70" s="1"/>
  <c r="BI54" i="63"/>
  <c r="BI152" i="63"/>
  <c r="BF134" i="62"/>
  <c r="BG34" i="62"/>
  <c r="BE134" i="66"/>
  <c r="BE140" i="66" s="1"/>
  <c r="BE135" i="66"/>
  <c r="BI54" i="65"/>
  <c r="BI152" i="65"/>
  <c r="BF134" i="63"/>
  <c r="BF140" i="63" s="1"/>
  <c r="BG34" i="63"/>
  <c r="BF134" i="65"/>
  <c r="BG34" i="65"/>
  <c r="BI54" i="66"/>
  <c r="BI152" i="66"/>
  <c r="BH155" i="27"/>
  <c r="BG174" i="27"/>
  <c r="BG168" i="27"/>
  <c r="BG154" i="27"/>
  <c r="BI152" i="62"/>
  <c r="K140" i="62"/>
  <c r="K139" i="62"/>
  <c r="CP46" i="27"/>
  <c r="CQ47" i="27"/>
  <c r="BF139" i="70" l="1"/>
  <c r="BF137" i="70" s="1"/>
  <c r="BF140" i="70"/>
  <c r="BG134" i="62"/>
  <c r="BH34" i="62"/>
  <c r="BG133" i="66"/>
  <c r="BH34" i="66"/>
  <c r="BG134" i="65"/>
  <c r="BH34" i="65"/>
  <c r="BG134" i="63"/>
  <c r="BG140" i="63" s="1"/>
  <c r="BH34" i="63"/>
  <c r="BG134" i="70"/>
  <c r="BH34" i="70"/>
  <c r="BF134" i="66"/>
  <c r="BF140" i="66" s="1"/>
  <c r="BF135" i="66"/>
  <c r="BH174" i="27"/>
  <c r="BI155" i="27"/>
  <c r="BH154" i="27"/>
  <c r="BH168" i="27"/>
  <c r="K137" i="62"/>
  <c r="CQ46" i="27"/>
  <c r="CR47" i="27"/>
  <c r="BH134" i="70" l="1"/>
  <c r="BI34" i="70"/>
  <c r="BH133" i="66"/>
  <c r="BI34" i="66"/>
  <c r="BH134" i="62"/>
  <c r="BI34" i="62"/>
  <c r="BI134" i="62" s="1"/>
  <c r="BG140" i="70"/>
  <c r="BG139" i="70"/>
  <c r="BG137" i="70" s="1"/>
  <c r="BH134" i="63"/>
  <c r="BH140" i="63" s="1"/>
  <c r="BI34" i="63"/>
  <c r="BH134" i="65"/>
  <c r="BI34" i="65"/>
  <c r="BG134" i="66"/>
  <c r="BG140" i="66" s="1"/>
  <c r="BG135" i="66"/>
  <c r="BI174" i="27"/>
  <c r="BI168" i="27"/>
  <c r="BI154" i="27"/>
  <c r="BJ155" i="27"/>
  <c r="CR46" i="27"/>
  <c r="V139" i="63"/>
  <c r="CS47" i="27"/>
  <c r="BI134" i="65" l="1"/>
  <c r="BI134" i="63"/>
  <c r="BI140" i="63" s="1"/>
  <c r="BH134" i="66"/>
  <c r="BH140" i="66" s="1"/>
  <c r="BH135" i="66"/>
  <c r="BI134" i="70"/>
  <c r="BI133" i="66"/>
  <c r="BH139" i="70"/>
  <c r="BH137" i="70" s="1"/>
  <c r="BH140" i="70"/>
  <c r="BJ174" i="27"/>
  <c r="BJ168" i="27"/>
  <c r="BJ154" i="27"/>
  <c r="BK155" i="27"/>
  <c r="V137" i="63"/>
  <c r="CS46" i="27"/>
  <c r="CT47" i="27"/>
  <c r="BI140" i="70" l="1"/>
  <c r="BI139" i="70"/>
  <c r="BI137" i="70" s="1"/>
  <c r="BI134" i="66"/>
  <c r="BI140" i="66" s="1"/>
  <c r="BI135" i="66"/>
  <c r="BK174" i="27"/>
  <c r="BL155" i="27"/>
  <c r="BK154" i="27"/>
  <c r="BK168" i="27"/>
  <c r="CT46" i="27"/>
  <c r="CU47" i="27"/>
  <c r="BL174" i="27" l="1"/>
  <c r="BM155" i="27"/>
  <c r="BL154" i="27"/>
  <c r="BL168" i="27"/>
  <c r="K139" i="65"/>
  <c r="K140" i="65"/>
  <c r="CU46" i="27"/>
  <c r="W139" i="63"/>
  <c r="CV47" i="27"/>
  <c r="BN155" i="27" l="1"/>
  <c r="BM174" i="27"/>
  <c r="BM168" i="27"/>
  <c r="BM154" i="27"/>
  <c r="K137" i="65"/>
  <c r="W137" i="63"/>
  <c r="CV46" i="27"/>
  <c r="CW47" i="27"/>
  <c r="BO155" i="27" l="1"/>
  <c r="BN168" i="27"/>
  <c r="BN174" i="27"/>
  <c r="BN154" i="27"/>
  <c r="L140" i="62"/>
  <c r="L139" i="62"/>
  <c r="CW46" i="27"/>
  <c r="CX47" i="27"/>
  <c r="BO168" i="27" l="1"/>
  <c r="BP155" i="27"/>
  <c r="BO154" i="27"/>
  <c r="L137" i="62"/>
  <c r="CX46" i="27"/>
  <c r="CY47" i="27"/>
  <c r="BP168" i="27" l="1"/>
  <c r="BQ155" i="27"/>
  <c r="BP154" i="27"/>
  <c r="CY46" i="27"/>
  <c r="CZ47" i="27"/>
  <c r="BQ154" i="27" l="1"/>
  <c r="BQ168" i="27"/>
  <c r="BR155" i="27"/>
  <c r="CZ46" i="27"/>
  <c r="Y139" i="63"/>
  <c r="DA47" i="27"/>
  <c r="BR168" i="27" l="1"/>
  <c r="BS155" i="27"/>
  <c r="BR154" i="27"/>
  <c r="Y137" i="63"/>
  <c r="DA46" i="27"/>
  <c r="DB47" i="27"/>
  <c r="BS168" i="27" l="1"/>
  <c r="BS154" i="27"/>
  <c r="BT155" i="27"/>
  <c r="L139" i="65"/>
  <c r="L140" i="65"/>
  <c r="DB46" i="27"/>
  <c r="DC47" i="27"/>
  <c r="BU155" i="27" l="1"/>
  <c r="BT154" i="27"/>
  <c r="BT168" i="27"/>
  <c r="L137" i="65"/>
  <c r="DC46" i="27"/>
  <c r="DD47" i="27"/>
  <c r="BV155" i="27" l="1"/>
  <c r="BU154" i="27"/>
  <c r="BU168" i="27"/>
  <c r="M140" i="62"/>
  <c r="M139" i="62"/>
  <c r="DD46" i="27"/>
  <c r="Z139" i="63"/>
  <c r="DE47" i="27"/>
  <c r="BV168" i="27" l="1"/>
  <c r="BW155" i="27"/>
  <c r="BV154" i="27"/>
  <c r="M137" i="62"/>
  <c r="Z137" i="63"/>
  <c r="DE46" i="27"/>
  <c r="DF47" i="27"/>
  <c r="BX155" i="27" l="1"/>
  <c r="BW154" i="27"/>
  <c r="BW168" i="27"/>
  <c r="DF46" i="27"/>
  <c r="DG47" i="27"/>
  <c r="BX168" i="27" l="1"/>
  <c r="BX154" i="27"/>
  <c r="BY155" i="27"/>
  <c r="DG46" i="27"/>
  <c r="DH47" i="27"/>
  <c r="BY168" i="27" l="1"/>
  <c r="BZ155" i="27"/>
  <c r="BY154" i="27"/>
  <c r="DH46" i="27"/>
  <c r="AA139" i="63"/>
  <c r="DI47" i="27"/>
  <c r="BZ168" i="27" l="1"/>
  <c r="CA155" i="27"/>
  <c r="BZ154" i="27"/>
  <c r="M139" i="65"/>
  <c r="M140" i="65"/>
  <c r="AA137" i="63"/>
  <c r="DI46" i="27"/>
  <c r="DJ47" i="27"/>
  <c r="CA168" i="27" l="1"/>
  <c r="CB155" i="27"/>
  <c r="CA154" i="27"/>
  <c r="M137" i="65"/>
  <c r="DJ46" i="27"/>
  <c r="DK47" i="27"/>
  <c r="CC155" i="27" l="1"/>
  <c r="CB168" i="27"/>
  <c r="CB154" i="27"/>
  <c r="N140" i="62"/>
  <c r="N139" i="62"/>
  <c r="DK46" i="27"/>
  <c r="AB139" i="63"/>
  <c r="DL47" i="27"/>
  <c r="CD155" i="27" l="1"/>
  <c r="CC168" i="27"/>
  <c r="CC154" i="27"/>
  <c r="N137" i="62"/>
  <c r="AB137" i="63"/>
  <c r="DL46" i="27"/>
  <c r="DM47" i="27"/>
  <c r="CD154" i="27" l="1"/>
  <c r="CE155" i="27"/>
  <c r="CD168" i="27"/>
  <c r="DM46" i="27"/>
  <c r="DN47" i="27"/>
  <c r="CF155" i="27" l="1"/>
  <c r="CE154" i="27"/>
  <c r="CE168" i="27"/>
  <c r="DN46" i="27"/>
  <c r="AC139" i="63"/>
  <c r="DO47" i="27"/>
  <c r="CF154" i="27" l="1"/>
  <c r="CG155" i="27"/>
  <c r="CF168" i="27"/>
  <c r="AC137" i="63"/>
  <c r="DO46" i="27"/>
  <c r="DP47" i="27"/>
  <c r="CH155" i="27" l="1"/>
  <c r="CG154" i="27"/>
  <c r="CG168" i="27"/>
  <c r="N139" i="65"/>
  <c r="N140" i="65"/>
  <c r="DP46" i="27"/>
  <c r="DQ47" i="27"/>
  <c r="CI155" i="27" l="1"/>
  <c r="CH154" i="27"/>
  <c r="CH168" i="27"/>
  <c r="N137" i="65"/>
  <c r="DQ46" i="27"/>
  <c r="DR47" i="27"/>
  <c r="CI168" i="27" l="1"/>
  <c r="CI154" i="27"/>
  <c r="CJ155" i="27"/>
  <c r="O140" i="62"/>
  <c r="O139" i="62"/>
  <c r="DR46" i="27"/>
  <c r="DS47" i="27"/>
  <c r="CK155" i="27" l="1"/>
  <c r="CJ168" i="27"/>
  <c r="CJ154" i="27"/>
  <c r="O137" i="62"/>
  <c r="DS46" i="27"/>
  <c r="AD139" i="63"/>
  <c r="DT47" i="27"/>
  <c r="CK168" i="27" l="1"/>
  <c r="CK154" i="27"/>
  <c r="CL155" i="27"/>
  <c r="AD137" i="63"/>
  <c r="DT46" i="27"/>
  <c r="DU47" i="27"/>
  <c r="DV47" i="27" s="1"/>
  <c r="DW47" i="27" s="1"/>
  <c r="DX47" i="27" s="1"/>
  <c r="DY47" i="27" s="1"/>
  <c r="DZ47" i="27" s="1"/>
  <c r="EA47" i="27" s="1"/>
  <c r="EB47" i="27" s="1"/>
  <c r="EC47" i="27" s="1"/>
  <c r="ED47" i="27" s="1"/>
  <c r="EE47" i="27" s="1"/>
  <c r="EF47" i="27" s="1"/>
  <c r="EG47" i="27" s="1"/>
  <c r="EH47" i="27" s="1"/>
  <c r="EI47" i="27" s="1"/>
  <c r="EJ47" i="27" s="1"/>
  <c r="CL168" i="27" l="1"/>
  <c r="CM155" i="27"/>
  <c r="CL154" i="27"/>
  <c r="DU46" i="27"/>
  <c r="DV46" i="27" s="1"/>
  <c r="DW46" i="27" s="1"/>
  <c r="DX46" i="27" s="1"/>
  <c r="DY46" i="27" s="1"/>
  <c r="DZ46" i="27" s="1"/>
  <c r="EA46" i="27" s="1"/>
  <c r="EB46" i="27" s="1"/>
  <c r="EC46" i="27" s="1"/>
  <c r="ED46" i="27" s="1"/>
  <c r="EE46" i="27" s="1"/>
  <c r="EF46" i="27" s="1"/>
  <c r="EG46" i="27" s="1"/>
  <c r="EH46" i="27" s="1"/>
  <c r="EI46" i="27" s="1"/>
  <c r="EJ46" i="27" s="1"/>
  <c r="CM168" i="27" l="1"/>
  <c r="CN155" i="27"/>
  <c r="CM154" i="27"/>
  <c r="AE139" i="63"/>
  <c r="B8" i="48"/>
  <c r="B7" i="48"/>
  <c r="CO155" i="27" l="1"/>
  <c r="CN154" i="27"/>
  <c r="CN168" i="27"/>
  <c r="O139" i="65"/>
  <c r="O140" i="65"/>
  <c r="AE137" i="63"/>
  <c r="B17" i="48"/>
  <c r="B9" i="48"/>
  <c r="B17" i="70" l="1"/>
  <c r="AO97" i="70" s="1"/>
  <c r="AP97" i="70" s="1"/>
  <c r="AQ97" i="70" s="1"/>
  <c r="AR97" i="70" s="1"/>
  <c r="AS97" i="70" s="1"/>
  <c r="AT97" i="70" s="1"/>
  <c r="AU97" i="70" s="1"/>
  <c r="AV97" i="70" s="1"/>
  <c r="AW97" i="70" s="1"/>
  <c r="AX97" i="70" s="1"/>
  <c r="AY97" i="70" s="1"/>
  <c r="AZ97" i="70" s="1"/>
  <c r="BA97" i="70" s="1"/>
  <c r="BB97" i="70" s="1"/>
  <c r="BC97" i="70" s="1"/>
  <c r="BD97" i="70" s="1"/>
  <c r="BE97" i="70" s="1"/>
  <c r="BF97" i="70" s="1"/>
  <c r="BG97" i="70" s="1"/>
  <c r="BH97" i="70" s="1"/>
  <c r="BI97" i="70" s="1"/>
  <c r="B17" i="66"/>
  <c r="AO97" i="66" s="1"/>
  <c r="AP97" i="66" s="1"/>
  <c r="AQ97" i="66" s="1"/>
  <c r="AR97" i="66" s="1"/>
  <c r="AS97" i="66" s="1"/>
  <c r="AT97" i="66" s="1"/>
  <c r="AU97" i="66" s="1"/>
  <c r="AV97" i="66" s="1"/>
  <c r="AW97" i="66" s="1"/>
  <c r="AX97" i="66" s="1"/>
  <c r="AY97" i="66" s="1"/>
  <c r="AZ97" i="66" s="1"/>
  <c r="BA97" i="66" s="1"/>
  <c r="BB97" i="66" s="1"/>
  <c r="BC97" i="66" s="1"/>
  <c r="BD97" i="66" s="1"/>
  <c r="BE97" i="66" s="1"/>
  <c r="BF97" i="66" s="1"/>
  <c r="BG97" i="66" s="1"/>
  <c r="BH97" i="66" s="1"/>
  <c r="BI97" i="66" s="1"/>
  <c r="B17" i="65"/>
  <c r="AO97" i="65" s="1"/>
  <c r="AP97" i="65" s="1"/>
  <c r="AQ97" i="65" s="1"/>
  <c r="AR97" i="65" s="1"/>
  <c r="AS97" i="65" s="1"/>
  <c r="AT97" i="65" s="1"/>
  <c r="AU97" i="65" s="1"/>
  <c r="AV97" i="65" s="1"/>
  <c r="AW97" i="65" s="1"/>
  <c r="AX97" i="65" s="1"/>
  <c r="AY97" i="65" s="1"/>
  <c r="AZ97" i="65" s="1"/>
  <c r="BA97" i="65" s="1"/>
  <c r="BB97" i="65" s="1"/>
  <c r="BC97" i="65" s="1"/>
  <c r="BD97" i="65" s="1"/>
  <c r="BE97" i="65" s="1"/>
  <c r="BF97" i="65" s="1"/>
  <c r="BG97" i="65" s="1"/>
  <c r="BH97" i="65" s="1"/>
  <c r="BI97" i="65" s="1"/>
  <c r="B17" i="63"/>
  <c r="AO97" i="63" s="1"/>
  <c r="AP97" i="63" s="1"/>
  <c r="AQ97" i="63" s="1"/>
  <c r="AR97" i="63" s="1"/>
  <c r="AS97" i="63" s="1"/>
  <c r="AT97" i="63" s="1"/>
  <c r="AU97" i="63" s="1"/>
  <c r="AV97" i="63" s="1"/>
  <c r="AW97" i="63" s="1"/>
  <c r="AX97" i="63" s="1"/>
  <c r="AY97" i="63" s="1"/>
  <c r="AZ97" i="63" s="1"/>
  <c r="BA97" i="63" s="1"/>
  <c r="BB97" i="63" s="1"/>
  <c r="BC97" i="63" s="1"/>
  <c r="BD97" i="63" s="1"/>
  <c r="BE97" i="63" s="1"/>
  <c r="BF97" i="63" s="1"/>
  <c r="BG97" i="63" s="1"/>
  <c r="BH97" i="63" s="1"/>
  <c r="BI97" i="63" s="1"/>
  <c r="B17" i="62"/>
  <c r="AO97" i="62" s="1"/>
  <c r="AP97" i="62" s="1"/>
  <c r="AQ97" i="62" s="1"/>
  <c r="AR97" i="62" s="1"/>
  <c r="AS97" i="62" s="1"/>
  <c r="AT97" i="62" s="1"/>
  <c r="AU97" i="62" s="1"/>
  <c r="AV97" i="62" s="1"/>
  <c r="AW97" i="62" s="1"/>
  <c r="AX97" i="62" s="1"/>
  <c r="AY97" i="62" s="1"/>
  <c r="AZ97" i="62" s="1"/>
  <c r="BA97" i="62" s="1"/>
  <c r="BB97" i="62" s="1"/>
  <c r="BC97" i="62" s="1"/>
  <c r="BD97" i="62" s="1"/>
  <c r="BE97" i="62" s="1"/>
  <c r="BF97" i="62" s="1"/>
  <c r="BG97" i="62" s="1"/>
  <c r="BH97" i="62" s="1"/>
  <c r="BI97" i="62" s="1"/>
  <c r="CO168" i="27"/>
  <c r="CO154" i="27"/>
  <c r="CP155" i="27"/>
  <c r="O137" i="65"/>
  <c r="C54" i="27"/>
  <c r="CQ155" i="27" l="1"/>
  <c r="CP154" i="27"/>
  <c r="CP168" i="27"/>
  <c r="AP133" i="48"/>
  <c r="AO133" i="48"/>
  <c r="P140" i="62"/>
  <c r="P139" i="62"/>
  <c r="AF139" i="63"/>
  <c r="B19" i="48"/>
  <c r="B19" i="66" l="1"/>
  <c r="B19" i="63"/>
  <c r="B19" i="62"/>
  <c r="AQ133" i="48"/>
  <c r="AQ136" i="48" s="1"/>
  <c r="AQ135" i="48" s="1"/>
  <c r="CR155" i="27"/>
  <c r="CQ154" i="27"/>
  <c r="CQ168" i="27"/>
  <c r="AO137" i="48"/>
  <c r="AO136" i="48"/>
  <c r="AO135" i="48" s="1"/>
  <c r="AP137" i="48"/>
  <c r="AP136" i="48"/>
  <c r="AP135" i="48" s="1"/>
  <c r="AR133" i="48"/>
  <c r="P137" i="62"/>
  <c r="AF137" i="63"/>
  <c r="AQ137" i="48" l="1"/>
  <c r="AR137" i="48"/>
  <c r="AR136" i="48"/>
  <c r="AR135" i="48" s="1"/>
  <c r="CS155" i="27"/>
  <c r="CR154" i="27"/>
  <c r="CR168" i="27"/>
  <c r="AS133" i="48"/>
  <c r="CS154" i="27" l="1"/>
  <c r="CT155" i="27"/>
  <c r="CS168" i="27"/>
  <c r="AS137" i="48"/>
  <c r="AS136" i="48"/>
  <c r="AS135" i="48" s="1"/>
  <c r="AT133" i="48"/>
  <c r="C60" i="27"/>
  <c r="C59" i="27"/>
  <c r="AT137" i="48" l="1"/>
  <c r="AT136" i="48"/>
  <c r="AT135" i="48" s="1"/>
  <c r="CT168" i="27"/>
  <c r="CT154" i="27"/>
  <c r="CU155" i="27"/>
  <c r="B60" i="48"/>
  <c r="B61" i="48"/>
  <c r="AU133" i="48"/>
  <c r="AG139" i="63"/>
  <c r="B37" i="48"/>
  <c r="B6" i="48"/>
  <c r="B5" i="48"/>
  <c r="B37" i="70" l="1"/>
  <c r="B37" i="66"/>
  <c r="B37" i="65"/>
  <c r="B37" i="62"/>
  <c r="B37" i="63"/>
  <c r="B87" i="70"/>
  <c r="B60" i="70"/>
  <c r="B60" i="66"/>
  <c r="B60" i="65"/>
  <c r="B60" i="62"/>
  <c r="B60" i="63"/>
  <c r="B5" i="70"/>
  <c r="B5" i="66"/>
  <c r="B5" i="65"/>
  <c r="B5" i="63"/>
  <c r="B5" i="62"/>
  <c r="B6" i="70"/>
  <c r="B10" i="70" s="1"/>
  <c r="B6" i="66"/>
  <c r="B10" i="66" s="1"/>
  <c r="B6" i="65"/>
  <c r="B10" i="65" s="1"/>
  <c r="B6" i="63"/>
  <c r="B10" i="63" s="1"/>
  <c r="B6" i="62"/>
  <c r="B10" i="62" s="1"/>
  <c r="B61" i="70"/>
  <c r="B61" i="66"/>
  <c r="B61" i="65"/>
  <c r="B61" i="63"/>
  <c r="B61" i="62"/>
  <c r="B87" i="66"/>
  <c r="B87" i="65"/>
  <c r="B87" i="62"/>
  <c r="B87" i="48"/>
  <c r="B87" i="63"/>
  <c r="CV155" i="27"/>
  <c r="CU154" i="27"/>
  <c r="CU168" i="27"/>
  <c r="AU137" i="48"/>
  <c r="AU136" i="48"/>
  <c r="B10" i="48"/>
  <c r="AV133" i="48"/>
  <c r="P139" i="65"/>
  <c r="P140" i="65"/>
  <c r="AG137" i="63"/>
  <c r="B68" i="27"/>
  <c r="B88" i="70" l="1"/>
  <c r="B101" i="70"/>
  <c r="B70" i="27"/>
  <c r="B69" i="48"/>
  <c r="B100" i="48"/>
  <c r="B88" i="48"/>
  <c r="B101" i="62"/>
  <c r="B88" i="62"/>
  <c r="CV168" i="27"/>
  <c r="B101" i="65"/>
  <c r="B88" i="65"/>
  <c r="AV137" i="48"/>
  <c r="AV136" i="48"/>
  <c r="B101" i="63"/>
  <c r="B88" i="63"/>
  <c r="B88" i="66"/>
  <c r="B101" i="66"/>
  <c r="AW133" i="48"/>
  <c r="Q140" i="62"/>
  <c r="Q139" i="62"/>
  <c r="P137" i="65"/>
  <c r="B64" i="27"/>
  <c r="B65" i="27"/>
  <c r="B69" i="70" l="1"/>
  <c r="B69" i="66"/>
  <c r="B69" i="65"/>
  <c r="B69" i="62"/>
  <c r="B69" i="63"/>
  <c r="B65" i="48"/>
  <c r="AW137" i="48"/>
  <c r="AW136" i="48"/>
  <c r="B66" i="48"/>
  <c r="B71" i="48"/>
  <c r="AX133" i="48"/>
  <c r="Q137" i="62"/>
  <c r="B67" i="27"/>
  <c r="B71" i="70" l="1"/>
  <c r="B71" i="66"/>
  <c r="B71" i="65"/>
  <c r="B71" i="63"/>
  <c r="B71" i="62"/>
  <c r="C90" i="70"/>
  <c r="B65" i="70"/>
  <c r="B65" i="66"/>
  <c r="B65" i="65"/>
  <c r="B65" i="63"/>
  <c r="B65" i="62"/>
  <c r="B66" i="70"/>
  <c r="B66" i="66"/>
  <c r="B66" i="65"/>
  <c r="B66" i="63"/>
  <c r="B66" i="62"/>
  <c r="B68" i="48"/>
  <c r="AX137" i="48"/>
  <c r="AX136" i="48"/>
  <c r="C90" i="62"/>
  <c r="C90" i="63"/>
  <c r="C90" i="48"/>
  <c r="C90" i="66"/>
  <c r="C90" i="65"/>
  <c r="AY133" i="48"/>
  <c r="AH139" i="63"/>
  <c r="C2" i="48"/>
  <c r="AO1" i="48"/>
  <c r="AO104" i="27" s="1"/>
  <c r="B68" i="70" l="1"/>
  <c r="B68" i="66"/>
  <c r="B68" i="65"/>
  <c r="B68" i="63"/>
  <c r="B68" i="62"/>
  <c r="C89" i="70"/>
  <c r="D90" i="70" s="1"/>
  <c r="AP23" i="48"/>
  <c r="AY137" i="48"/>
  <c r="AY136" i="48"/>
  <c r="C89" i="48"/>
  <c r="D90" i="48" s="1"/>
  <c r="C89" i="65"/>
  <c r="D90" i="65" s="1"/>
  <c r="C89" i="63"/>
  <c r="D90" i="63" s="1"/>
  <c r="C89" i="62"/>
  <c r="D90" i="62" s="1"/>
  <c r="C89" i="66"/>
  <c r="D90" i="66" s="1"/>
  <c r="AP1" i="48"/>
  <c r="AP104" i="27" s="1"/>
  <c r="AZ133" i="48"/>
  <c r="AH137" i="63"/>
  <c r="D2" i="48"/>
  <c r="AP23" i="70" l="1"/>
  <c r="AP23" i="66"/>
  <c r="AP23" i="65"/>
  <c r="AP23" i="63"/>
  <c r="AP23" i="62"/>
  <c r="AZ137" i="48"/>
  <c r="AZ136" i="48"/>
  <c r="AQ23" i="48"/>
  <c r="AQ1" i="48"/>
  <c r="AQ104" i="27" s="1"/>
  <c r="BA133" i="48"/>
  <c r="E2" i="48"/>
  <c r="AQ23" i="70" l="1"/>
  <c r="AQ23" i="66"/>
  <c r="AQ23" i="65"/>
  <c r="AQ23" i="63"/>
  <c r="AQ23" i="62"/>
  <c r="BA137" i="48"/>
  <c r="BA136" i="48"/>
  <c r="AR23" i="48"/>
  <c r="AR1" i="48"/>
  <c r="AR104" i="27" s="1"/>
  <c r="BB133" i="48"/>
  <c r="F2" i="48"/>
  <c r="AR23" i="70" l="1"/>
  <c r="AR23" i="65"/>
  <c r="AR23" i="66"/>
  <c r="AR23" i="63"/>
  <c r="AR23" i="62"/>
  <c r="BB137" i="48"/>
  <c r="BB136" i="48"/>
  <c r="AS23" i="48"/>
  <c r="AS1" i="48"/>
  <c r="AS104" i="27" s="1"/>
  <c r="BC133" i="48"/>
  <c r="Q139" i="65"/>
  <c r="Q140" i="65"/>
  <c r="AI139" i="63"/>
  <c r="G2" i="48"/>
  <c r="AS23" i="70" l="1"/>
  <c r="AS23" i="66"/>
  <c r="AS23" i="65"/>
  <c r="AS23" i="62"/>
  <c r="AS23" i="63"/>
  <c r="BC137" i="48"/>
  <c r="BC136" i="48"/>
  <c r="AT23" i="48"/>
  <c r="AT1" i="48"/>
  <c r="AT104" i="27" s="1"/>
  <c r="AI137" i="63"/>
  <c r="R140" i="62"/>
  <c r="R139" i="62"/>
  <c r="Q137" i="65"/>
  <c r="H2" i="48"/>
  <c r="AT23" i="70" l="1"/>
  <c r="AT23" i="66"/>
  <c r="AT23" i="65"/>
  <c r="AT23" i="63"/>
  <c r="AT23" i="62"/>
  <c r="BD133" i="48"/>
  <c r="AU23" i="48"/>
  <c r="AU1" i="48"/>
  <c r="AU104" i="27" s="1"/>
  <c r="R137" i="62"/>
  <c r="I2" i="48"/>
  <c r="AU23" i="70" l="1"/>
  <c r="AU23" i="66"/>
  <c r="AU23" i="65"/>
  <c r="AU23" i="62"/>
  <c r="AU23" i="63"/>
  <c r="BD137" i="48"/>
  <c r="BD136" i="48"/>
  <c r="AV23" i="48"/>
  <c r="BE133" i="48"/>
  <c r="AV1" i="48"/>
  <c r="AV104" i="27" s="1"/>
  <c r="AJ139" i="63"/>
  <c r="J2" i="48"/>
  <c r="AV23" i="70" l="1"/>
  <c r="AV23" i="65"/>
  <c r="AV23" i="66"/>
  <c r="AV23" i="63"/>
  <c r="AV23" i="62"/>
  <c r="AW23" i="48"/>
  <c r="BE137" i="48"/>
  <c r="BE136" i="48"/>
  <c r="BF133" i="48"/>
  <c r="AW1" i="48"/>
  <c r="AW104" i="27" s="1"/>
  <c r="AJ137" i="63"/>
  <c r="K2" i="48"/>
  <c r="AW23" i="70" l="1"/>
  <c r="AW23" i="66"/>
  <c r="AW23" i="65"/>
  <c r="AW23" i="63"/>
  <c r="AW23" i="62"/>
  <c r="AX23" i="48"/>
  <c r="BF137" i="48"/>
  <c r="BF136" i="48"/>
  <c r="BG133" i="48"/>
  <c r="AX1" i="48"/>
  <c r="AX104" i="27" s="1"/>
  <c r="L2" i="48"/>
  <c r="AX23" i="70" l="1"/>
  <c r="AX23" i="66"/>
  <c r="AX23" i="65"/>
  <c r="AX23" i="63"/>
  <c r="AX23" i="62"/>
  <c r="AY23" i="48"/>
  <c r="BG137" i="48"/>
  <c r="BG136" i="48"/>
  <c r="BI133" i="48"/>
  <c r="BH133" i="48"/>
  <c r="AY1" i="48"/>
  <c r="AY104" i="27" s="1"/>
  <c r="AK139" i="63"/>
  <c r="M2" i="48"/>
  <c r="AY23" i="70" l="1"/>
  <c r="AY23" i="66"/>
  <c r="AY23" i="65"/>
  <c r="AY23" i="63"/>
  <c r="AY23" i="62"/>
  <c r="AZ23" i="48"/>
  <c r="BH137" i="48"/>
  <c r="BH136" i="48"/>
  <c r="BI137" i="48"/>
  <c r="BI136" i="48"/>
  <c r="AZ1" i="48"/>
  <c r="AZ104" i="27" s="1"/>
  <c r="AK137" i="63"/>
  <c r="R139" i="65"/>
  <c r="R140" i="65"/>
  <c r="N2" i="48"/>
  <c r="AZ23" i="70" l="1"/>
  <c r="AZ23" i="66"/>
  <c r="AZ23" i="65"/>
  <c r="AZ23" i="63"/>
  <c r="AZ23" i="62"/>
  <c r="BA23" i="48"/>
  <c r="BA1" i="48"/>
  <c r="BA104" i="27" s="1"/>
  <c r="S140" i="62"/>
  <c r="S139" i="62"/>
  <c r="R137" i="65"/>
  <c r="O2" i="48"/>
  <c r="BA23" i="70" l="1"/>
  <c r="BA23" i="66"/>
  <c r="BA23" i="65"/>
  <c r="BA23" i="62"/>
  <c r="BA23" i="63"/>
  <c r="BB23" i="48"/>
  <c r="BB1" i="48"/>
  <c r="BB104" i="27" s="1"/>
  <c r="S137" i="62"/>
  <c r="P2" i="48"/>
  <c r="BB23" i="70" l="1"/>
  <c r="BB23" i="66"/>
  <c r="BB23" i="65"/>
  <c r="BB23" i="63"/>
  <c r="BB23" i="62"/>
  <c r="BC23" i="48"/>
  <c r="BC1" i="48"/>
  <c r="BC104" i="27" s="1"/>
  <c r="AL139" i="63"/>
  <c r="Q2" i="48"/>
  <c r="BC23" i="70" l="1"/>
  <c r="BC23" i="66"/>
  <c r="BC23" i="65"/>
  <c r="BC23" i="62"/>
  <c r="BC23" i="63"/>
  <c r="BD23" i="48"/>
  <c r="BD1" i="48"/>
  <c r="AL137" i="63"/>
  <c r="R2" i="48"/>
  <c r="BD23" i="70" l="1"/>
  <c r="BD23" i="66"/>
  <c r="BD23" i="65"/>
  <c r="BD23" i="63"/>
  <c r="BD23" i="62"/>
  <c r="BE1" i="48"/>
  <c r="BD104" i="27"/>
  <c r="S2" i="48"/>
  <c r="BE23" i="48" l="1"/>
  <c r="BF1" i="48"/>
  <c r="BE104" i="27"/>
  <c r="AM139" i="63"/>
  <c r="T2" i="48"/>
  <c r="BE23" i="70" l="1"/>
  <c r="BE23" i="66"/>
  <c r="BE23" i="65"/>
  <c r="BE23" i="63"/>
  <c r="BE23" i="62"/>
  <c r="BF23" i="48"/>
  <c r="BG1" i="48"/>
  <c r="BF104" i="27"/>
  <c r="AM137" i="63"/>
  <c r="S139" i="65"/>
  <c r="S140" i="65"/>
  <c r="U2" i="48"/>
  <c r="BF23" i="70" l="1"/>
  <c r="BF23" i="66"/>
  <c r="BF23" i="65"/>
  <c r="BF23" i="63"/>
  <c r="BF23" i="62"/>
  <c r="BG23" i="48"/>
  <c r="BH1" i="48"/>
  <c r="BG104" i="27"/>
  <c r="T140" i="62"/>
  <c r="T139" i="62"/>
  <c r="S137" i="65"/>
  <c r="V2" i="48"/>
  <c r="BG23" i="70" l="1"/>
  <c r="BG23" i="66"/>
  <c r="BG23" i="65"/>
  <c r="BG23" i="63"/>
  <c r="BG23" i="62"/>
  <c r="BH23" i="48"/>
  <c r="BI1" i="48"/>
  <c r="BI104" i="27" s="1"/>
  <c r="BH104" i="27"/>
  <c r="T137" i="62"/>
  <c r="AN139" i="63"/>
  <c r="W2" i="48"/>
  <c r="BH23" i="70" l="1"/>
  <c r="BH23" i="65"/>
  <c r="BH23" i="66"/>
  <c r="BH23" i="63"/>
  <c r="BH23" i="62"/>
  <c r="BI23" i="48"/>
  <c r="AN137" i="63"/>
  <c r="X139" i="63"/>
  <c r="X2" i="48"/>
  <c r="BI23" i="70" l="1"/>
  <c r="BI23" i="66"/>
  <c r="BI23" i="65"/>
  <c r="BI23" i="62"/>
  <c r="BI23" i="63"/>
  <c r="X137" i="63"/>
  <c r="Y2" i="48"/>
  <c r="Z2" i="48" l="1"/>
  <c r="AO139" i="63" l="1"/>
  <c r="AA2" i="48"/>
  <c r="AO137" i="63" l="1"/>
  <c r="T139" i="65"/>
  <c r="T140" i="65"/>
  <c r="AB2" i="48"/>
  <c r="U140" i="62" l="1"/>
  <c r="U139" i="62"/>
  <c r="T137" i="65"/>
  <c r="AC2" i="48"/>
  <c r="U137" i="62" l="1"/>
  <c r="AP139" i="63"/>
  <c r="AD2" i="48"/>
  <c r="AP137" i="63" l="1"/>
  <c r="AE2" i="48"/>
  <c r="AF2" i="48" l="1"/>
  <c r="AQ139" i="63" l="1"/>
  <c r="AG2" i="48"/>
  <c r="AQ137" i="63" l="1"/>
  <c r="AH2" i="48"/>
  <c r="V140" i="62" l="1"/>
  <c r="V139" i="62"/>
  <c r="U139" i="65"/>
  <c r="U140" i="65"/>
  <c r="AI2" i="48"/>
  <c r="V137" i="62" l="1"/>
  <c r="U137" i="65"/>
  <c r="AR139" i="63"/>
  <c r="AJ2" i="48"/>
  <c r="AR137" i="63" l="1"/>
  <c r="AK2" i="48"/>
  <c r="AL2" i="48" l="1"/>
  <c r="AM2" i="48" l="1"/>
  <c r="AS139" i="63" l="1"/>
  <c r="AN2" i="48"/>
  <c r="AS137" i="63" l="1"/>
  <c r="V139" i="65"/>
  <c r="V140" i="65"/>
  <c r="AO2" i="48"/>
  <c r="W140" i="62" l="1"/>
  <c r="W139" i="62"/>
  <c r="V137" i="65"/>
  <c r="AP2" i="48"/>
  <c r="W137" i="62" l="1"/>
  <c r="AQ2" i="48"/>
  <c r="AT139" i="63" l="1"/>
  <c r="AR2" i="48"/>
  <c r="AT137" i="63" l="1"/>
  <c r="AS2" i="48"/>
  <c r="AT2" i="48" l="1"/>
  <c r="AU139" i="63" l="1"/>
  <c r="AU2" i="48"/>
  <c r="AU137" i="63" l="1"/>
  <c r="X140" i="62"/>
  <c r="X139" i="62"/>
  <c r="W139" i="65"/>
  <c r="W140" i="65"/>
  <c r="AV2" i="48"/>
  <c r="X137" i="62" l="1"/>
  <c r="W137" i="65"/>
  <c r="AW2" i="48"/>
  <c r="AV139" i="63" l="1"/>
  <c r="AX2" i="48"/>
  <c r="AV137" i="63" l="1"/>
  <c r="AY2" i="48"/>
  <c r="AZ2" i="48" l="1"/>
  <c r="BA2" i="48" l="1"/>
  <c r="X139" i="65" l="1"/>
  <c r="X140" i="65"/>
  <c r="AW139" i="63"/>
  <c r="BB2" i="48"/>
  <c r="AW137" i="63" l="1"/>
  <c r="Y140" i="62"/>
  <c r="Y139" i="62"/>
  <c r="X137" i="65"/>
  <c r="BC2" i="48"/>
  <c r="Y137" i="62" l="1"/>
  <c r="BD2" i="48"/>
  <c r="AX139" i="63" l="1"/>
  <c r="BE2" i="48"/>
  <c r="AX137" i="63" l="1"/>
  <c r="BF2" i="48"/>
  <c r="BG2" i="48" l="1"/>
  <c r="BH2" i="48" l="1"/>
  <c r="BI2" i="48" l="1"/>
  <c r="Y139" i="65"/>
  <c r="Y140" i="65"/>
  <c r="AY139" i="63"/>
  <c r="Q54" i="48"/>
  <c r="I54" i="48"/>
  <c r="L54" i="48"/>
  <c r="D54" i="48"/>
  <c r="S54" i="48"/>
  <c r="K54" i="48"/>
  <c r="C54" i="48"/>
  <c r="R54" i="48"/>
  <c r="J54" i="48"/>
  <c r="M54" i="48"/>
  <c r="E54" i="48"/>
  <c r="T54" i="48"/>
  <c r="P54" i="48"/>
  <c r="H54" i="48"/>
  <c r="O54" i="48"/>
  <c r="G54" i="48"/>
  <c r="N54" i="48"/>
  <c r="F54" i="48"/>
  <c r="AY137" i="63" l="1"/>
  <c r="Z140" i="62"/>
  <c r="Z139" i="62"/>
  <c r="Y137" i="65"/>
  <c r="Z137" i="62" l="1"/>
  <c r="AZ139" i="63" l="1"/>
  <c r="B45" i="48"/>
  <c r="B45" i="70" l="1"/>
  <c r="B44" i="70" s="1"/>
  <c r="C44" i="70" s="1"/>
  <c r="D44" i="70" s="1"/>
  <c r="E44" i="70" s="1"/>
  <c r="F44" i="70" s="1"/>
  <c r="G44" i="70" s="1"/>
  <c r="H44" i="70" s="1"/>
  <c r="I44" i="70" s="1"/>
  <c r="J44" i="70" s="1"/>
  <c r="K44" i="70" s="1"/>
  <c r="L44" i="70" s="1"/>
  <c r="M44" i="70" s="1"/>
  <c r="N44" i="70" s="1"/>
  <c r="O44" i="70" s="1"/>
  <c r="P44" i="70" s="1"/>
  <c r="Q44" i="70" s="1"/>
  <c r="R44" i="70" s="1"/>
  <c r="S44" i="70" s="1"/>
  <c r="T44" i="70" s="1"/>
  <c r="U44" i="70" s="1"/>
  <c r="V44" i="70" s="1"/>
  <c r="W44" i="70" s="1"/>
  <c r="X44" i="70" s="1"/>
  <c r="Y44" i="70" s="1"/>
  <c r="Z44" i="70" s="1"/>
  <c r="AA44" i="70" s="1"/>
  <c r="AB44" i="70" s="1"/>
  <c r="AC44" i="70" s="1"/>
  <c r="AD44" i="70" s="1"/>
  <c r="AE44" i="70" s="1"/>
  <c r="AF44" i="70" s="1"/>
  <c r="AG44" i="70" s="1"/>
  <c r="AH44" i="70" s="1"/>
  <c r="AI44" i="70" s="1"/>
  <c r="AJ44" i="70" s="1"/>
  <c r="AK44" i="70" s="1"/>
  <c r="AL44" i="70" s="1"/>
  <c r="AM44" i="70" s="1"/>
  <c r="AN44" i="70" s="1"/>
  <c r="AO44" i="70" s="1"/>
  <c r="AP44" i="70" s="1"/>
  <c r="AQ44" i="70" s="1"/>
  <c r="AR44" i="70" s="1"/>
  <c r="AS44" i="70" s="1"/>
  <c r="AT44" i="70" s="1"/>
  <c r="AU44" i="70" s="1"/>
  <c r="AV44" i="70" s="1"/>
  <c r="AW44" i="70" s="1"/>
  <c r="AX44" i="70" s="1"/>
  <c r="AY44" i="70" s="1"/>
  <c r="AZ44" i="70" s="1"/>
  <c r="BA44" i="70" s="1"/>
  <c r="BB44" i="70" s="1"/>
  <c r="BC44" i="70" s="1"/>
  <c r="BD44" i="70" s="1"/>
  <c r="BE44" i="70" s="1"/>
  <c r="BF44" i="70" s="1"/>
  <c r="BG44" i="70" s="1"/>
  <c r="BH44" i="70" s="1"/>
  <c r="BI44" i="70" s="1"/>
  <c r="B45" i="66"/>
  <c r="B44" i="66" s="1"/>
  <c r="C44" i="66" s="1"/>
  <c r="D44" i="66" s="1"/>
  <c r="E44" i="66" s="1"/>
  <c r="F44" i="66" s="1"/>
  <c r="G44" i="66" s="1"/>
  <c r="H44" i="66" s="1"/>
  <c r="I44" i="66" s="1"/>
  <c r="J44" i="66" s="1"/>
  <c r="K44" i="66" s="1"/>
  <c r="L44" i="66" s="1"/>
  <c r="M44" i="66" s="1"/>
  <c r="N44" i="66" s="1"/>
  <c r="O44" i="66" s="1"/>
  <c r="P44" i="66" s="1"/>
  <c r="Q44" i="66" s="1"/>
  <c r="R44" i="66" s="1"/>
  <c r="S44" i="66" s="1"/>
  <c r="T44" i="66" s="1"/>
  <c r="U44" i="66" s="1"/>
  <c r="V44" i="66" s="1"/>
  <c r="W44" i="66" s="1"/>
  <c r="X44" i="66" s="1"/>
  <c r="Y44" i="66" s="1"/>
  <c r="Z44" i="66" s="1"/>
  <c r="AA44" i="66" s="1"/>
  <c r="AB44" i="66" s="1"/>
  <c r="AC44" i="66" s="1"/>
  <c r="AD44" i="66" s="1"/>
  <c r="AE44" i="66" s="1"/>
  <c r="AF44" i="66" s="1"/>
  <c r="AG44" i="66" s="1"/>
  <c r="AH44" i="66" s="1"/>
  <c r="AI44" i="66" s="1"/>
  <c r="AJ44" i="66" s="1"/>
  <c r="AK44" i="66" s="1"/>
  <c r="AL44" i="66" s="1"/>
  <c r="AM44" i="66" s="1"/>
  <c r="AN44" i="66" s="1"/>
  <c r="AO44" i="66" s="1"/>
  <c r="AP44" i="66" s="1"/>
  <c r="AQ44" i="66" s="1"/>
  <c r="AR44" i="66" s="1"/>
  <c r="AS44" i="66" s="1"/>
  <c r="AT44" i="66" s="1"/>
  <c r="AU44" i="66" s="1"/>
  <c r="AV44" i="66" s="1"/>
  <c r="AW44" i="66" s="1"/>
  <c r="AX44" i="66" s="1"/>
  <c r="AY44" i="66" s="1"/>
  <c r="AZ44" i="66" s="1"/>
  <c r="BA44" i="66" s="1"/>
  <c r="BB44" i="66" s="1"/>
  <c r="BC44" i="66" s="1"/>
  <c r="BD44" i="66" s="1"/>
  <c r="BE44" i="66" s="1"/>
  <c r="BF44" i="66" s="1"/>
  <c r="BG44" i="66" s="1"/>
  <c r="BH44" i="66" s="1"/>
  <c r="BI44" i="66" s="1"/>
  <c r="B45" i="65"/>
  <c r="B44" i="65" s="1"/>
  <c r="C44" i="65" s="1"/>
  <c r="D44" i="65" s="1"/>
  <c r="E44" i="65" s="1"/>
  <c r="F44" i="65" s="1"/>
  <c r="G44" i="65" s="1"/>
  <c r="H44" i="65" s="1"/>
  <c r="I44" i="65" s="1"/>
  <c r="J44" i="65" s="1"/>
  <c r="K44" i="65" s="1"/>
  <c r="L44" i="65" s="1"/>
  <c r="M44" i="65" s="1"/>
  <c r="N44" i="65" s="1"/>
  <c r="O44" i="65" s="1"/>
  <c r="P44" i="65" s="1"/>
  <c r="Q44" i="65" s="1"/>
  <c r="R44" i="65" s="1"/>
  <c r="S44" i="65" s="1"/>
  <c r="T44" i="65" s="1"/>
  <c r="U44" i="65" s="1"/>
  <c r="V44" i="65" s="1"/>
  <c r="W44" i="65" s="1"/>
  <c r="X44" i="65" s="1"/>
  <c r="Y44" i="65" s="1"/>
  <c r="Z44" i="65" s="1"/>
  <c r="AA44" i="65" s="1"/>
  <c r="AB44" i="65" s="1"/>
  <c r="AC44" i="65" s="1"/>
  <c r="AD44" i="65" s="1"/>
  <c r="AE44" i="65" s="1"/>
  <c r="AF44" i="65" s="1"/>
  <c r="AG44" i="65" s="1"/>
  <c r="AH44" i="65" s="1"/>
  <c r="AI44" i="65" s="1"/>
  <c r="AJ44" i="65" s="1"/>
  <c r="AK44" i="65" s="1"/>
  <c r="AL44" i="65" s="1"/>
  <c r="AM44" i="65" s="1"/>
  <c r="AN44" i="65" s="1"/>
  <c r="AO44" i="65" s="1"/>
  <c r="AP44" i="65" s="1"/>
  <c r="AQ44" i="65" s="1"/>
  <c r="AR44" i="65" s="1"/>
  <c r="AS44" i="65" s="1"/>
  <c r="AT44" i="65" s="1"/>
  <c r="AU44" i="65" s="1"/>
  <c r="AV44" i="65" s="1"/>
  <c r="AW44" i="65" s="1"/>
  <c r="AX44" i="65" s="1"/>
  <c r="AY44" i="65" s="1"/>
  <c r="AZ44" i="65" s="1"/>
  <c r="BA44" i="65" s="1"/>
  <c r="BB44" i="65" s="1"/>
  <c r="BC44" i="65" s="1"/>
  <c r="BD44" i="65" s="1"/>
  <c r="BE44" i="65" s="1"/>
  <c r="BF44" i="65" s="1"/>
  <c r="BG44" i="65" s="1"/>
  <c r="BH44" i="65" s="1"/>
  <c r="BI44" i="65" s="1"/>
  <c r="B45" i="63"/>
  <c r="B44" i="63" s="1"/>
  <c r="C44" i="63" s="1"/>
  <c r="D44" i="63" s="1"/>
  <c r="E44" i="63" s="1"/>
  <c r="F44" i="63" s="1"/>
  <c r="G44" i="63" s="1"/>
  <c r="H44" i="63" s="1"/>
  <c r="I44" i="63" s="1"/>
  <c r="J44" i="63" s="1"/>
  <c r="K44" i="63" s="1"/>
  <c r="L44" i="63" s="1"/>
  <c r="M44" i="63" s="1"/>
  <c r="N44" i="63" s="1"/>
  <c r="O44" i="63" s="1"/>
  <c r="P44" i="63" s="1"/>
  <c r="Q44" i="63" s="1"/>
  <c r="R44" i="63" s="1"/>
  <c r="S44" i="63" s="1"/>
  <c r="T44" i="63" s="1"/>
  <c r="U44" i="63" s="1"/>
  <c r="V44" i="63" s="1"/>
  <c r="W44" i="63" s="1"/>
  <c r="X44" i="63" s="1"/>
  <c r="Y44" i="63" s="1"/>
  <c r="Z44" i="63" s="1"/>
  <c r="AA44" i="63" s="1"/>
  <c r="AB44" i="63" s="1"/>
  <c r="AC44" i="63" s="1"/>
  <c r="AD44" i="63" s="1"/>
  <c r="AE44" i="63" s="1"/>
  <c r="AF44" i="63" s="1"/>
  <c r="AG44" i="63" s="1"/>
  <c r="AH44" i="63" s="1"/>
  <c r="AI44" i="63" s="1"/>
  <c r="AJ44" i="63" s="1"/>
  <c r="AK44" i="63" s="1"/>
  <c r="AL44" i="63" s="1"/>
  <c r="AM44" i="63" s="1"/>
  <c r="AN44" i="63" s="1"/>
  <c r="AO44" i="63" s="1"/>
  <c r="AP44" i="63" s="1"/>
  <c r="AQ44" i="63" s="1"/>
  <c r="AR44" i="63" s="1"/>
  <c r="AS44" i="63" s="1"/>
  <c r="AT44" i="63" s="1"/>
  <c r="AU44" i="63" s="1"/>
  <c r="AV44" i="63" s="1"/>
  <c r="AW44" i="63" s="1"/>
  <c r="AX44" i="63" s="1"/>
  <c r="AY44" i="63" s="1"/>
  <c r="AZ44" i="63" s="1"/>
  <c r="BA44" i="63" s="1"/>
  <c r="BB44" i="63" s="1"/>
  <c r="BC44" i="63" s="1"/>
  <c r="BD44" i="63" s="1"/>
  <c r="BE44" i="63" s="1"/>
  <c r="BF44" i="63" s="1"/>
  <c r="BG44" i="63" s="1"/>
  <c r="BH44" i="63" s="1"/>
  <c r="BI44" i="63" s="1"/>
  <c r="B45" i="62"/>
  <c r="B44" i="62" s="1"/>
  <c r="C44" i="62" s="1"/>
  <c r="D44" i="62" s="1"/>
  <c r="E44" i="62" s="1"/>
  <c r="F44" i="62" s="1"/>
  <c r="G44" i="62" s="1"/>
  <c r="H44" i="62" s="1"/>
  <c r="I44" i="62" s="1"/>
  <c r="J44" i="62" s="1"/>
  <c r="K44" i="62" s="1"/>
  <c r="L44" i="62" s="1"/>
  <c r="M44" i="62" s="1"/>
  <c r="N44" i="62" s="1"/>
  <c r="O44" i="62" s="1"/>
  <c r="P44" i="62" s="1"/>
  <c r="Q44" i="62" s="1"/>
  <c r="R44" i="62" s="1"/>
  <c r="S44" i="62" s="1"/>
  <c r="T44" i="62" s="1"/>
  <c r="U44" i="62" s="1"/>
  <c r="V44" i="62" s="1"/>
  <c r="W44" i="62" s="1"/>
  <c r="X44" i="62" s="1"/>
  <c r="Y44" i="62" s="1"/>
  <c r="Z44" i="62" s="1"/>
  <c r="AA44" i="62" s="1"/>
  <c r="AB44" i="62" s="1"/>
  <c r="AC44" i="62" s="1"/>
  <c r="AD44" i="62" s="1"/>
  <c r="AE44" i="62" s="1"/>
  <c r="AF44" i="62" s="1"/>
  <c r="AG44" i="62" s="1"/>
  <c r="AH44" i="62" s="1"/>
  <c r="AI44" i="62" s="1"/>
  <c r="AJ44" i="62" s="1"/>
  <c r="AK44" i="62" s="1"/>
  <c r="AL44" i="62" s="1"/>
  <c r="AM44" i="62" s="1"/>
  <c r="AN44" i="62" s="1"/>
  <c r="AO44" i="62" s="1"/>
  <c r="AP44" i="62" s="1"/>
  <c r="AQ44" i="62" s="1"/>
  <c r="AR44" i="62" s="1"/>
  <c r="AS44" i="62" s="1"/>
  <c r="AT44" i="62" s="1"/>
  <c r="AU44" i="62" s="1"/>
  <c r="AV44" i="62" s="1"/>
  <c r="AW44" i="62" s="1"/>
  <c r="AX44" i="62" s="1"/>
  <c r="AY44" i="62" s="1"/>
  <c r="AZ44" i="62" s="1"/>
  <c r="BA44" i="62" s="1"/>
  <c r="BB44" i="62" s="1"/>
  <c r="BC44" i="62" s="1"/>
  <c r="BD44" i="62" s="1"/>
  <c r="BE44" i="62" s="1"/>
  <c r="BF44" i="62" s="1"/>
  <c r="BG44" i="62" s="1"/>
  <c r="BH44" i="62" s="1"/>
  <c r="BI44" i="62" s="1"/>
  <c r="B44" i="48"/>
  <c r="C44" i="48" s="1"/>
  <c r="AZ137" i="63"/>
  <c r="B11" i="48"/>
  <c r="B11" i="70" l="1"/>
  <c r="B11" i="66"/>
  <c r="B11" i="65"/>
  <c r="B11" i="62"/>
  <c r="B11" i="63"/>
  <c r="B42" i="48"/>
  <c r="D44" i="48"/>
  <c r="B118" i="65"/>
  <c r="B38" i="48"/>
  <c r="B42" i="70" l="1"/>
  <c r="B41" i="70" s="1"/>
  <c r="B42" i="66"/>
  <c r="B41" i="66" s="1"/>
  <c r="B42" i="65"/>
  <c r="B41" i="65" s="1"/>
  <c r="B42" i="63"/>
  <c r="B41" i="63" s="1"/>
  <c r="B42" i="62"/>
  <c r="B41" i="62" s="1"/>
  <c r="B38" i="70"/>
  <c r="B38" i="66"/>
  <c r="B38" i="65"/>
  <c r="B38" i="63"/>
  <c r="B38" i="62"/>
  <c r="B94" i="27"/>
  <c r="B103" i="27" s="1"/>
  <c r="C38" i="27"/>
  <c r="E44" i="48"/>
  <c r="B41" i="48"/>
  <c r="B162" i="27" s="1"/>
  <c r="Z139" i="65"/>
  <c r="Z140" i="65"/>
  <c r="C41" i="63" l="1"/>
  <c r="B32" i="63"/>
  <c r="B109" i="63" s="1"/>
  <c r="B161" i="27"/>
  <c r="B164" i="27" s="1"/>
  <c r="C41" i="65"/>
  <c r="B32" i="65"/>
  <c r="B109" i="65" s="1"/>
  <c r="C41" i="66"/>
  <c r="B32" i="66"/>
  <c r="B109" i="66" s="1"/>
  <c r="C41" i="62"/>
  <c r="B32" i="62"/>
  <c r="B109" i="62" s="1"/>
  <c r="C41" i="70"/>
  <c r="B32" i="70"/>
  <c r="B109" i="70" s="1"/>
  <c r="B21" i="48"/>
  <c r="C103" i="27"/>
  <c r="B32" i="48"/>
  <c r="F44" i="48"/>
  <c r="Z137" i="65"/>
  <c r="BA139" i="63"/>
  <c r="C32" i="62" l="1"/>
  <c r="C109" i="62" s="1"/>
  <c r="D41" i="62"/>
  <c r="D41" i="65"/>
  <c r="C32" i="65"/>
  <c r="C109" i="65" s="1"/>
  <c r="D41" i="70"/>
  <c r="C32" i="70"/>
  <c r="C109" i="70" s="1"/>
  <c r="D41" i="66"/>
  <c r="C32" i="66"/>
  <c r="C109" i="66" s="1"/>
  <c r="B21" i="70"/>
  <c r="B21" i="66"/>
  <c r="B21" i="65"/>
  <c r="B105" i="65" s="1"/>
  <c r="B121" i="65" s="1"/>
  <c r="B21" i="63"/>
  <c r="B21" i="62"/>
  <c r="D41" i="63"/>
  <c r="C32" i="63"/>
  <c r="C109" i="63" s="1"/>
  <c r="C161" i="27"/>
  <c r="C21" i="48"/>
  <c r="C101" i="27"/>
  <c r="G44" i="48"/>
  <c r="B108" i="48"/>
  <c r="BA137" i="63"/>
  <c r="AA140" i="62"/>
  <c r="AA139" i="62"/>
  <c r="D35" i="48"/>
  <c r="B217" i="65" l="1"/>
  <c r="B170" i="65"/>
  <c r="B114" i="65"/>
  <c r="C92" i="65" s="1"/>
  <c r="B107" i="65"/>
  <c r="B108" i="65" s="1"/>
  <c r="B110" i="65"/>
  <c r="E41" i="66"/>
  <c r="D32" i="66"/>
  <c r="D109" i="66" s="1"/>
  <c r="E41" i="63"/>
  <c r="D32" i="63"/>
  <c r="D109" i="63" s="1"/>
  <c r="D161" i="27"/>
  <c r="E41" i="65"/>
  <c r="D32" i="65"/>
  <c r="D109" i="65" s="1"/>
  <c r="C21" i="70"/>
  <c r="C21" i="66"/>
  <c r="C21" i="65"/>
  <c r="C21" i="63"/>
  <c r="C106" i="27" s="1"/>
  <c r="C21" i="62"/>
  <c r="E41" i="62"/>
  <c r="D32" i="62"/>
  <c r="D109" i="62" s="1"/>
  <c r="C169" i="27"/>
  <c r="C164" i="27"/>
  <c r="B106" i="27"/>
  <c r="E41" i="70"/>
  <c r="D32" i="70"/>
  <c r="D109" i="70" s="1"/>
  <c r="H44" i="48"/>
  <c r="B115" i="65"/>
  <c r="B113" i="65"/>
  <c r="B122" i="65"/>
  <c r="AA137" i="62"/>
  <c r="BB139" i="63"/>
  <c r="E35" i="48"/>
  <c r="E32" i="62" l="1"/>
  <c r="E109" i="62" s="1"/>
  <c r="F41" i="62"/>
  <c r="F41" i="65"/>
  <c r="E32" i="65"/>
  <c r="E109" i="65" s="1"/>
  <c r="F41" i="63"/>
  <c r="E32" i="63"/>
  <c r="E109" i="63" s="1"/>
  <c r="E161" i="27"/>
  <c r="F41" i="70"/>
  <c r="E32" i="70"/>
  <c r="E109" i="70" s="1"/>
  <c r="D169" i="27"/>
  <c r="D164" i="27"/>
  <c r="F41" i="66"/>
  <c r="E32" i="66"/>
  <c r="E109" i="66" s="1"/>
  <c r="I44" i="48"/>
  <c r="B93" i="63"/>
  <c r="B93" i="65"/>
  <c r="B93" i="62"/>
  <c r="C87" i="65"/>
  <c r="B111" i="65"/>
  <c r="BB137" i="63"/>
  <c r="F35" i="48"/>
  <c r="G41" i="70" l="1"/>
  <c r="F32" i="70"/>
  <c r="F109" i="70" s="1"/>
  <c r="E164" i="27"/>
  <c r="E169" i="27"/>
  <c r="G41" i="65"/>
  <c r="F32" i="65"/>
  <c r="F109" i="65" s="1"/>
  <c r="G41" i="66"/>
  <c r="F32" i="66"/>
  <c r="F109" i="66" s="1"/>
  <c r="F32" i="62"/>
  <c r="F109" i="62" s="1"/>
  <c r="G41" i="62"/>
  <c r="G41" i="63"/>
  <c r="F32" i="63"/>
  <c r="F109" i="63" s="1"/>
  <c r="F161" i="27"/>
  <c r="J44" i="48"/>
  <c r="B117" i="65"/>
  <c r="B124" i="65" s="1"/>
  <c r="C101" i="65"/>
  <c r="D89" i="65"/>
  <c r="C88" i="65"/>
  <c r="G35" i="48"/>
  <c r="H41" i="63" l="1"/>
  <c r="G32" i="63"/>
  <c r="G109" i="63" s="1"/>
  <c r="G161" i="27"/>
  <c r="H41" i="66"/>
  <c r="G32" i="66"/>
  <c r="G109" i="66" s="1"/>
  <c r="H41" i="62"/>
  <c r="G32" i="62"/>
  <c r="G109" i="62" s="1"/>
  <c r="F169" i="27"/>
  <c r="F164" i="27"/>
  <c r="H41" i="65"/>
  <c r="G32" i="65"/>
  <c r="G109" i="65" s="1"/>
  <c r="H41" i="70"/>
  <c r="G32" i="70"/>
  <c r="G109" i="70" s="1"/>
  <c r="K44" i="48"/>
  <c r="E90" i="65"/>
  <c r="C100" i="65"/>
  <c r="B127" i="65"/>
  <c r="D48" i="65" s="1"/>
  <c r="C118" i="65"/>
  <c r="BC139" i="63"/>
  <c r="H35" i="48"/>
  <c r="I41" i="70" l="1"/>
  <c r="H32" i="70"/>
  <c r="H109" i="70" s="1"/>
  <c r="I41" i="66"/>
  <c r="H32" i="66"/>
  <c r="H109" i="66" s="1"/>
  <c r="G169" i="27"/>
  <c r="G164" i="27"/>
  <c r="I41" i="65"/>
  <c r="H32" i="65"/>
  <c r="H109" i="65" s="1"/>
  <c r="I41" i="62"/>
  <c r="H32" i="62"/>
  <c r="H109" i="62" s="1"/>
  <c r="I41" i="63"/>
  <c r="H32" i="63"/>
  <c r="H109" i="63" s="1"/>
  <c r="H161" i="27"/>
  <c r="L44" i="48"/>
  <c r="D102" i="65"/>
  <c r="C106" i="65"/>
  <c r="B128" i="65"/>
  <c r="C125" i="65"/>
  <c r="C105" i="65"/>
  <c r="C217" i="65" s="1"/>
  <c r="BC137" i="63"/>
  <c r="AA139" i="65"/>
  <c r="AA140" i="65"/>
  <c r="I35" i="48"/>
  <c r="J41" i="63" l="1"/>
  <c r="I32" i="63"/>
  <c r="I109" i="63" s="1"/>
  <c r="I161" i="27"/>
  <c r="J41" i="65"/>
  <c r="I32" i="65"/>
  <c r="I109" i="65" s="1"/>
  <c r="J41" i="66"/>
  <c r="I32" i="66"/>
  <c r="I109" i="66" s="1"/>
  <c r="H164" i="27"/>
  <c r="H169" i="27"/>
  <c r="J41" i="62"/>
  <c r="I32" i="62"/>
  <c r="I109" i="62" s="1"/>
  <c r="J41" i="70"/>
  <c r="I32" i="70"/>
  <c r="I109" i="70" s="1"/>
  <c r="M44" i="48"/>
  <c r="C170" i="65"/>
  <c r="C121" i="65"/>
  <c r="C107" i="65"/>
  <c r="C114" i="65"/>
  <c r="D92" i="65" s="1"/>
  <c r="C110" i="65"/>
  <c r="B125" i="65"/>
  <c r="B129" i="65"/>
  <c r="AA137" i="65"/>
  <c r="J35" i="48"/>
  <c r="K41" i="70" l="1"/>
  <c r="J32" i="70"/>
  <c r="J109" i="70" s="1"/>
  <c r="K41" i="65"/>
  <c r="J32" i="65"/>
  <c r="J109" i="65" s="1"/>
  <c r="I164" i="27"/>
  <c r="I169" i="27"/>
  <c r="J32" i="62"/>
  <c r="J109" i="62" s="1"/>
  <c r="K41" i="62"/>
  <c r="K41" i="66"/>
  <c r="J32" i="66"/>
  <c r="J109" i="66" s="1"/>
  <c r="K41" i="63"/>
  <c r="J32" i="63"/>
  <c r="J109" i="63" s="1"/>
  <c r="J161" i="27"/>
  <c r="N44" i="48"/>
  <c r="C122" i="65"/>
  <c r="C115" i="65"/>
  <c r="C113" i="65"/>
  <c r="B126" i="65"/>
  <c r="C108" i="65"/>
  <c r="AB140" i="62"/>
  <c r="AB139" i="62"/>
  <c r="BD139" i="63"/>
  <c r="K35" i="48"/>
  <c r="L41" i="63" l="1"/>
  <c r="K32" i="63"/>
  <c r="K109" i="63" s="1"/>
  <c r="K161" i="27"/>
  <c r="L41" i="65"/>
  <c r="K32" i="65"/>
  <c r="K109" i="65" s="1"/>
  <c r="J169" i="27"/>
  <c r="J164" i="27"/>
  <c r="L41" i="66"/>
  <c r="K32" i="66"/>
  <c r="K109" i="66" s="1"/>
  <c r="K32" i="62"/>
  <c r="K109" i="62" s="1"/>
  <c r="L41" i="62"/>
  <c r="L41" i="70"/>
  <c r="K32" i="70"/>
  <c r="K109" i="70" s="1"/>
  <c r="O44" i="48"/>
  <c r="C111" i="65"/>
  <c r="C93" i="65"/>
  <c r="D87" i="65"/>
  <c r="BD137" i="63"/>
  <c r="AB137" i="62"/>
  <c r="L35" i="48"/>
  <c r="M41" i="70" l="1"/>
  <c r="L32" i="70"/>
  <c r="L109" i="70" s="1"/>
  <c r="M41" i="66"/>
  <c r="L32" i="66"/>
  <c r="L109" i="66" s="1"/>
  <c r="M41" i="65"/>
  <c r="L32" i="65"/>
  <c r="L109" i="65" s="1"/>
  <c r="M41" i="62"/>
  <c r="L32" i="62"/>
  <c r="L109" i="62" s="1"/>
  <c r="K169" i="27"/>
  <c r="K164" i="27"/>
  <c r="M41" i="63"/>
  <c r="L32" i="63"/>
  <c r="L109" i="63" s="1"/>
  <c r="L161" i="27"/>
  <c r="P44" i="48"/>
  <c r="C117" i="65"/>
  <c r="E89" i="65"/>
  <c r="D88" i="65"/>
  <c r="D101" i="65"/>
  <c r="M35" i="48"/>
  <c r="N41" i="63" l="1"/>
  <c r="M32" i="63"/>
  <c r="M109" i="63" s="1"/>
  <c r="M161" i="27"/>
  <c r="N41" i="62"/>
  <c r="M32" i="62"/>
  <c r="M109" i="62" s="1"/>
  <c r="N41" i="66"/>
  <c r="M32" i="66"/>
  <c r="M109" i="66" s="1"/>
  <c r="L164" i="27"/>
  <c r="L169" i="27"/>
  <c r="N41" i="65"/>
  <c r="M32" i="65"/>
  <c r="M109" i="65" s="1"/>
  <c r="N41" i="70"/>
  <c r="M32" i="70"/>
  <c r="M109" i="70" s="1"/>
  <c r="Q44" i="48"/>
  <c r="F90" i="65"/>
  <c r="D100" i="65"/>
  <c r="C124" i="65"/>
  <c r="C171" i="65" s="1"/>
  <c r="D118" i="65"/>
  <c r="BE139" i="63"/>
  <c r="N35" i="48"/>
  <c r="O41" i="70" l="1"/>
  <c r="N32" i="70"/>
  <c r="N109" i="70" s="1"/>
  <c r="N32" i="62"/>
  <c r="N109" i="62" s="1"/>
  <c r="O41" i="62"/>
  <c r="M169" i="27"/>
  <c r="M164" i="27"/>
  <c r="O41" i="65"/>
  <c r="N32" i="65"/>
  <c r="N109" i="65" s="1"/>
  <c r="O41" i="66"/>
  <c r="N32" i="66"/>
  <c r="N109" i="66" s="1"/>
  <c r="O41" i="63"/>
  <c r="N32" i="63"/>
  <c r="N109" i="63" s="1"/>
  <c r="N161" i="27"/>
  <c r="R44" i="48"/>
  <c r="D125" i="65"/>
  <c r="D106" i="65"/>
  <c r="E102" i="65"/>
  <c r="C126" i="65"/>
  <c r="C127" i="65"/>
  <c r="BE137" i="63"/>
  <c r="O35" i="48"/>
  <c r="P41" i="63" l="1"/>
  <c r="O32" i="63"/>
  <c r="O109" i="63" s="1"/>
  <c r="O161" i="27"/>
  <c r="P41" i="65"/>
  <c r="O32" i="65"/>
  <c r="O109" i="65" s="1"/>
  <c r="N164" i="27"/>
  <c r="N169" i="27"/>
  <c r="P41" i="66"/>
  <c r="O32" i="66"/>
  <c r="O109" i="66" s="1"/>
  <c r="P41" i="62"/>
  <c r="O32" i="62"/>
  <c r="O109" i="62" s="1"/>
  <c r="P41" i="70"/>
  <c r="O32" i="70"/>
  <c r="O109" i="70" s="1"/>
  <c r="S44" i="48"/>
  <c r="C154" i="65"/>
  <c r="C128" i="65"/>
  <c r="AB139" i="65"/>
  <c r="AB140" i="65"/>
  <c r="P35" i="48"/>
  <c r="Q41" i="70" l="1"/>
  <c r="P32" i="70"/>
  <c r="P109" i="70" s="1"/>
  <c r="Q41" i="66"/>
  <c r="P32" i="66"/>
  <c r="P109" i="66" s="1"/>
  <c r="Q41" i="65"/>
  <c r="P32" i="65"/>
  <c r="P109" i="65" s="1"/>
  <c r="O169" i="27"/>
  <c r="O164" i="27"/>
  <c r="Q41" i="62"/>
  <c r="P32" i="62"/>
  <c r="P109" i="62" s="1"/>
  <c r="Q41" i="63"/>
  <c r="P32" i="63"/>
  <c r="P109" i="63" s="1"/>
  <c r="P161" i="27"/>
  <c r="T44" i="48"/>
  <c r="C129" i="65"/>
  <c r="C155" i="65"/>
  <c r="C157" i="65"/>
  <c r="AB137" i="65"/>
  <c r="BF139" i="63"/>
  <c r="Q35" i="48"/>
  <c r="R41" i="63" l="1"/>
  <c r="Q32" i="63"/>
  <c r="Q109" i="63" s="1"/>
  <c r="Q161" i="27"/>
  <c r="R41" i="66"/>
  <c r="Q32" i="66"/>
  <c r="Q109" i="66" s="1"/>
  <c r="P169" i="27"/>
  <c r="P164" i="27"/>
  <c r="R41" i="62"/>
  <c r="Q32" i="62"/>
  <c r="Q109" i="62" s="1"/>
  <c r="R41" i="65"/>
  <c r="Q32" i="65"/>
  <c r="Q109" i="65" s="1"/>
  <c r="R41" i="70"/>
  <c r="Q32" i="70"/>
  <c r="Q109" i="70" s="1"/>
  <c r="U44" i="48"/>
  <c r="C158" i="65"/>
  <c r="B142" i="65" s="1"/>
  <c r="C156" i="65"/>
  <c r="C159" i="65" s="1"/>
  <c r="BF137" i="63"/>
  <c r="AC140" i="62"/>
  <c r="AC139" i="62"/>
  <c r="R35" i="48"/>
  <c r="S41" i="70" l="1"/>
  <c r="R32" i="70"/>
  <c r="R109" i="70" s="1"/>
  <c r="S41" i="62"/>
  <c r="R32" i="62"/>
  <c r="R109" i="62" s="1"/>
  <c r="S41" i="66"/>
  <c r="R32" i="66"/>
  <c r="R109" i="66" s="1"/>
  <c r="Q169" i="27"/>
  <c r="Q164" i="27"/>
  <c r="S41" i="65"/>
  <c r="R32" i="65"/>
  <c r="R109" i="65" s="1"/>
  <c r="S41" i="63"/>
  <c r="R32" i="63"/>
  <c r="R109" i="63" s="1"/>
  <c r="R161" i="27"/>
  <c r="V44" i="48"/>
  <c r="AC137" i="62"/>
  <c r="S35" i="48"/>
  <c r="T41" i="63" l="1"/>
  <c r="S32" i="63"/>
  <c r="S109" i="63" s="1"/>
  <c r="S161" i="27"/>
  <c r="T41" i="62"/>
  <c r="S32" i="62"/>
  <c r="S109" i="62" s="1"/>
  <c r="R169" i="27"/>
  <c r="R164" i="27"/>
  <c r="T41" i="65"/>
  <c r="S32" i="65"/>
  <c r="S109" i="65" s="1"/>
  <c r="T41" i="66"/>
  <c r="S32" i="66"/>
  <c r="S109" i="66" s="1"/>
  <c r="T41" i="70"/>
  <c r="S32" i="70"/>
  <c r="S109" i="70" s="1"/>
  <c r="W44" i="48"/>
  <c r="BG139" i="63"/>
  <c r="T35" i="48"/>
  <c r="U41" i="70" l="1"/>
  <c r="T32" i="70"/>
  <c r="T109" i="70" s="1"/>
  <c r="U41" i="65"/>
  <c r="T32" i="65"/>
  <c r="T109" i="65" s="1"/>
  <c r="U41" i="62"/>
  <c r="T32" i="62"/>
  <c r="T109" i="62" s="1"/>
  <c r="S169" i="27"/>
  <c r="S164" i="27"/>
  <c r="U41" i="66"/>
  <c r="T32" i="66"/>
  <c r="T109" i="66" s="1"/>
  <c r="U41" i="63"/>
  <c r="T32" i="63"/>
  <c r="T109" i="63" s="1"/>
  <c r="T161" i="27"/>
  <c r="X44" i="48"/>
  <c r="BG137" i="63"/>
  <c r="U35" i="48"/>
  <c r="V41" i="63" l="1"/>
  <c r="U32" i="63"/>
  <c r="U109" i="63" s="1"/>
  <c r="U161" i="27"/>
  <c r="V41" i="65"/>
  <c r="U32" i="65"/>
  <c r="U109" i="65" s="1"/>
  <c r="T164" i="27"/>
  <c r="T169" i="27"/>
  <c r="V41" i="66"/>
  <c r="U32" i="66"/>
  <c r="U109" i="66" s="1"/>
  <c r="V41" i="62"/>
  <c r="U32" i="62"/>
  <c r="U109" i="62" s="1"/>
  <c r="V41" i="70"/>
  <c r="U32" i="70"/>
  <c r="U109" i="70" s="1"/>
  <c r="Y44" i="48"/>
  <c r="AC139" i="65"/>
  <c r="AC140" i="65"/>
  <c r="V35" i="48"/>
  <c r="W41" i="70" l="1"/>
  <c r="V32" i="70"/>
  <c r="V109" i="70" s="1"/>
  <c r="W41" i="66"/>
  <c r="V32" i="66"/>
  <c r="V109" i="66" s="1"/>
  <c r="W41" i="65"/>
  <c r="V32" i="65"/>
  <c r="V109" i="65" s="1"/>
  <c r="U164" i="27"/>
  <c r="U169" i="27"/>
  <c r="W41" i="62"/>
  <c r="V32" i="62"/>
  <c r="V109" i="62" s="1"/>
  <c r="W41" i="63"/>
  <c r="V32" i="63"/>
  <c r="V109" i="63" s="1"/>
  <c r="V161" i="27"/>
  <c r="Z44" i="48"/>
  <c r="AC137" i="65"/>
  <c r="W35" i="48"/>
  <c r="X41" i="63" l="1"/>
  <c r="W32" i="63"/>
  <c r="W109" i="63" s="1"/>
  <c r="W161" i="27"/>
  <c r="X41" i="66"/>
  <c r="W32" i="66"/>
  <c r="W109" i="66" s="1"/>
  <c r="V169" i="27"/>
  <c r="V164" i="27"/>
  <c r="X41" i="62"/>
  <c r="W32" i="62"/>
  <c r="W109" i="62" s="1"/>
  <c r="X41" i="65"/>
  <c r="W32" i="65"/>
  <c r="W109" i="65" s="1"/>
  <c r="X41" i="70"/>
  <c r="W32" i="70"/>
  <c r="W109" i="70" s="1"/>
  <c r="AA44" i="48"/>
  <c r="BH139" i="63"/>
  <c r="X35" i="48"/>
  <c r="Y41" i="70" l="1"/>
  <c r="X32" i="70"/>
  <c r="X109" i="70" s="1"/>
  <c r="Y41" i="62"/>
  <c r="X32" i="62"/>
  <c r="X109" i="62" s="1"/>
  <c r="Y41" i="66"/>
  <c r="X32" i="66"/>
  <c r="X109" i="66" s="1"/>
  <c r="W169" i="27"/>
  <c r="W164" i="27"/>
  <c r="Y41" i="65"/>
  <c r="X32" i="65"/>
  <c r="X109" i="65" s="1"/>
  <c r="Y41" i="63"/>
  <c r="X32" i="63"/>
  <c r="X109" i="63" s="1"/>
  <c r="X161" i="27"/>
  <c r="AB44" i="48"/>
  <c r="BH137" i="63"/>
  <c r="AD140" i="62"/>
  <c r="AD139" i="62"/>
  <c r="Y35" i="48"/>
  <c r="Z41" i="63" l="1"/>
  <c r="Y32" i="63"/>
  <c r="Y109" i="63" s="1"/>
  <c r="Y161" i="27"/>
  <c r="Y32" i="62"/>
  <c r="Y109" i="62" s="1"/>
  <c r="Z41" i="62"/>
  <c r="X169" i="27"/>
  <c r="X164" i="27"/>
  <c r="Z41" i="65"/>
  <c r="Y32" i="65"/>
  <c r="Y109" i="65" s="1"/>
  <c r="Z41" i="66"/>
  <c r="Y32" i="66"/>
  <c r="Y109" i="66" s="1"/>
  <c r="Z41" i="70"/>
  <c r="Y32" i="70"/>
  <c r="Y109" i="70" s="1"/>
  <c r="AC44" i="48"/>
  <c r="AD137" i="62"/>
  <c r="Z35" i="48"/>
  <c r="AA41" i="70" l="1"/>
  <c r="Z32" i="70"/>
  <c r="Z109" i="70" s="1"/>
  <c r="AA41" i="65"/>
  <c r="Z32" i="65"/>
  <c r="Z109" i="65" s="1"/>
  <c r="Y169" i="27"/>
  <c r="Y164" i="27"/>
  <c r="AA41" i="66"/>
  <c r="Z32" i="66"/>
  <c r="Z109" i="66" s="1"/>
  <c r="AA41" i="62"/>
  <c r="Z32" i="62"/>
  <c r="Z109" i="62" s="1"/>
  <c r="AA41" i="63"/>
  <c r="Z32" i="63"/>
  <c r="Z109" i="63" s="1"/>
  <c r="Z161" i="27"/>
  <c r="AD44" i="48"/>
  <c r="AA35" i="48"/>
  <c r="AB41" i="63" l="1"/>
  <c r="AA32" i="63"/>
  <c r="AA109" i="63" s="1"/>
  <c r="AA161" i="27"/>
  <c r="AB41" i="66"/>
  <c r="AA32" i="66"/>
  <c r="AA109" i="66" s="1"/>
  <c r="AB41" i="65"/>
  <c r="AA32" i="65"/>
  <c r="AA109" i="65" s="1"/>
  <c r="Z169" i="27"/>
  <c r="Z164" i="27"/>
  <c r="AB41" i="62"/>
  <c r="AA32" i="62"/>
  <c r="AA109" i="62" s="1"/>
  <c r="AB41" i="70"/>
  <c r="AA32" i="70"/>
  <c r="AA109" i="70" s="1"/>
  <c r="AE44" i="48"/>
  <c r="AD139" i="65"/>
  <c r="AD140" i="65"/>
  <c r="BI139" i="63"/>
  <c r="AB35" i="48"/>
  <c r="AC41" i="70" l="1"/>
  <c r="AB32" i="70"/>
  <c r="AB109" i="70" s="1"/>
  <c r="AC41" i="66"/>
  <c r="AB32" i="66"/>
  <c r="AB109" i="66" s="1"/>
  <c r="AA164" i="27"/>
  <c r="AA169" i="27"/>
  <c r="AC41" i="62"/>
  <c r="AB32" i="62"/>
  <c r="AB109" i="62" s="1"/>
  <c r="AC41" i="65"/>
  <c r="AB32" i="65"/>
  <c r="AB109" i="65" s="1"/>
  <c r="AC41" i="63"/>
  <c r="AB32" i="63"/>
  <c r="AB109" i="63" s="1"/>
  <c r="AB161" i="27"/>
  <c r="AF44" i="48"/>
  <c r="BI137" i="63"/>
  <c r="AD137" i="65"/>
  <c r="AC35" i="48"/>
  <c r="AD41" i="63" l="1"/>
  <c r="AC32" i="63"/>
  <c r="AC109" i="63" s="1"/>
  <c r="AC161" i="27"/>
  <c r="AC32" i="62"/>
  <c r="AC109" i="62" s="1"/>
  <c r="AD41" i="62"/>
  <c r="AD41" i="66"/>
  <c r="AC32" i="66"/>
  <c r="AC109" i="66" s="1"/>
  <c r="AB169" i="27"/>
  <c r="AB164" i="27"/>
  <c r="AD41" i="65"/>
  <c r="AC32" i="65"/>
  <c r="AC109" i="65" s="1"/>
  <c r="AD41" i="70"/>
  <c r="AC32" i="70"/>
  <c r="AC109" i="70" s="1"/>
  <c r="AG44" i="48"/>
  <c r="AE41" i="70" l="1"/>
  <c r="AD32" i="70"/>
  <c r="AD109" i="70" s="1"/>
  <c r="AC169" i="27"/>
  <c r="AC164" i="27"/>
  <c r="AE41" i="65"/>
  <c r="AD32" i="65"/>
  <c r="AD109" i="65" s="1"/>
  <c r="AE41" i="66"/>
  <c r="AD32" i="66"/>
  <c r="AD109" i="66" s="1"/>
  <c r="AE41" i="62"/>
  <c r="AD32" i="62"/>
  <c r="AD109" i="62" s="1"/>
  <c r="AE41" i="63"/>
  <c r="AD32" i="63"/>
  <c r="AD109" i="63" s="1"/>
  <c r="AD161" i="27"/>
  <c r="AH44" i="48"/>
  <c r="AF41" i="63" l="1"/>
  <c r="AE32" i="63"/>
  <c r="AE109" i="63" s="1"/>
  <c r="AE161" i="27"/>
  <c r="AF41" i="66"/>
  <c r="AE32" i="66"/>
  <c r="AD169" i="27"/>
  <c r="AD164" i="27"/>
  <c r="AE32" i="62"/>
  <c r="AF41" i="62"/>
  <c r="AF41" i="65"/>
  <c r="AE32" i="65"/>
  <c r="AF41" i="70"/>
  <c r="AE32" i="70"/>
  <c r="AE109" i="70" s="1"/>
  <c r="AI44" i="48"/>
  <c r="AE140" i="62"/>
  <c r="AE139" i="62"/>
  <c r="AG41" i="70" l="1"/>
  <c r="AF32" i="70"/>
  <c r="AF109" i="70" s="1"/>
  <c r="AG41" i="66"/>
  <c r="AF32" i="66"/>
  <c r="AE169" i="27"/>
  <c r="AE164" i="27"/>
  <c r="AG41" i="65"/>
  <c r="AF32" i="65"/>
  <c r="AG41" i="62"/>
  <c r="AF32" i="62"/>
  <c r="AG41" i="63"/>
  <c r="AF32" i="63"/>
  <c r="AF109" i="63" s="1"/>
  <c r="AF161" i="27"/>
  <c r="AJ44" i="48"/>
  <c r="AE137" i="62"/>
  <c r="C41" i="48"/>
  <c r="C162" i="27" s="1"/>
  <c r="C170" i="27" s="1"/>
  <c r="AH41" i="63" l="1"/>
  <c r="AG32" i="63"/>
  <c r="AG109" i="63" s="1"/>
  <c r="AG161" i="27"/>
  <c r="AH41" i="65"/>
  <c r="AG32" i="65"/>
  <c r="AH41" i="66"/>
  <c r="AG32" i="66"/>
  <c r="AF169" i="27"/>
  <c r="AF164" i="27"/>
  <c r="AG32" i="62"/>
  <c r="AH41" i="62"/>
  <c r="AH41" i="70"/>
  <c r="AG32" i="70"/>
  <c r="AG109" i="70" s="1"/>
  <c r="AK44" i="48"/>
  <c r="C32" i="48"/>
  <c r="AE109" i="62"/>
  <c r="D41" i="48"/>
  <c r="D162" i="27" s="1"/>
  <c r="D170" i="27" s="1"/>
  <c r="AI41" i="70" l="1"/>
  <c r="AH32" i="70"/>
  <c r="AH109" i="70" s="1"/>
  <c r="AI41" i="65"/>
  <c r="AH32" i="65"/>
  <c r="AI41" i="62"/>
  <c r="AH32" i="62"/>
  <c r="AG164" i="27"/>
  <c r="AG169" i="27"/>
  <c r="AI41" i="66"/>
  <c r="AH32" i="66"/>
  <c r="AI41" i="63"/>
  <c r="AH32" i="63"/>
  <c r="AH109" i="63" s="1"/>
  <c r="AH161" i="27"/>
  <c r="D32" i="48"/>
  <c r="AL44" i="48"/>
  <c r="AE139" i="65"/>
  <c r="AE140" i="65"/>
  <c r="E41" i="48"/>
  <c r="E162" i="27" s="1"/>
  <c r="E170" i="27" s="1"/>
  <c r="AJ41" i="63" l="1"/>
  <c r="AI32" i="63"/>
  <c r="AI109" i="63" s="1"/>
  <c r="AI161" i="27"/>
  <c r="AJ41" i="65"/>
  <c r="AI32" i="65"/>
  <c r="AH169" i="27"/>
  <c r="AH164" i="27"/>
  <c r="AJ41" i="66"/>
  <c r="AI32" i="66"/>
  <c r="AI32" i="62"/>
  <c r="AJ41" i="62"/>
  <c r="AJ41" i="70"/>
  <c r="AI32" i="70"/>
  <c r="AI109" i="70" s="1"/>
  <c r="E32" i="48"/>
  <c r="AM44" i="48"/>
  <c r="AE109" i="66"/>
  <c r="AE137" i="65"/>
  <c r="F41" i="48"/>
  <c r="F162" i="27" s="1"/>
  <c r="F170" i="27" s="1"/>
  <c r="AK41" i="70" l="1"/>
  <c r="AJ32" i="70"/>
  <c r="AJ109" i="70" s="1"/>
  <c r="AK41" i="66"/>
  <c r="AJ32" i="66"/>
  <c r="AK41" i="65"/>
  <c r="AJ32" i="65"/>
  <c r="AJ32" i="62"/>
  <c r="AK41" i="62"/>
  <c r="AI169" i="27"/>
  <c r="AI164" i="27"/>
  <c r="AK41" i="63"/>
  <c r="AJ32" i="63"/>
  <c r="AJ109" i="63" s="1"/>
  <c r="AJ161" i="27"/>
  <c r="F32" i="48"/>
  <c r="AN44" i="48"/>
  <c r="AE109" i="65"/>
  <c r="G41" i="48"/>
  <c r="G162" i="27" s="1"/>
  <c r="G170" i="27" s="1"/>
  <c r="AL41" i="63" l="1"/>
  <c r="AK32" i="63"/>
  <c r="AK109" i="63" s="1"/>
  <c r="AK161" i="27"/>
  <c r="AL41" i="66"/>
  <c r="AK32" i="66"/>
  <c r="AJ169" i="27"/>
  <c r="AJ164" i="27"/>
  <c r="AL41" i="65"/>
  <c r="AK32" i="65"/>
  <c r="AL41" i="62"/>
  <c r="AK32" i="62"/>
  <c r="AL41" i="70"/>
  <c r="AK32" i="70"/>
  <c r="AK109" i="70" s="1"/>
  <c r="G32" i="48"/>
  <c r="AO44" i="48"/>
  <c r="H41" i="48"/>
  <c r="H162" i="27" s="1"/>
  <c r="H170" i="27" s="1"/>
  <c r="AM41" i="70" l="1"/>
  <c r="AL32" i="70"/>
  <c r="AL109" i="70" s="1"/>
  <c r="AM41" i="65"/>
  <c r="AL32" i="65"/>
  <c r="AM41" i="66"/>
  <c r="AL32" i="66"/>
  <c r="AK164" i="27"/>
  <c r="AK169" i="27"/>
  <c r="AM41" i="62"/>
  <c r="AL32" i="62"/>
  <c r="AM41" i="63"/>
  <c r="AL32" i="63"/>
  <c r="AL109" i="63" s="1"/>
  <c r="AL161" i="27"/>
  <c r="H32" i="48"/>
  <c r="AP44" i="48"/>
  <c r="AF140" i="62"/>
  <c r="AF139" i="62"/>
  <c r="I41" i="48"/>
  <c r="I162" i="27" s="1"/>
  <c r="I170" i="27" s="1"/>
  <c r="AN41" i="63" l="1"/>
  <c r="AM32" i="63"/>
  <c r="AM109" i="63" s="1"/>
  <c r="AM161" i="27"/>
  <c r="AN41" i="65"/>
  <c r="AM32" i="65"/>
  <c r="AL164" i="27"/>
  <c r="AL169" i="27"/>
  <c r="AM32" i="62"/>
  <c r="AN41" i="62"/>
  <c r="AN41" i="66"/>
  <c r="AM32" i="66"/>
  <c r="AN41" i="70"/>
  <c r="AM32" i="70"/>
  <c r="AM109" i="70" s="1"/>
  <c r="I32" i="48"/>
  <c r="AQ44" i="48"/>
  <c r="AF137" i="62"/>
  <c r="J41" i="48"/>
  <c r="J162" i="27" s="1"/>
  <c r="J170" i="27" s="1"/>
  <c r="AO41" i="70" l="1"/>
  <c r="AN32" i="70"/>
  <c r="AN109" i="70" s="1"/>
  <c r="AO41" i="65"/>
  <c r="AN32" i="65"/>
  <c r="AM169" i="27"/>
  <c r="AM164" i="27"/>
  <c r="AO41" i="66"/>
  <c r="AN32" i="66"/>
  <c r="AO41" i="62"/>
  <c r="AN32" i="62"/>
  <c r="AO41" i="63"/>
  <c r="AN32" i="63"/>
  <c r="AN109" i="63" s="1"/>
  <c r="AN161" i="27"/>
  <c r="J32" i="48"/>
  <c r="AR44" i="48"/>
  <c r="AF109" i="62"/>
  <c r="K41" i="48"/>
  <c r="K162" i="27" s="1"/>
  <c r="K170" i="27" s="1"/>
  <c r="AP41" i="63" l="1"/>
  <c r="AO32" i="63"/>
  <c r="AO109" i="63" s="1"/>
  <c r="AO161" i="27"/>
  <c r="AP41" i="66"/>
  <c r="AO32" i="66"/>
  <c r="AP41" i="65"/>
  <c r="AO32" i="65"/>
  <c r="AN164" i="27"/>
  <c r="AN169" i="27"/>
  <c r="AP41" i="62"/>
  <c r="AO32" i="62"/>
  <c r="AP41" i="70"/>
  <c r="AO32" i="70"/>
  <c r="AO109" i="70" s="1"/>
  <c r="K32" i="48"/>
  <c r="AS44" i="48"/>
  <c r="AF139" i="65"/>
  <c r="AF140" i="65"/>
  <c r="L41" i="48"/>
  <c r="AQ41" i="70" l="1"/>
  <c r="AP32" i="70"/>
  <c r="AP109" i="70" s="1"/>
  <c r="AQ41" i="66"/>
  <c r="AP32" i="66"/>
  <c r="AO169" i="27"/>
  <c r="AO164" i="27"/>
  <c r="AQ41" i="62"/>
  <c r="AP32" i="62"/>
  <c r="AQ41" i="65"/>
  <c r="AP32" i="65"/>
  <c r="AQ41" i="63"/>
  <c r="AP32" i="63"/>
  <c r="AP109" i="63" s="1"/>
  <c r="AP161" i="27"/>
  <c r="M41" i="48"/>
  <c r="L162" i="27"/>
  <c r="L170" i="27" s="1"/>
  <c r="L32" i="48"/>
  <c r="AT44" i="48"/>
  <c r="AF137" i="65"/>
  <c r="AF109" i="66"/>
  <c r="AR41" i="63" l="1"/>
  <c r="AQ32" i="63"/>
  <c r="AQ109" i="63" s="1"/>
  <c r="AQ161" i="27"/>
  <c r="AR41" i="62"/>
  <c r="AQ32" i="62"/>
  <c r="AR41" i="66"/>
  <c r="AQ32" i="66"/>
  <c r="AP169" i="27"/>
  <c r="AP164" i="27"/>
  <c r="AR41" i="65"/>
  <c r="AQ32" i="65"/>
  <c r="AR41" i="70"/>
  <c r="AQ32" i="70"/>
  <c r="AQ109" i="70" s="1"/>
  <c r="M162" i="27"/>
  <c r="M170" i="27" s="1"/>
  <c r="M32" i="48"/>
  <c r="AU44" i="48"/>
  <c r="AF109" i="65"/>
  <c r="N41" i="48"/>
  <c r="N162" i="27" s="1"/>
  <c r="N170" i="27" s="1"/>
  <c r="AS41" i="70" l="1"/>
  <c r="AR32" i="70"/>
  <c r="AR109" i="70" s="1"/>
  <c r="AS41" i="62"/>
  <c r="AR32" i="62"/>
  <c r="AQ169" i="27"/>
  <c r="AQ164" i="27"/>
  <c r="AS41" i="65"/>
  <c r="AR32" i="65"/>
  <c r="AS41" i="66"/>
  <c r="AR32" i="66"/>
  <c r="AS41" i="63"/>
  <c r="AR32" i="63"/>
  <c r="AR109" i="63" s="1"/>
  <c r="AR161" i="27"/>
  <c r="N32" i="48"/>
  <c r="AV44" i="48"/>
  <c r="O41" i="48"/>
  <c r="O162" i="27" s="1"/>
  <c r="O170" i="27" s="1"/>
  <c r="AT41" i="63" l="1"/>
  <c r="AS32" i="63"/>
  <c r="AS109" i="63" s="1"/>
  <c r="AS161" i="27"/>
  <c r="AT41" i="65"/>
  <c r="AS32" i="65"/>
  <c r="AS32" i="62"/>
  <c r="AT41" i="62"/>
  <c r="AR169" i="27"/>
  <c r="AR164" i="27"/>
  <c r="AT41" i="66"/>
  <c r="AS32" i="66"/>
  <c r="AT41" i="70"/>
  <c r="AS32" i="70"/>
  <c r="AS109" i="70" s="1"/>
  <c r="O32" i="48"/>
  <c r="AW44" i="48"/>
  <c r="AG140" i="62"/>
  <c r="AG139" i="62"/>
  <c r="P41" i="48"/>
  <c r="P162" i="27" s="1"/>
  <c r="P170" i="27" s="1"/>
  <c r="AU41" i="70" l="1"/>
  <c r="AT32" i="70"/>
  <c r="AT109" i="70" s="1"/>
  <c r="AU41" i="65"/>
  <c r="AT32" i="65"/>
  <c r="AU41" i="62"/>
  <c r="AT32" i="62"/>
  <c r="AS164" i="27"/>
  <c r="AS169" i="27"/>
  <c r="AU41" i="66"/>
  <c r="AT32" i="66"/>
  <c r="AU41" i="63"/>
  <c r="AT32" i="63"/>
  <c r="AT109" i="63" s="1"/>
  <c r="AT161" i="27"/>
  <c r="P32" i="48"/>
  <c r="AX44" i="48"/>
  <c r="AG137" i="62"/>
  <c r="Q41" i="48"/>
  <c r="Q162" i="27" s="1"/>
  <c r="Q170" i="27" s="1"/>
  <c r="AV41" i="63" l="1"/>
  <c r="AU32" i="63"/>
  <c r="AU109" i="63" s="1"/>
  <c r="AU161" i="27"/>
  <c r="AV41" i="65"/>
  <c r="AU32" i="65"/>
  <c r="AT164" i="27"/>
  <c r="AT169" i="27"/>
  <c r="AV41" i="66"/>
  <c r="AU32" i="66"/>
  <c r="AV41" i="62"/>
  <c r="AU32" i="62"/>
  <c r="AV41" i="70"/>
  <c r="AU32" i="70"/>
  <c r="AU109" i="70" s="1"/>
  <c r="AY44" i="48"/>
  <c r="Q32" i="48"/>
  <c r="AG109" i="62"/>
  <c r="R41" i="48"/>
  <c r="R162" i="27" s="1"/>
  <c r="R170" i="27" s="1"/>
  <c r="AW41" i="70" l="1"/>
  <c r="AV32" i="70"/>
  <c r="AV109" i="70" s="1"/>
  <c r="AW41" i="66"/>
  <c r="AV32" i="66"/>
  <c r="AW41" i="65"/>
  <c r="AV32" i="65"/>
  <c r="AU169" i="27"/>
  <c r="AU164" i="27"/>
  <c r="AW41" i="62"/>
  <c r="AV32" i="62"/>
  <c r="AW41" i="63"/>
  <c r="AV32" i="63"/>
  <c r="AV109" i="63" s="1"/>
  <c r="AV161" i="27"/>
  <c r="AZ44" i="48"/>
  <c r="R32" i="48"/>
  <c r="AG139" i="65"/>
  <c r="AG140" i="65"/>
  <c r="S41" i="48"/>
  <c r="S162" i="27" s="1"/>
  <c r="S170" i="27" s="1"/>
  <c r="AX41" i="63" l="1"/>
  <c r="AW32" i="63"/>
  <c r="AW109" i="63" s="1"/>
  <c r="AW161" i="27"/>
  <c r="AX41" i="66"/>
  <c r="AW32" i="66"/>
  <c r="AV164" i="27"/>
  <c r="AV169" i="27"/>
  <c r="AX41" i="62"/>
  <c r="AW32" i="62"/>
  <c r="AX41" i="65"/>
  <c r="AW32" i="65"/>
  <c r="AX41" i="70"/>
  <c r="AW32" i="70"/>
  <c r="AW109" i="70" s="1"/>
  <c r="BA44" i="48"/>
  <c r="S32" i="48"/>
  <c r="AG109" i="66"/>
  <c r="AG137" i="65"/>
  <c r="T41" i="48"/>
  <c r="T162" i="27" s="1"/>
  <c r="T170" i="27" s="1"/>
  <c r="AY41" i="70" l="1"/>
  <c r="AX32" i="70"/>
  <c r="AX109" i="70" s="1"/>
  <c r="AX32" i="62"/>
  <c r="AY41" i="62"/>
  <c r="AY41" i="66"/>
  <c r="AX32" i="66"/>
  <c r="AW169" i="27"/>
  <c r="AW164" i="27"/>
  <c r="AY41" i="65"/>
  <c r="AX32" i="65"/>
  <c r="AY41" i="63"/>
  <c r="AX32" i="63"/>
  <c r="AX109" i="63" s="1"/>
  <c r="AX161" i="27"/>
  <c r="BB44" i="48"/>
  <c r="T32" i="48"/>
  <c r="AG109" i="65"/>
  <c r="U41" i="48"/>
  <c r="U162" i="27" s="1"/>
  <c r="U170" i="27" s="1"/>
  <c r="AZ41" i="63" l="1"/>
  <c r="AY32" i="63"/>
  <c r="AY109" i="63" s="1"/>
  <c r="AY161" i="27"/>
  <c r="AX164" i="27"/>
  <c r="AX169" i="27"/>
  <c r="AZ41" i="65"/>
  <c r="AY32" i="65"/>
  <c r="AZ41" i="66"/>
  <c r="AY32" i="66"/>
  <c r="AZ41" i="62"/>
  <c r="AY32" i="62"/>
  <c r="AZ41" i="70"/>
  <c r="AY32" i="70"/>
  <c r="AY109" i="70" s="1"/>
  <c r="BC44" i="48"/>
  <c r="U32" i="48"/>
  <c r="V41" i="48"/>
  <c r="V162" i="27" s="1"/>
  <c r="BA41" i="70" l="1"/>
  <c r="AZ32" i="70"/>
  <c r="AZ109" i="70" s="1"/>
  <c r="BA41" i="66"/>
  <c r="AZ32" i="66"/>
  <c r="AY169" i="27"/>
  <c r="AY164" i="27"/>
  <c r="AZ32" i="62"/>
  <c r="BA41" i="62"/>
  <c r="BA41" i="65"/>
  <c r="AZ32" i="65"/>
  <c r="BA41" i="63"/>
  <c r="AZ32" i="63"/>
  <c r="AZ109" i="63" s="1"/>
  <c r="AZ161" i="27"/>
  <c r="V170" i="27"/>
  <c r="BD44" i="48"/>
  <c r="BE44" i="48" s="1"/>
  <c r="BF44" i="48" s="1"/>
  <c r="BG44" i="48" s="1"/>
  <c r="BH44" i="48" s="1"/>
  <c r="BI44" i="48" s="1"/>
  <c r="V32" i="48"/>
  <c r="AH140" i="62"/>
  <c r="AH139" i="62"/>
  <c r="W41" i="48"/>
  <c r="W162" i="27" s="1"/>
  <c r="W170" i="27" s="1"/>
  <c r="BB41" i="63" l="1"/>
  <c r="BA32" i="63"/>
  <c r="BA109" i="63" s="1"/>
  <c r="BA161" i="27"/>
  <c r="BB41" i="66"/>
  <c r="BA32" i="66"/>
  <c r="AZ169" i="27"/>
  <c r="AZ164" i="27"/>
  <c r="BB41" i="65"/>
  <c r="BA32" i="65"/>
  <c r="BB41" i="62"/>
  <c r="BA32" i="62"/>
  <c r="BB41" i="70"/>
  <c r="BA32" i="70"/>
  <c r="BA109" i="70" s="1"/>
  <c r="W32" i="48"/>
  <c r="AH137" i="62"/>
  <c r="X41" i="48"/>
  <c r="X162" i="27" s="1"/>
  <c r="X170" i="27" s="1"/>
  <c r="BC41" i="70" l="1"/>
  <c r="BB32" i="70"/>
  <c r="BB109" i="70" s="1"/>
  <c r="BC41" i="65"/>
  <c r="BB32" i="65"/>
  <c r="BC41" i="66"/>
  <c r="BB32" i="66"/>
  <c r="BA164" i="27"/>
  <c r="BA169" i="27"/>
  <c r="BC41" i="62"/>
  <c r="BB32" i="62"/>
  <c r="BC41" i="63"/>
  <c r="BB32" i="63"/>
  <c r="BB109" i="63" s="1"/>
  <c r="BB161" i="27"/>
  <c r="X32" i="48"/>
  <c r="AH109" i="62"/>
  <c r="Y41" i="48"/>
  <c r="Y162" i="27" s="1"/>
  <c r="Y170" i="27" s="1"/>
  <c r="BD41" i="63" l="1"/>
  <c r="BC32" i="63"/>
  <c r="BC109" i="63" s="1"/>
  <c r="BC161" i="27"/>
  <c r="BD41" i="65"/>
  <c r="BC32" i="65"/>
  <c r="BB169" i="27"/>
  <c r="BB164" i="27"/>
  <c r="BC32" i="62"/>
  <c r="BD41" i="62"/>
  <c r="BD41" i="66"/>
  <c r="BC32" i="66"/>
  <c r="BD41" i="70"/>
  <c r="BC32" i="70"/>
  <c r="BC109" i="70" s="1"/>
  <c r="Y32" i="48"/>
  <c r="AH139" i="65"/>
  <c r="AH140" i="65"/>
  <c r="Z41" i="48"/>
  <c r="Z162" i="27" s="1"/>
  <c r="Z170" i="27" s="1"/>
  <c r="BE41" i="70" l="1"/>
  <c r="BD32" i="70"/>
  <c r="BD109" i="70" s="1"/>
  <c r="BE41" i="65"/>
  <c r="BD32" i="65"/>
  <c r="BC164" i="27"/>
  <c r="BC169" i="27"/>
  <c r="BE41" i="66"/>
  <c r="BD32" i="66"/>
  <c r="BE41" i="62"/>
  <c r="BD32" i="62"/>
  <c r="BE41" i="63"/>
  <c r="BD32" i="63"/>
  <c r="BD109" i="63" s="1"/>
  <c r="BD161" i="27"/>
  <c r="Z32" i="48"/>
  <c r="AH137" i="65"/>
  <c r="AH109" i="66"/>
  <c r="AA41" i="48"/>
  <c r="AA162" i="27" s="1"/>
  <c r="AA170" i="27" s="1"/>
  <c r="BF41" i="63" l="1"/>
  <c r="BE32" i="63"/>
  <c r="BE109" i="63" s="1"/>
  <c r="BE161" i="27"/>
  <c r="BF41" i="66"/>
  <c r="BE32" i="66"/>
  <c r="BF41" i="65"/>
  <c r="BE32" i="65"/>
  <c r="BD164" i="27"/>
  <c r="BD169" i="27"/>
  <c r="BE32" i="62"/>
  <c r="BF41" i="62"/>
  <c r="BF41" i="70"/>
  <c r="BE32" i="70"/>
  <c r="BE109" i="70" s="1"/>
  <c r="AA32" i="48"/>
  <c r="AH109" i="65"/>
  <c r="AB41" i="48"/>
  <c r="AB162" i="27" s="1"/>
  <c r="AB170" i="27" s="1"/>
  <c r="BG41" i="70" l="1"/>
  <c r="BF32" i="70"/>
  <c r="BF109" i="70" s="1"/>
  <c r="BG41" i="66"/>
  <c r="BF32" i="66"/>
  <c r="BF32" i="62"/>
  <c r="BG41" i="62"/>
  <c r="BE169" i="27"/>
  <c r="BE164" i="27"/>
  <c r="BG41" i="65"/>
  <c r="BF32" i="65"/>
  <c r="BG41" i="63"/>
  <c r="BF32" i="63"/>
  <c r="BF109" i="63" s="1"/>
  <c r="BF161" i="27"/>
  <c r="AB32" i="48"/>
  <c r="AC41" i="48"/>
  <c r="AC162" i="27" s="1"/>
  <c r="AC170" i="27" s="1"/>
  <c r="BH41" i="63" l="1"/>
  <c r="BG32" i="63"/>
  <c r="BG109" i="63" s="1"/>
  <c r="BG161" i="27"/>
  <c r="BH41" i="66"/>
  <c r="BG32" i="66"/>
  <c r="BH41" i="62"/>
  <c r="BG32" i="62"/>
  <c r="BF169" i="27"/>
  <c r="BF164" i="27"/>
  <c r="BH41" i="65"/>
  <c r="BG32" i="65"/>
  <c r="BH41" i="70"/>
  <c r="BG32" i="70"/>
  <c r="BG109" i="70" s="1"/>
  <c r="AC32" i="48"/>
  <c r="AD41" i="48"/>
  <c r="AD162" i="27" s="1"/>
  <c r="AD170" i="27" s="1"/>
  <c r="AI140" i="62"/>
  <c r="AI139" i="62"/>
  <c r="BI41" i="70" l="1"/>
  <c r="BH32" i="70"/>
  <c r="BH109" i="70" s="1"/>
  <c r="BI41" i="66"/>
  <c r="BI32" i="66" s="1"/>
  <c r="BH32" i="66"/>
  <c r="BG169" i="27"/>
  <c r="BG164" i="27"/>
  <c r="BI41" i="65"/>
  <c r="BI32" i="65" s="1"/>
  <c r="BH32" i="65"/>
  <c r="BH32" i="62"/>
  <c r="BI41" i="62"/>
  <c r="BI32" i="62" s="1"/>
  <c r="BI41" i="63"/>
  <c r="BH32" i="63"/>
  <c r="BH109" i="63" s="1"/>
  <c r="BH161" i="27"/>
  <c r="AD32" i="48"/>
  <c r="BJ161" i="27"/>
  <c r="AE41" i="48"/>
  <c r="AE162" i="27" s="1"/>
  <c r="AE170" i="27" s="1"/>
  <c r="AI137" i="62"/>
  <c r="BI32" i="63" l="1"/>
  <c r="BI109" i="63" s="1"/>
  <c r="BI161" i="27"/>
  <c r="BJ169" i="27" s="1"/>
  <c r="BH169" i="27"/>
  <c r="BH164" i="27"/>
  <c r="BI32" i="70"/>
  <c r="BI109" i="70" s="1"/>
  <c r="BJ164" i="27"/>
  <c r="AF41" i="48"/>
  <c r="AF162" i="27" s="1"/>
  <c r="AF170" i="27" s="1"/>
  <c r="AE32" i="48"/>
  <c r="BK161" i="27"/>
  <c r="AI109" i="62"/>
  <c r="AG41" i="48" l="1"/>
  <c r="AG162" i="27" s="1"/>
  <c r="AG170" i="27" s="1"/>
  <c r="BI164" i="27"/>
  <c r="BI169" i="27"/>
  <c r="BK169" i="27"/>
  <c r="BK164" i="27"/>
  <c r="BJ106" i="27"/>
  <c r="AF32" i="48"/>
  <c r="AG32" i="48"/>
  <c r="BL161" i="27"/>
  <c r="AI139" i="65"/>
  <c r="AI140" i="65"/>
  <c r="AI109" i="66"/>
  <c r="AH41" i="48"/>
  <c r="AH162" i="27" s="1"/>
  <c r="AH170" i="27" s="1"/>
  <c r="BL169" i="27" l="1"/>
  <c r="BL164" i="27"/>
  <c r="BK106" i="27"/>
  <c r="AH32" i="48"/>
  <c r="BM161" i="27"/>
  <c r="AI137" i="65"/>
  <c r="AI41" i="48"/>
  <c r="AI162" i="27" s="1"/>
  <c r="AI170" i="27" s="1"/>
  <c r="BM169" i="27" l="1"/>
  <c r="BM164" i="27"/>
  <c r="BL106" i="27"/>
  <c r="AI32" i="48"/>
  <c r="BN161" i="27"/>
  <c r="AI109" i="65"/>
  <c r="AJ41" i="48"/>
  <c r="AJ162" i="27" s="1"/>
  <c r="AJ170" i="27" s="1"/>
  <c r="BN169" i="27" l="1"/>
  <c r="BN164" i="27"/>
  <c r="BM106" i="27"/>
  <c r="BO161" i="27"/>
  <c r="AJ32" i="48"/>
  <c r="AK41" i="48"/>
  <c r="AK162" i="27" s="1"/>
  <c r="AK170" i="27" s="1"/>
  <c r="BO169" i="27" l="1"/>
  <c r="BO164" i="27"/>
  <c r="BN106" i="27"/>
  <c r="BP161" i="27"/>
  <c r="AK32" i="48"/>
  <c r="AJ140" i="62"/>
  <c r="AJ139" i="62"/>
  <c r="AL41" i="48"/>
  <c r="AL162" i="27" s="1"/>
  <c r="AL170" i="27" l="1"/>
  <c r="BP169" i="27"/>
  <c r="BP164" i="27"/>
  <c r="BO106" i="27"/>
  <c r="AL32" i="48"/>
  <c r="BQ161" i="27"/>
  <c r="BQ164" i="27" s="1"/>
  <c r="AJ137" i="62"/>
  <c r="BQ169" i="27" l="1"/>
  <c r="BP106" i="27"/>
  <c r="BR161" i="27"/>
  <c r="AJ109" i="62"/>
  <c r="AM41" i="48"/>
  <c r="AM162" i="27" s="1"/>
  <c r="AM170" i="27" s="1"/>
  <c r="BR169" i="27" l="1"/>
  <c r="BR164" i="27"/>
  <c r="BQ106" i="27"/>
  <c r="BS161" i="27"/>
  <c r="AM32" i="48"/>
  <c r="AJ109" i="66"/>
  <c r="AJ139" i="65"/>
  <c r="AJ140" i="65"/>
  <c r="AN41" i="48"/>
  <c r="AN162" i="27" s="1"/>
  <c r="AN170" i="27" s="1"/>
  <c r="BS169" i="27" l="1"/>
  <c r="BS164" i="27"/>
  <c r="BR106" i="27"/>
  <c r="AN32" i="48"/>
  <c r="BT161" i="27"/>
  <c r="AJ137" i="65"/>
  <c r="AO41" i="48"/>
  <c r="AO162" i="27" s="1"/>
  <c r="AO170" i="27" s="1"/>
  <c r="BT169" i="27" l="1"/>
  <c r="BT164" i="27"/>
  <c r="BS106" i="27"/>
  <c r="BU161" i="27"/>
  <c r="AO32" i="48"/>
  <c r="AJ109" i="65"/>
  <c r="AP41" i="48"/>
  <c r="AP162" i="27" s="1"/>
  <c r="AP170" i="27" s="1"/>
  <c r="BU169" i="27" l="1"/>
  <c r="BU164" i="27"/>
  <c r="BT106" i="27"/>
  <c r="AP32" i="48"/>
  <c r="BV161" i="27"/>
  <c r="AQ41" i="48"/>
  <c r="AQ162" i="27" s="1"/>
  <c r="AQ170" i="27" s="1"/>
  <c r="BV169" i="27" l="1"/>
  <c r="BV164" i="27"/>
  <c r="BU106" i="27"/>
  <c r="AQ32" i="48"/>
  <c r="BW161" i="27"/>
  <c r="AK140" i="62"/>
  <c r="AK139" i="62"/>
  <c r="AR41" i="48"/>
  <c r="AR162" i="27" s="1"/>
  <c r="AR170" i="27" s="1"/>
  <c r="BW169" i="27" l="1"/>
  <c r="BW164" i="27"/>
  <c r="BV106" i="27"/>
  <c r="AR32" i="48"/>
  <c r="BX161" i="27"/>
  <c r="AK137" i="62"/>
  <c r="AS41" i="48"/>
  <c r="AS162" i="27" s="1"/>
  <c r="AS170" i="27" s="1"/>
  <c r="BX169" i="27" l="1"/>
  <c r="BX164" i="27"/>
  <c r="BW106" i="27"/>
  <c r="BY161" i="27"/>
  <c r="AS32" i="48"/>
  <c r="AK109" i="62"/>
  <c r="AT41" i="48"/>
  <c r="AT162" i="27" s="1"/>
  <c r="AT170" i="27" s="1"/>
  <c r="BY169" i="27" l="1"/>
  <c r="BY164" i="27"/>
  <c r="BX106" i="27"/>
  <c r="BZ161" i="27"/>
  <c r="AT32" i="48"/>
  <c r="AK109" i="66"/>
  <c r="AK139" i="65"/>
  <c r="AK140" i="65"/>
  <c r="AU41" i="48"/>
  <c r="AU162" i="27" s="1"/>
  <c r="AU170" i="27" s="1"/>
  <c r="BZ169" i="27" l="1"/>
  <c r="BZ164" i="27"/>
  <c r="BY106" i="27"/>
  <c r="CA161" i="27"/>
  <c r="AU32" i="48"/>
  <c r="AK137" i="65"/>
  <c r="AV41" i="48"/>
  <c r="AV162" i="27" s="1"/>
  <c r="AV170" i="27" s="1"/>
  <c r="CA169" i="27" l="1"/>
  <c r="CA164" i="27"/>
  <c r="BZ106" i="27"/>
  <c r="CB161" i="27"/>
  <c r="AV32" i="48"/>
  <c r="AK109" i="65"/>
  <c r="AW41" i="48"/>
  <c r="AW162" i="27" s="1"/>
  <c r="AW170" i="27" s="1"/>
  <c r="CB169" i="27" l="1"/>
  <c r="CB164" i="27"/>
  <c r="CA106" i="27"/>
  <c r="AW32" i="48"/>
  <c r="CC161" i="27"/>
  <c r="AX41" i="48"/>
  <c r="AX162" i="27" s="1"/>
  <c r="AX170" i="27" s="1"/>
  <c r="CC169" i="27" l="1"/>
  <c r="CC164" i="27"/>
  <c r="CB106" i="27"/>
  <c r="AX32" i="48"/>
  <c r="AX108" i="48" s="1"/>
  <c r="CD161" i="27"/>
  <c r="AL140" i="62"/>
  <c r="AL139" i="62"/>
  <c r="AY41" i="48"/>
  <c r="AY162" i="27" s="1"/>
  <c r="AY170" i="27" s="1"/>
  <c r="CD169" i="27" l="1"/>
  <c r="CD164" i="27"/>
  <c r="CC106" i="27"/>
  <c r="AY32" i="48"/>
  <c r="AY108" i="48" s="1"/>
  <c r="CE161" i="27"/>
  <c r="AL137" i="62"/>
  <c r="AZ41" i="48"/>
  <c r="AZ162" i="27" s="1"/>
  <c r="AZ170" i="27" s="1"/>
  <c r="CE169" i="27" l="1"/>
  <c r="CE164" i="27"/>
  <c r="CD106" i="27"/>
  <c r="AZ32" i="48"/>
  <c r="CF161" i="27"/>
  <c r="AL109" i="62"/>
  <c r="AL109" i="66"/>
  <c r="BA41" i="48"/>
  <c r="BA162" i="27" s="1"/>
  <c r="BA170" i="27" s="1"/>
  <c r="CF164" i="27" l="1"/>
  <c r="CF169" i="27"/>
  <c r="CE106" i="27"/>
  <c r="BA32" i="48"/>
  <c r="CG161" i="27"/>
  <c r="CG164" i="27" s="1"/>
  <c r="AL139" i="65"/>
  <c r="AL140" i="65"/>
  <c r="BB41" i="48"/>
  <c r="BB162" i="27" s="1"/>
  <c r="BB170" i="27" l="1"/>
  <c r="CG169" i="27"/>
  <c r="CF106" i="27"/>
  <c r="CH161" i="27"/>
  <c r="BC41" i="48"/>
  <c r="BC162" i="27" s="1"/>
  <c r="BC170" i="27" s="1"/>
  <c r="BB32" i="48"/>
  <c r="AL137" i="65"/>
  <c r="CH169" i="27" l="1"/>
  <c r="CH164" i="27"/>
  <c r="CG106" i="27"/>
  <c r="BC32" i="48"/>
  <c r="CI161" i="27"/>
  <c r="AL109" i="65"/>
  <c r="BD41" i="48"/>
  <c r="BD32" i="48" l="1"/>
  <c r="BD162" i="27"/>
  <c r="BD170" i="27" s="1"/>
  <c r="CI169" i="27"/>
  <c r="CI164" i="27"/>
  <c r="CH106" i="27"/>
  <c r="CJ161" i="27"/>
  <c r="BE41" i="48"/>
  <c r="CJ169" i="27" l="1"/>
  <c r="CJ164" i="27"/>
  <c r="BE32" i="48"/>
  <c r="BE162" i="27"/>
  <c r="BE170" i="27" s="1"/>
  <c r="CI106" i="27"/>
  <c r="CK161" i="27"/>
  <c r="AM140" i="62"/>
  <c r="AM139" i="62"/>
  <c r="BF41" i="48"/>
  <c r="CK169" i="27" l="1"/>
  <c r="CK164" i="27"/>
  <c r="BF32" i="48"/>
  <c r="BF162" i="27"/>
  <c r="BF170" i="27" s="1"/>
  <c r="CJ106" i="27"/>
  <c r="CL161" i="27"/>
  <c r="AM137" i="62"/>
  <c r="BG41" i="48"/>
  <c r="BG162" i="27" s="1"/>
  <c r="BG170" i="27" s="1"/>
  <c r="CL169" i="27" l="1"/>
  <c r="CL164" i="27"/>
  <c r="CK106" i="27"/>
  <c r="CM161" i="27"/>
  <c r="AM109" i="62"/>
  <c r="BH41" i="48"/>
  <c r="BG32" i="48"/>
  <c r="AM109" i="66"/>
  <c r="CM169" i="27" l="1"/>
  <c r="CM164" i="27"/>
  <c r="BH32" i="48"/>
  <c r="BH162" i="27"/>
  <c r="BH170" i="27" s="1"/>
  <c r="CL106" i="27"/>
  <c r="CN161" i="27"/>
  <c r="AM139" i="65"/>
  <c r="AM140" i="65"/>
  <c r="BI41" i="48"/>
  <c r="CN169" i="27" l="1"/>
  <c r="CN164" i="27"/>
  <c r="BI32" i="48"/>
  <c r="BI162" i="27"/>
  <c r="CM106" i="27"/>
  <c r="CO161" i="27"/>
  <c r="AM137" i="65"/>
  <c r="BJ170" i="27" l="1"/>
  <c r="BI170" i="27"/>
  <c r="CO169" i="27"/>
  <c r="CO164" i="27"/>
  <c r="CN106" i="27"/>
  <c r="CP161" i="27"/>
  <c r="AM109" i="65"/>
  <c r="CP169" i="27" l="1"/>
  <c r="CP164" i="27"/>
  <c r="CO106" i="27"/>
  <c r="CQ161" i="27"/>
  <c r="CQ169" i="27" l="1"/>
  <c r="CQ164" i="27"/>
  <c r="CP106" i="27"/>
  <c r="CR161" i="27"/>
  <c r="AN140" i="62"/>
  <c r="AN139" i="62"/>
  <c r="CR169" i="27" l="1"/>
  <c r="CR164" i="27"/>
  <c r="CQ106" i="27"/>
  <c r="CS161" i="27"/>
  <c r="AN137" i="62"/>
  <c r="AN109" i="66"/>
  <c r="CS169" i="27" l="1"/>
  <c r="CS164" i="27"/>
  <c r="CR106" i="27"/>
  <c r="CT161" i="27"/>
  <c r="AN109" i="62"/>
  <c r="CT169" i="27" l="1"/>
  <c r="CT164" i="27"/>
  <c r="CS106" i="27"/>
  <c r="CU161" i="27"/>
  <c r="AN139" i="65"/>
  <c r="AN140" i="65"/>
  <c r="CU169" i="27" l="1"/>
  <c r="CU164" i="27"/>
  <c r="CT106" i="27"/>
  <c r="CV161" i="27"/>
  <c r="AN137" i="65"/>
  <c r="CV169" i="27" l="1"/>
  <c r="CV164" i="27"/>
  <c r="CU106" i="27"/>
  <c r="AN109" i="65"/>
  <c r="CV106" i="27" l="1"/>
  <c r="CW106" i="27" l="1"/>
  <c r="AO140" i="62"/>
  <c r="AO139" i="62"/>
  <c r="CX106" i="27" l="1"/>
  <c r="AO137" i="62"/>
  <c r="AO109" i="66"/>
  <c r="CY106" i="27" l="1"/>
  <c r="AO109" i="62"/>
  <c r="AO139" i="65"/>
  <c r="AO140" i="65"/>
  <c r="CZ106" i="27" l="1"/>
  <c r="AO137" i="65"/>
  <c r="DA106" i="27" l="1"/>
  <c r="AO109" i="65"/>
  <c r="DB106" i="27" l="1"/>
  <c r="DC106" i="27" l="1"/>
  <c r="AP140" i="62"/>
  <c r="AP139" i="62"/>
  <c r="DD106" i="27" l="1"/>
  <c r="AP137" i="62"/>
  <c r="DE106" i="27" l="1"/>
  <c r="AP109" i="62"/>
  <c r="AP109" i="66"/>
  <c r="DF106" i="27" l="1"/>
  <c r="AP139" i="65"/>
  <c r="AP140" i="65"/>
  <c r="DG106" i="27" l="1"/>
  <c r="AP137" i="65"/>
  <c r="DH106" i="27" l="1"/>
  <c r="AP109" i="65"/>
  <c r="DI106" i="27" l="1"/>
  <c r="DJ106" i="27" l="1"/>
  <c r="AQ140" i="62"/>
  <c r="AQ139" i="62"/>
  <c r="DK106" i="27" l="1"/>
  <c r="AQ137" i="62"/>
  <c r="DL106" i="27" l="1"/>
  <c r="AQ109" i="62"/>
  <c r="AQ109" i="66"/>
  <c r="AQ139" i="65"/>
  <c r="AQ140" i="65"/>
  <c r="DM106" i="27" l="1"/>
  <c r="AQ137" i="65"/>
  <c r="DN106" i="27" l="1"/>
  <c r="AQ109" i="65"/>
  <c r="DO106" i="27" l="1"/>
  <c r="DP106" i="27" l="1"/>
  <c r="DQ106" i="27" l="1"/>
  <c r="AR140" i="62"/>
  <c r="AR139" i="62"/>
  <c r="DR106" i="27" l="1"/>
  <c r="AR137" i="62"/>
  <c r="DT106" i="27" l="1"/>
  <c r="DS106" i="27"/>
  <c r="AR109" i="62"/>
  <c r="AR109" i="66"/>
  <c r="AR139" i="65"/>
  <c r="AR140" i="65"/>
  <c r="AR137" i="65" l="1"/>
  <c r="AR109" i="65" l="1"/>
  <c r="AS140" i="62" l="1"/>
  <c r="AS139" i="62"/>
  <c r="AS137" i="62" l="1"/>
  <c r="AS109" i="62" l="1"/>
  <c r="AS109" i="66"/>
  <c r="AS139" i="65"/>
  <c r="AS140" i="65"/>
  <c r="AS137" i="65" l="1"/>
  <c r="AS109" i="65" l="1"/>
  <c r="AT140" i="62" l="1"/>
  <c r="AT139" i="62"/>
  <c r="AT137" i="62" l="1"/>
  <c r="AT109" i="62" l="1"/>
  <c r="AT109" i="66" l="1"/>
  <c r="AT139" i="65"/>
  <c r="AT140" i="65"/>
  <c r="AT137" i="65" l="1"/>
  <c r="AT109" i="65" l="1"/>
  <c r="AU140" i="62" l="1"/>
  <c r="AU139" i="62"/>
  <c r="AU137" i="62" l="1"/>
  <c r="AU109" i="62" l="1"/>
  <c r="AU109" i="66"/>
  <c r="AU139" i="65" l="1"/>
  <c r="AU140" i="65"/>
  <c r="AU137" i="65" l="1"/>
  <c r="AU109" i="65" l="1"/>
  <c r="AV140" i="62" l="1"/>
  <c r="AV139" i="62"/>
  <c r="AV137" i="62" l="1"/>
  <c r="AV109" i="66"/>
  <c r="AV109" i="62" l="1"/>
  <c r="AV139" i="65" l="1"/>
  <c r="AV140" i="65"/>
  <c r="AV137" i="65" l="1"/>
  <c r="AV109" i="65" l="1"/>
  <c r="U54" i="48"/>
  <c r="V54" i="48" l="1"/>
  <c r="AW140" i="62" l="1"/>
  <c r="AW139" i="62"/>
  <c r="AW109" i="66"/>
  <c r="W54" i="48"/>
  <c r="AW137" i="62" l="1"/>
  <c r="X54" i="48"/>
  <c r="AW109" i="62" l="1"/>
  <c r="Y54" i="48"/>
  <c r="AW139" i="65" l="1"/>
  <c r="AW140" i="65"/>
  <c r="Z54" i="48"/>
  <c r="AW137" i="65" l="1"/>
  <c r="AA54" i="48"/>
  <c r="AW109" i="65" l="1"/>
  <c r="AB54" i="48"/>
  <c r="AX109" i="66" l="1"/>
  <c r="AC54" i="48"/>
  <c r="AD54" i="48"/>
  <c r="AX140" i="62" l="1"/>
  <c r="AX139" i="62"/>
  <c r="AE54" i="48"/>
  <c r="AX137" i="62" l="1"/>
  <c r="AF54" i="48"/>
  <c r="AX109" i="62" l="1"/>
  <c r="AX139" i="65"/>
  <c r="AX140" i="65"/>
  <c r="AG54" i="48"/>
  <c r="AX137" i="65" l="1"/>
  <c r="AH54" i="48"/>
  <c r="AX109" i="65" l="1"/>
  <c r="AI54" i="48"/>
  <c r="AJ54" i="48" l="1"/>
  <c r="AY109" i="66" l="1"/>
  <c r="AK54" i="48"/>
  <c r="AY140" i="62" l="1"/>
  <c r="AY139" i="62"/>
  <c r="AL54" i="48"/>
  <c r="AY137" i="62" l="1"/>
  <c r="AY139" i="65"/>
  <c r="AY140" i="65"/>
  <c r="AM54" i="48"/>
  <c r="AY109" i="62" l="1"/>
  <c r="AY137" i="65"/>
  <c r="AN54" i="48"/>
  <c r="AY109" i="65" l="1"/>
  <c r="AO54" i="48"/>
  <c r="AP54" i="48" l="1"/>
  <c r="AQ54" i="48"/>
  <c r="AZ109" i="66" l="1"/>
  <c r="AR54" i="48"/>
  <c r="AS54" i="48" l="1"/>
  <c r="AZ140" i="62" l="1"/>
  <c r="AZ139" i="62"/>
  <c r="AT54" i="48"/>
  <c r="AZ137" i="62" l="1"/>
  <c r="AZ139" i="65"/>
  <c r="AZ140" i="65"/>
  <c r="AU54" i="48"/>
  <c r="AZ109" i="62" l="1"/>
  <c r="AZ137" i="65"/>
  <c r="AV54" i="48"/>
  <c r="AZ109" i="65" l="1"/>
  <c r="AW54" i="48"/>
  <c r="AX54" i="48" l="1"/>
  <c r="BA109" i="66" l="1"/>
  <c r="AY54" i="48"/>
  <c r="AZ54" i="48" l="1"/>
  <c r="BA140" i="62" l="1"/>
  <c r="BA139" i="62"/>
  <c r="BA54" i="48"/>
  <c r="BB54" i="48"/>
  <c r="BA137" i="62" l="1"/>
  <c r="BA139" i="65"/>
  <c r="BA140" i="65"/>
  <c r="BC54" i="48"/>
  <c r="BA109" i="62" l="1"/>
  <c r="BA137" i="65"/>
  <c r="BD54" i="48"/>
  <c r="BA109" i="65" l="1"/>
  <c r="BE54" i="48"/>
  <c r="BF54" i="48" l="1"/>
  <c r="BB109" i="66" l="1"/>
  <c r="BG54" i="48"/>
  <c r="BH54" i="48" l="1"/>
  <c r="BI54" i="48"/>
  <c r="BB140" i="62" l="1"/>
  <c r="BB139" i="62"/>
  <c r="BB137" i="62" l="1"/>
  <c r="BB139" i="65"/>
  <c r="BB140" i="65"/>
  <c r="BB109" i="62" l="1"/>
  <c r="BB137" i="65"/>
  <c r="BB109" i="65" l="1"/>
  <c r="BC109" i="66" l="1"/>
  <c r="BC140" i="62" l="1"/>
  <c r="BC139" i="62"/>
  <c r="BC139" i="65"/>
  <c r="BC140" i="65"/>
  <c r="BC137" i="62" l="1"/>
  <c r="BC137" i="65"/>
  <c r="BC109" i="62" l="1"/>
  <c r="BC109" i="65"/>
  <c r="BD109" i="66" l="1"/>
  <c r="BD139" i="65" l="1"/>
  <c r="BD140" i="65"/>
  <c r="BD140" i="62" l="1"/>
  <c r="BD139" i="62"/>
  <c r="BD137" i="65"/>
  <c r="BD137" i="62" l="1"/>
  <c r="BD109" i="65"/>
  <c r="BD109" i="62" l="1"/>
  <c r="BE139" i="65" l="1"/>
  <c r="BE140" i="65"/>
  <c r="BE109" i="66"/>
  <c r="BE137" i="65" l="1"/>
  <c r="BE140" i="62" l="1"/>
  <c r="BE139" i="62"/>
  <c r="BE109" i="65"/>
  <c r="BE137" i="62" l="1"/>
  <c r="BE109" i="62" l="1"/>
  <c r="BF109" i="66" l="1"/>
  <c r="BF139" i="65" l="1"/>
  <c r="BF140" i="65"/>
  <c r="BF137" i="65" l="1"/>
  <c r="BF140" i="62" l="1"/>
  <c r="BF139" i="62"/>
  <c r="BF109" i="65"/>
  <c r="BF137" i="62" l="1"/>
  <c r="BF109" i="62" l="1"/>
  <c r="BG109" i="66" l="1"/>
  <c r="BG139" i="65" l="1"/>
  <c r="BG140" i="65"/>
  <c r="BG140" i="62" l="1"/>
  <c r="BG139" i="62"/>
  <c r="BG137" i="65"/>
  <c r="BG137" i="62" l="1"/>
  <c r="BG109" i="65"/>
  <c r="BG109" i="62" l="1"/>
  <c r="BH109" i="66" l="1"/>
  <c r="BH139" i="65" l="1"/>
  <c r="BH140" i="65"/>
  <c r="BH140" i="62" l="1"/>
  <c r="BH139" i="62"/>
  <c r="BH137" i="65"/>
  <c r="BH137" i="62" l="1"/>
  <c r="BH109" i="65"/>
  <c r="BH109" i="62" l="1"/>
  <c r="BI109" i="66" l="1"/>
  <c r="BI139" i="65" l="1"/>
  <c r="BI140" i="65"/>
  <c r="BI140" i="62" l="1"/>
  <c r="BI139" i="62"/>
  <c r="BI137" i="65"/>
  <c r="BI137" i="62" l="1"/>
  <c r="BI109" i="65"/>
  <c r="BI109" i="62" l="1"/>
  <c r="B22" i="48" l="1"/>
  <c r="B22" i="70" l="1"/>
  <c r="B22" i="66"/>
  <c r="B22" i="65"/>
  <c r="B22" i="63"/>
  <c r="B22" i="62"/>
  <c r="B108" i="27"/>
  <c r="B15" i="48" l="1"/>
  <c r="C18" i="48" l="1"/>
  <c r="B15" i="66"/>
  <c r="B15" i="63"/>
  <c r="B15" i="62"/>
  <c r="C15" i="48"/>
  <c r="C15" i="62" l="1"/>
  <c r="C18" i="62"/>
  <c r="B120" i="62"/>
  <c r="C15" i="63"/>
  <c r="C18" i="63"/>
  <c r="B120" i="63"/>
  <c r="C15" i="66"/>
  <c r="C18" i="66"/>
  <c r="B120" i="66"/>
  <c r="D18" i="48"/>
  <c r="D15" i="48"/>
  <c r="D18" i="66" l="1"/>
  <c r="D153" i="66" s="1"/>
  <c r="C153" i="66"/>
  <c r="D15" i="63"/>
  <c r="C120" i="63"/>
  <c r="D15" i="66"/>
  <c r="C120" i="66"/>
  <c r="D18" i="62"/>
  <c r="D153" i="62" s="1"/>
  <c r="C153" i="62"/>
  <c r="D18" i="63"/>
  <c r="C153" i="63"/>
  <c r="D15" i="62"/>
  <c r="C120" i="62"/>
  <c r="E15" i="48"/>
  <c r="E18" i="63" l="1"/>
  <c r="E153" i="63" s="1"/>
  <c r="E15" i="62"/>
  <c r="D120" i="62"/>
  <c r="E15" i="66"/>
  <c r="D120" i="66"/>
  <c r="D153" i="63"/>
  <c r="E18" i="62"/>
  <c r="E15" i="63"/>
  <c r="D120" i="63"/>
  <c r="E18" i="66"/>
  <c r="F15" i="48"/>
  <c r="F18" i="66" l="1"/>
  <c r="F153" i="66" s="1"/>
  <c r="F18" i="62"/>
  <c r="F15" i="62"/>
  <c r="E120" i="62"/>
  <c r="F15" i="63"/>
  <c r="E120" i="63"/>
  <c r="E153" i="66"/>
  <c r="E153" i="62"/>
  <c r="F15" i="66"/>
  <c r="E120" i="66"/>
  <c r="F18" i="63"/>
  <c r="F153" i="63" s="1"/>
  <c r="G15" i="48"/>
  <c r="G15" i="66" l="1"/>
  <c r="F120" i="66"/>
  <c r="G15" i="63"/>
  <c r="F120" i="63"/>
  <c r="G18" i="62"/>
  <c r="G153" i="62" s="1"/>
  <c r="G18" i="63"/>
  <c r="G153" i="63" s="1"/>
  <c r="G15" i="62"/>
  <c r="F120" i="62"/>
  <c r="F153" i="62"/>
  <c r="G18" i="66"/>
  <c r="H15" i="48"/>
  <c r="H18" i="66" l="1"/>
  <c r="H153" i="66"/>
  <c r="H18" i="63"/>
  <c r="H153" i="63" s="1"/>
  <c r="H15" i="63"/>
  <c r="G120" i="63"/>
  <c r="G153" i="66"/>
  <c r="H15" i="62"/>
  <c r="G120" i="62"/>
  <c r="H18" i="62"/>
  <c r="H153" i="62" s="1"/>
  <c r="H15" i="66"/>
  <c r="G120" i="66"/>
  <c r="I15" i="48"/>
  <c r="I15" i="66" l="1"/>
  <c r="H120" i="66"/>
  <c r="I15" i="62"/>
  <c r="H120" i="62"/>
  <c r="I18" i="63"/>
  <c r="I153" i="63" s="1"/>
  <c r="I18" i="62"/>
  <c r="I153" i="62" s="1"/>
  <c r="I15" i="63"/>
  <c r="H120" i="63"/>
  <c r="I18" i="66"/>
  <c r="I153" i="66" s="1"/>
  <c r="J15" i="48"/>
  <c r="J18" i="62" l="1"/>
  <c r="J153" i="62" s="1"/>
  <c r="J15" i="62"/>
  <c r="I120" i="62"/>
  <c r="J18" i="66"/>
  <c r="J153" i="66" s="1"/>
  <c r="J15" i="63"/>
  <c r="I120" i="63"/>
  <c r="J18" i="63"/>
  <c r="J153" i="63" s="1"/>
  <c r="J15" i="66"/>
  <c r="I120" i="66"/>
  <c r="K15" i="48"/>
  <c r="K15" i="66" l="1"/>
  <c r="J120" i="66"/>
  <c r="K15" i="63"/>
  <c r="J120" i="63"/>
  <c r="K15" i="62"/>
  <c r="J120" i="62"/>
  <c r="K18" i="63"/>
  <c r="K153" i="63" s="1"/>
  <c r="K18" i="66"/>
  <c r="K153" i="66" s="1"/>
  <c r="K18" i="62"/>
  <c r="L15" i="48"/>
  <c r="L18" i="62" l="1"/>
  <c r="L153" i="62" s="1"/>
  <c r="L18" i="63"/>
  <c r="L153" i="63" s="1"/>
  <c r="L15" i="63"/>
  <c r="K120" i="63"/>
  <c r="K153" i="62"/>
  <c r="L18" i="66"/>
  <c r="L15" i="62"/>
  <c r="K120" i="62"/>
  <c r="L15" i="66"/>
  <c r="K120" i="66"/>
  <c r="M15" i="48"/>
  <c r="M18" i="66" l="1"/>
  <c r="M153" i="66" s="1"/>
  <c r="M15" i="62"/>
  <c r="L120" i="62"/>
  <c r="M18" i="63"/>
  <c r="M153" i="63" s="1"/>
  <c r="M15" i="66"/>
  <c r="L120" i="66"/>
  <c r="L153" i="66"/>
  <c r="M15" i="63"/>
  <c r="L120" i="63"/>
  <c r="M18" i="62"/>
  <c r="M153" i="62" s="1"/>
  <c r="N15" i="48"/>
  <c r="N15" i="66" l="1"/>
  <c r="M120" i="66"/>
  <c r="N15" i="62"/>
  <c r="M120" i="62"/>
  <c r="N15" i="63"/>
  <c r="M120" i="63"/>
  <c r="N18" i="63"/>
  <c r="N153" i="63" s="1"/>
  <c r="N18" i="62"/>
  <c r="N153" i="62" s="1"/>
  <c r="N18" i="66"/>
  <c r="N153" i="66" s="1"/>
  <c r="O15" i="48"/>
  <c r="O18" i="66" l="1"/>
  <c r="O153" i="66"/>
  <c r="O18" i="63"/>
  <c r="O153" i="63" s="1"/>
  <c r="O15" i="62"/>
  <c r="N120" i="62"/>
  <c r="O18" i="62"/>
  <c r="O153" i="62" s="1"/>
  <c r="O15" i="63"/>
  <c r="N120" i="63"/>
  <c r="O15" i="66"/>
  <c r="N120" i="66"/>
  <c r="P15" i="48"/>
  <c r="P15" i="66" l="1"/>
  <c r="O120" i="66"/>
  <c r="P18" i="62"/>
  <c r="P153" i="62" s="1"/>
  <c r="P18" i="63"/>
  <c r="P153" i="63" s="1"/>
  <c r="P15" i="63"/>
  <c r="O120" i="63"/>
  <c r="P15" i="62"/>
  <c r="O120" i="62"/>
  <c r="P18" i="66"/>
  <c r="P153" i="66" s="1"/>
  <c r="Q15" i="48"/>
  <c r="Q18" i="66" l="1"/>
  <c r="Q153" i="66" s="1"/>
  <c r="Q15" i="63"/>
  <c r="P120" i="63"/>
  <c r="Q18" i="62"/>
  <c r="Q153" i="62" s="1"/>
  <c r="Q15" i="62"/>
  <c r="P120" i="62"/>
  <c r="Q18" i="63"/>
  <c r="Q153" i="63" s="1"/>
  <c r="Q15" i="66"/>
  <c r="P120" i="66"/>
  <c r="R15" i="48"/>
  <c r="R15" i="66" l="1"/>
  <c r="Q120" i="66"/>
  <c r="R15" i="62"/>
  <c r="Q120" i="62"/>
  <c r="R15" i="63"/>
  <c r="Q120" i="63"/>
  <c r="R18" i="63"/>
  <c r="R153" i="63" s="1"/>
  <c r="R18" i="62"/>
  <c r="R153" i="62" s="1"/>
  <c r="R18" i="66"/>
  <c r="R153" i="66" s="1"/>
  <c r="S15" i="48"/>
  <c r="S18" i="66" l="1"/>
  <c r="S153" i="66" s="1"/>
  <c r="S18" i="63"/>
  <c r="S15" i="62"/>
  <c r="R120" i="62"/>
  <c r="S18" i="62"/>
  <c r="S15" i="63"/>
  <c r="R120" i="63"/>
  <c r="S15" i="66"/>
  <c r="R120" i="66"/>
  <c r="T15" i="48"/>
  <c r="T15" i="66" l="1"/>
  <c r="S120" i="66"/>
  <c r="T18" i="62"/>
  <c r="T153" i="62" s="1"/>
  <c r="T18" i="63"/>
  <c r="T153" i="63" s="1"/>
  <c r="T15" i="63"/>
  <c r="S120" i="63"/>
  <c r="T15" i="62"/>
  <c r="S120" i="62"/>
  <c r="S153" i="62"/>
  <c r="S153" i="63"/>
  <c r="T18" i="66"/>
  <c r="T153" i="66" s="1"/>
  <c r="U15" i="48"/>
  <c r="U15" i="63" l="1"/>
  <c r="T120" i="63"/>
  <c r="U18" i="62"/>
  <c r="U153" i="62" s="1"/>
  <c r="U18" i="66"/>
  <c r="U153" i="66" s="1"/>
  <c r="U15" i="62"/>
  <c r="T120" i="62"/>
  <c r="U18" i="63"/>
  <c r="U153" i="63" s="1"/>
  <c r="U15" i="66"/>
  <c r="T120" i="66"/>
  <c r="V15" i="48"/>
  <c r="V15" i="66" l="1"/>
  <c r="U120" i="66"/>
  <c r="V15" i="62"/>
  <c r="U120" i="62"/>
  <c r="V18" i="62"/>
  <c r="V153" i="62" s="1"/>
  <c r="V18" i="63"/>
  <c r="V153" i="63" s="1"/>
  <c r="V18" i="66"/>
  <c r="V153" i="66" s="1"/>
  <c r="V15" i="63"/>
  <c r="U120" i="63"/>
  <c r="W15" i="48"/>
  <c r="W15" i="63" l="1"/>
  <c r="V120" i="63"/>
  <c r="W18" i="63"/>
  <c r="W153" i="63" s="1"/>
  <c r="W15" i="62"/>
  <c r="V120" i="62"/>
  <c r="W18" i="66"/>
  <c r="W153" i="66" s="1"/>
  <c r="W18" i="62"/>
  <c r="W153" i="62" s="1"/>
  <c r="W15" i="66"/>
  <c r="V120" i="66"/>
  <c r="X15" i="48"/>
  <c r="X15" i="66" l="1"/>
  <c r="W120" i="66"/>
  <c r="X18" i="66"/>
  <c r="X153" i="66" s="1"/>
  <c r="X18" i="63"/>
  <c r="X153" i="63" s="1"/>
  <c r="X18" i="62"/>
  <c r="X15" i="62"/>
  <c r="W120" i="62"/>
  <c r="X15" i="63"/>
  <c r="W120" i="63"/>
  <c r="Y15" i="48"/>
  <c r="Y15" i="63" l="1"/>
  <c r="X120" i="63"/>
  <c r="Y18" i="62"/>
  <c r="Y153" i="62" s="1"/>
  <c r="Y18" i="66"/>
  <c r="Y153" i="66" s="1"/>
  <c r="Y15" i="62"/>
  <c r="X120" i="62"/>
  <c r="Y18" i="63"/>
  <c r="Y153" i="63" s="1"/>
  <c r="X153" i="62"/>
  <c r="Y15" i="66"/>
  <c r="X120" i="66"/>
  <c r="Z15" i="48"/>
  <c r="Z15" i="66" l="1"/>
  <c r="Y120" i="66"/>
  <c r="Z15" i="62"/>
  <c r="Y120" i="62"/>
  <c r="Z18" i="62"/>
  <c r="Z153" i="62" s="1"/>
  <c r="Z18" i="63"/>
  <c r="Z153" i="63" s="1"/>
  <c r="Z18" i="66"/>
  <c r="Z153" i="66" s="1"/>
  <c r="Z15" i="63"/>
  <c r="Y120" i="63"/>
  <c r="AA15" i="48"/>
  <c r="AA15" i="63" l="1"/>
  <c r="Z120" i="63"/>
  <c r="AA18" i="63"/>
  <c r="AA153" i="63" s="1"/>
  <c r="AA15" i="62"/>
  <c r="Z120" i="62"/>
  <c r="AA18" i="66"/>
  <c r="AA153" i="66" s="1"/>
  <c r="AA18" i="62"/>
  <c r="AA153" i="62" s="1"/>
  <c r="AA15" i="66"/>
  <c r="Z120" i="66"/>
  <c r="AB15" i="48"/>
  <c r="AB15" i="66" l="1"/>
  <c r="AA120" i="66"/>
  <c r="AB18" i="66"/>
  <c r="AB153" i="66" s="1"/>
  <c r="AB18" i="63"/>
  <c r="AB153" i="63" s="1"/>
  <c r="AB18" i="62"/>
  <c r="AB15" i="62"/>
  <c r="AA120" i="62"/>
  <c r="AB15" i="63"/>
  <c r="AA120" i="63"/>
  <c r="AB119" i="48"/>
  <c r="AC15" i="48"/>
  <c r="AC15" i="63" l="1"/>
  <c r="AB120" i="63"/>
  <c r="AC18" i="62"/>
  <c r="AC153" i="62" s="1"/>
  <c r="AC18" i="66"/>
  <c r="AC153" i="66" s="1"/>
  <c r="AC15" i="62"/>
  <c r="AB120" i="62"/>
  <c r="AC18" i="63"/>
  <c r="AC153" i="63" s="1"/>
  <c r="AB153" i="62"/>
  <c r="AC15" i="66"/>
  <c r="AB120" i="66"/>
  <c r="AD15" i="48"/>
  <c r="AD15" i="62" l="1"/>
  <c r="AC120" i="62"/>
  <c r="AD18" i="62"/>
  <c r="AD153" i="62" s="1"/>
  <c r="AD18" i="63"/>
  <c r="AD153" i="63" s="1"/>
  <c r="AD15" i="66"/>
  <c r="AC120" i="66"/>
  <c r="AD18" i="66"/>
  <c r="AD153" i="66" s="1"/>
  <c r="AD15" i="63"/>
  <c r="AC120" i="63"/>
  <c r="AE15" i="48"/>
  <c r="AE15" i="63" l="1"/>
  <c r="AD120" i="63"/>
  <c r="AE15" i="66"/>
  <c r="AD120" i="66"/>
  <c r="AE18" i="62"/>
  <c r="AE153" i="62" s="1"/>
  <c r="AE18" i="66"/>
  <c r="AE153" i="66" s="1"/>
  <c r="AE18" i="63"/>
  <c r="AE153" i="63" s="1"/>
  <c r="AE15" i="62"/>
  <c r="AD120" i="62"/>
  <c r="AF15" i="48"/>
  <c r="AF15" i="62" l="1"/>
  <c r="AE120" i="62"/>
  <c r="AF18" i="66"/>
  <c r="AF153" i="66" s="1"/>
  <c r="AF15" i="66"/>
  <c r="AE120" i="66"/>
  <c r="AF18" i="63"/>
  <c r="AF18" i="62"/>
  <c r="AF153" i="62" s="1"/>
  <c r="AF15" i="63"/>
  <c r="AE120" i="63"/>
  <c r="AG15" i="48"/>
  <c r="AG15" i="63" l="1"/>
  <c r="AF120" i="63"/>
  <c r="AG18" i="63"/>
  <c r="AG153" i="63" s="1"/>
  <c r="AG18" i="66"/>
  <c r="AG153" i="66" s="1"/>
  <c r="AG18" i="62"/>
  <c r="AG153" i="62" s="1"/>
  <c r="AG15" i="66"/>
  <c r="AF120" i="66"/>
  <c r="AF153" i="63"/>
  <c r="AG15" i="62"/>
  <c r="AF120" i="62"/>
  <c r="AH15" i="48"/>
  <c r="AH15" i="62" l="1"/>
  <c r="AG120" i="62"/>
  <c r="AH18" i="62"/>
  <c r="AH153" i="62" s="1"/>
  <c r="AH18" i="63"/>
  <c r="AH153" i="63" s="1"/>
  <c r="AH15" i="66"/>
  <c r="AG120" i="66"/>
  <c r="AH18" i="66"/>
  <c r="AH153" i="66" s="1"/>
  <c r="AH15" i="63"/>
  <c r="AG120" i="63"/>
  <c r="AI15" i="48"/>
  <c r="AI15" i="63" l="1"/>
  <c r="AH120" i="63"/>
  <c r="AI15" i="66"/>
  <c r="AH120" i="66"/>
  <c r="AI18" i="62"/>
  <c r="AI153" i="62" s="1"/>
  <c r="AI18" i="66"/>
  <c r="AI153" i="66" s="1"/>
  <c r="AI18" i="63"/>
  <c r="AI153" i="63" s="1"/>
  <c r="AI15" i="62"/>
  <c r="AH120" i="62"/>
  <c r="AJ15" i="48"/>
  <c r="AJ15" i="62" l="1"/>
  <c r="AI120" i="62"/>
  <c r="AJ18" i="66"/>
  <c r="AJ153" i="66" s="1"/>
  <c r="AJ15" i="66"/>
  <c r="AI120" i="66"/>
  <c r="AJ18" i="63"/>
  <c r="AJ18" i="62"/>
  <c r="AJ153" i="62" s="1"/>
  <c r="AJ15" i="63"/>
  <c r="AI120" i="63"/>
  <c r="AK15" i="48"/>
  <c r="AK15" i="63" l="1"/>
  <c r="AJ120" i="63"/>
  <c r="AK18" i="63"/>
  <c r="AK153" i="63" s="1"/>
  <c r="AK18" i="66"/>
  <c r="AK153" i="66" s="1"/>
  <c r="AK18" i="62"/>
  <c r="AK15" i="66"/>
  <c r="AJ120" i="66"/>
  <c r="AJ153" i="63"/>
  <c r="AK15" i="62"/>
  <c r="AJ120" i="62"/>
  <c r="AL15" i="48"/>
  <c r="AL18" i="62" l="1"/>
  <c r="AL153" i="62" s="1"/>
  <c r="AL18" i="63"/>
  <c r="AL153" i="63" s="1"/>
  <c r="AL15" i="66"/>
  <c r="AK120" i="66"/>
  <c r="AL15" i="62"/>
  <c r="AK120" i="62"/>
  <c r="AK153" i="62"/>
  <c r="AL18" i="66"/>
  <c r="AL153" i="66" s="1"/>
  <c r="AL15" i="63"/>
  <c r="AK120" i="63"/>
  <c r="AM15" i="48"/>
  <c r="AM15" i="62" l="1"/>
  <c r="AL120" i="62"/>
  <c r="AM18" i="63"/>
  <c r="AM153" i="63" s="1"/>
  <c r="AM18" i="66"/>
  <c r="AM153" i="66" s="1"/>
  <c r="AM15" i="63"/>
  <c r="AL120" i="63"/>
  <c r="AM15" i="66"/>
  <c r="AL120" i="66"/>
  <c r="AM18" i="62"/>
  <c r="AN15" i="48"/>
  <c r="AN18" i="62" l="1"/>
  <c r="AN153" i="62" s="1"/>
  <c r="AN15" i="63"/>
  <c r="AM120" i="63"/>
  <c r="AN18" i="63"/>
  <c r="AN153" i="63" s="1"/>
  <c r="AN15" i="66"/>
  <c r="AM120" i="66"/>
  <c r="AM153" i="62"/>
  <c r="AN18" i="66"/>
  <c r="AN153" i="66" s="1"/>
  <c r="AN15" i="62"/>
  <c r="AM120" i="62"/>
  <c r="AO15" i="48"/>
  <c r="AO15" i="66" l="1"/>
  <c r="AN120" i="66"/>
  <c r="AO15" i="63"/>
  <c r="AN120" i="63"/>
  <c r="AO18" i="66"/>
  <c r="AO153" i="66" s="1"/>
  <c r="AO15" i="62"/>
  <c r="AN120" i="62"/>
  <c r="AO18" i="63"/>
  <c r="AO153" i="63" s="1"/>
  <c r="AO18" i="62"/>
  <c r="AP15" i="48"/>
  <c r="AP18" i="62" l="1"/>
  <c r="AP153" i="62" s="1"/>
  <c r="AP15" i="62"/>
  <c r="AO120" i="62"/>
  <c r="AP15" i="63"/>
  <c r="AO120" i="63"/>
  <c r="AP18" i="63"/>
  <c r="AP153" i="63" s="1"/>
  <c r="AO153" i="62"/>
  <c r="AP18" i="66"/>
  <c r="AP153" i="66" s="1"/>
  <c r="AP15" i="66"/>
  <c r="AO120" i="66"/>
  <c r="AQ15" i="48"/>
  <c r="AQ18" i="63" l="1"/>
  <c r="AQ153" i="63" s="1"/>
  <c r="AQ15" i="62"/>
  <c r="AP120" i="62"/>
  <c r="AQ18" i="66"/>
  <c r="AQ153" i="66" s="1"/>
  <c r="AQ15" i="66"/>
  <c r="AP120" i="66"/>
  <c r="AQ15" i="63"/>
  <c r="AP120" i="63"/>
  <c r="AQ18" i="62"/>
  <c r="AQ153" i="62" s="1"/>
  <c r="AR15" i="48"/>
  <c r="AR18" i="62" l="1"/>
  <c r="AR153" i="62" s="1"/>
  <c r="AR15" i="66"/>
  <c r="AQ120" i="66"/>
  <c r="AR15" i="62"/>
  <c r="AQ120" i="62"/>
  <c r="AR15" i="63"/>
  <c r="AQ120" i="63"/>
  <c r="AR18" i="66"/>
  <c r="AR153" i="66" s="1"/>
  <c r="AR18" i="63"/>
  <c r="AS15" i="48"/>
  <c r="AS18" i="63" l="1"/>
  <c r="AS153" i="63" s="1"/>
  <c r="AS15" i="63"/>
  <c r="AR120" i="63"/>
  <c r="AS15" i="66"/>
  <c r="AR120" i="66"/>
  <c r="AR153" i="63"/>
  <c r="AS18" i="66"/>
  <c r="AS15" i="62"/>
  <c r="AR120" i="62"/>
  <c r="AS18" i="62"/>
  <c r="AS153" i="62" s="1"/>
  <c r="AT15" i="48"/>
  <c r="AT18" i="66" l="1"/>
  <c r="AT153" i="66" s="1"/>
  <c r="AT15" i="62"/>
  <c r="AS120" i="62"/>
  <c r="AT15" i="63"/>
  <c r="AS120" i="63"/>
  <c r="AT18" i="62"/>
  <c r="AS153" i="66"/>
  <c r="AT15" i="66"/>
  <c r="AS120" i="66"/>
  <c r="AT18" i="63"/>
  <c r="AT153" i="63" s="1"/>
  <c r="AU15" i="48"/>
  <c r="AU18" i="62" l="1"/>
  <c r="AU153" i="62" s="1"/>
  <c r="AU15" i="62"/>
  <c r="AT120" i="62"/>
  <c r="AU15" i="66"/>
  <c r="AT120" i="66"/>
  <c r="AU15" i="63"/>
  <c r="AT120" i="63"/>
  <c r="AU18" i="63"/>
  <c r="AU153" i="63" s="1"/>
  <c r="AT153" i="62"/>
  <c r="AU18" i="66"/>
  <c r="AV15" i="48"/>
  <c r="AV18" i="66" l="1"/>
  <c r="AV153" i="66" s="1"/>
  <c r="AV15" i="63"/>
  <c r="AU120" i="63"/>
  <c r="AV15" i="62"/>
  <c r="AU120" i="62"/>
  <c r="AU153" i="66"/>
  <c r="AV18" i="63"/>
  <c r="AV153" i="63" s="1"/>
  <c r="AV15" i="66"/>
  <c r="AU120" i="66"/>
  <c r="AV18" i="62"/>
  <c r="AV153" i="62" s="1"/>
  <c r="AW15" i="48"/>
  <c r="AW15" i="63" l="1"/>
  <c r="AV120" i="63"/>
  <c r="AW15" i="66"/>
  <c r="AV120" i="66"/>
  <c r="AW15" i="62"/>
  <c r="AV120" i="62"/>
  <c r="AW18" i="62"/>
  <c r="AW153" i="62" s="1"/>
  <c r="AW18" i="63"/>
  <c r="AW153" i="63" s="1"/>
  <c r="AW18" i="66"/>
  <c r="AW153" i="66" s="1"/>
  <c r="AX15" i="48"/>
  <c r="AX18" i="66" l="1"/>
  <c r="AX153" i="66" s="1"/>
  <c r="AX18" i="62"/>
  <c r="AX15" i="66"/>
  <c r="AW120" i="66"/>
  <c r="AX18" i="63"/>
  <c r="AX15" i="62"/>
  <c r="AW120" i="62"/>
  <c r="AX15" i="63"/>
  <c r="AW120" i="63"/>
  <c r="AY15" i="48"/>
  <c r="AY18" i="63" l="1"/>
  <c r="AY153" i="63" s="1"/>
  <c r="AY18" i="62"/>
  <c r="AY153" i="62" s="1"/>
  <c r="AY15" i="62"/>
  <c r="AX120" i="62"/>
  <c r="AY15" i="66"/>
  <c r="AX120" i="66"/>
  <c r="AY15" i="63"/>
  <c r="AX120" i="63"/>
  <c r="AX153" i="63"/>
  <c r="AX153" i="62"/>
  <c r="AY18" i="66"/>
  <c r="AY153" i="66" s="1"/>
  <c r="AZ15" i="48"/>
  <c r="AZ15" i="66" l="1"/>
  <c r="AY120" i="66"/>
  <c r="AZ18" i="62"/>
  <c r="AZ153" i="62" s="1"/>
  <c r="AZ18" i="66"/>
  <c r="AZ153" i="66" s="1"/>
  <c r="AZ15" i="63"/>
  <c r="AY120" i="63"/>
  <c r="AZ15" i="62"/>
  <c r="AY120" i="62"/>
  <c r="AZ18" i="63"/>
  <c r="BA15" i="48"/>
  <c r="BA18" i="63" l="1"/>
  <c r="BA153" i="63"/>
  <c r="BA15" i="63"/>
  <c r="AZ120" i="63"/>
  <c r="BA18" i="62"/>
  <c r="BA153" i="62" s="1"/>
  <c r="BA15" i="62"/>
  <c r="AZ120" i="62"/>
  <c r="AZ153" i="63"/>
  <c r="BA18" i="66"/>
  <c r="BA153" i="66" s="1"/>
  <c r="BA15" i="66"/>
  <c r="AZ120" i="66"/>
  <c r="BB15" i="48"/>
  <c r="BB15" i="66" l="1"/>
  <c r="BA120" i="66"/>
  <c r="BB15" i="62"/>
  <c r="BA120" i="62"/>
  <c r="BB15" i="63"/>
  <c r="BA120" i="63"/>
  <c r="BB18" i="66"/>
  <c r="BB153" i="66" s="1"/>
  <c r="BB18" i="62"/>
  <c r="BB153" i="62" s="1"/>
  <c r="BB18" i="63"/>
  <c r="BB153" i="63" s="1"/>
  <c r="BC15" i="48"/>
  <c r="BC18" i="63" l="1"/>
  <c r="BC153" i="63" s="1"/>
  <c r="BC18" i="66"/>
  <c r="BC153" i="66" s="1"/>
  <c r="BC15" i="62"/>
  <c r="BB120" i="62"/>
  <c r="BC18" i="62"/>
  <c r="BC153" i="62" s="1"/>
  <c r="BC15" i="63"/>
  <c r="BB120" i="63"/>
  <c r="BC15" i="66"/>
  <c r="BB120" i="66"/>
  <c r="BD15" i="48"/>
  <c r="BE15" i="48" s="1"/>
  <c r="BF15" i="48" s="1"/>
  <c r="BG15" i="48" s="1"/>
  <c r="BH15" i="48" s="1"/>
  <c r="BI15" i="48" s="1"/>
  <c r="BD15" i="66" l="1"/>
  <c r="BC120" i="66"/>
  <c r="BD18" i="62"/>
  <c r="BD153" i="62" s="1"/>
  <c r="BD18" i="66"/>
  <c r="BD153" i="66" s="1"/>
  <c r="BD15" i="63"/>
  <c r="BC120" i="63"/>
  <c r="BD15" i="62"/>
  <c r="BC120" i="62"/>
  <c r="BD18" i="63"/>
  <c r="BD153" i="63" s="1"/>
  <c r="BI119" i="48"/>
  <c r="BE18" i="63" l="1"/>
  <c r="BE153" i="63" s="1"/>
  <c r="BE15" i="63"/>
  <c r="BD120" i="63"/>
  <c r="BE18" i="62"/>
  <c r="BE153" i="62" s="1"/>
  <c r="BE15" i="62"/>
  <c r="BD120" i="62"/>
  <c r="BE18" i="66"/>
  <c r="BE153" i="66" s="1"/>
  <c r="BE15" i="66"/>
  <c r="BD120" i="66"/>
  <c r="BF15" i="66" l="1"/>
  <c r="BE120" i="66"/>
  <c r="BF15" i="62"/>
  <c r="BE120" i="62"/>
  <c r="BF15" i="63"/>
  <c r="BE120" i="63"/>
  <c r="BF18" i="66"/>
  <c r="BF153" i="66" s="1"/>
  <c r="BF18" i="62"/>
  <c r="BF153" i="62" s="1"/>
  <c r="BF18" i="63"/>
  <c r="BF153" i="63" s="1"/>
  <c r="BG18" i="63" l="1"/>
  <c r="BG153" i="63" s="1"/>
  <c r="BG18" i="66"/>
  <c r="BG153" i="66" s="1"/>
  <c r="BG15" i="62"/>
  <c r="BF120" i="62"/>
  <c r="BG18" i="62"/>
  <c r="BG153" i="62" s="1"/>
  <c r="BG15" i="63"/>
  <c r="BF120" i="63"/>
  <c r="BG15" i="66"/>
  <c r="BF120" i="66"/>
  <c r="BH18" i="62" l="1"/>
  <c r="BH153" i="62" s="1"/>
  <c r="BH18" i="66"/>
  <c r="BH153" i="66" s="1"/>
  <c r="BH15" i="66"/>
  <c r="BG120" i="66"/>
  <c r="BH15" i="63"/>
  <c r="BG120" i="63"/>
  <c r="BH15" i="62"/>
  <c r="BG120" i="62"/>
  <c r="BH18" i="63"/>
  <c r="BH153" i="63" s="1"/>
  <c r="BI18" i="63" l="1"/>
  <c r="BI153" i="63" s="1"/>
  <c r="BI15" i="63"/>
  <c r="BI120" i="63" s="1"/>
  <c r="BH120" i="63"/>
  <c r="BI18" i="66"/>
  <c r="BI153" i="66" s="1"/>
  <c r="BI15" i="62"/>
  <c r="BI120" i="62" s="1"/>
  <c r="BH120" i="62"/>
  <c r="BI15" i="66"/>
  <c r="BI120" i="66" s="1"/>
  <c r="BH120" i="66"/>
  <c r="BI18" i="62"/>
  <c r="BI153" i="62" s="1"/>
  <c r="B12" i="48" l="1"/>
  <c r="B12" i="70" l="1"/>
  <c r="B118" i="70" s="1"/>
  <c r="B12" i="66"/>
  <c r="B118" i="66" s="1"/>
  <c r="B12" i="63"/>
  <c r="B118" i="63" s="1"/>
  <c r="B12" i="62"/>
  <c r="B118" i="62" s="1"/>
  <c r="B117" i="48"/>
  <c r="B104" i="48"/>
  <c r="B105" i="62" l="1"/>
  <c r="B105" i="63"/>
  <c r="B105" i="66"/>
  <c r="B105" i="70"/>
  <c r="B170" i="70" s="1"/>
  <c r="B166" i="48"/>
  <c r="B113" i="48"/>
  <c r="B112" i="48" s="1"/>
  <c r="B109" i="48"/>
  <c r="B106" i="48"/>
  <c r="B120" i="48"/>
  <c r="B121" i="66" l="1"/>
  <c r="B107" i="66"/>
  <c r="B108" i="66" s="1"/>
  <c r="B114" i="66"/>
  <c r="C92" i="66" s="1"/>
  <c r="B110" i="66"/>
  <c r="B121" i="63"/>
  <c r="B107" i="63"/>
  <c r="B108" i="63" s="1"/>
  <c r="B114" i="63"/>
  <c r="B110" i="63"/>
  <c r="B110" i="62"/>
  <c r="B114" i="62"/>
  <c r="B107" i="62"/>
  <c r="B108" i="62" s="1"/>
  <c r="B111" i="62" s="1"/>
  <c r="B117" i="62" s="1"/>
  <c r="B121" i="62"/>
  <c r="B217" i="66"/>
  <c r="B217" i="63"/>
  <c r="B217" i="62"/>
  <c r="B110" i="70"/>
  <c r="B107" i="70"/>
  <c r="B108" i="70" s="1"/>
  <c r="B121" i="70"/>
  <c r="B114" i="70"/>
  <c r="B217" i="70"/>
  <c r="B170" i="66"/>
  <c r="B170" i="63"/>
  <c r="B170" i="62"/>
  <c r="C92" i="48"/>
  <c r="B121" i="48"/>
  <c r="B107" i="48"/>
  <c r="B110" i="48" s="1"/>
  <c r="B114" i="48"/>
  <c r="B111" i="66" l="1"/>
  <c r="B111" i="63"/>
  <c r="B117" i="63" s="1"/>
  <c r="C118" i="63" s="1"/>
  <c r="B117" i="66"/>
  <c r="C118" i="66" s="1"/>
  <c r="B111" i="70"/>
  <c r="B113" i="62"/>
  <c r="C87" i="62" s="1"/>
  <c r="B115" i="62"/>
  <c r="C93" i="62"/>
  <c r="C92" i="63"/>
  <c r="C93" i="63" s="1"/>
  <c r="B115" i="63"/>
  <c r="B113" i="63"/>
  <c r="C87" i="63" s="1"/>
  <c r="B115" i="70"/>
  <c r="B113" i="70"/>
  <c r="C87" i="70" s="1"/>
  <c r="C92" i="70"/>
  <c r="C93" i="70" s="1"/>
  <c r="B124" i="62"/>
  <c r="C118" i="62"/>
  <c r="B115" i="66"/>
  <c r="B93" i="66"/>
  <c r="B113" i="66"/>
  <c r="C87" i="66" s="1"/>
  <c r="B122" i="70"/>
  <c r="B122" i="62"/>
  <c r="B122" i="63"/>
  <c r="B122" i="66"/>
  <c r="C87" i="48"/>
  <c r="B124" i="66" l="1"/>
  <c r="C105" i="62"/>
  <c r="C217" i="62" s="1"/>
  <c r="C125" i="62"/>
  <c r="B124" i="63"/>
  <c r="D89" i="66"/>
  <c r="E90" i="66" s="1"/>
  <c r="C88" i="66"/>
  <c r="C101" i="66"/>
  <c r="C100" i="66" s="1"/>
  <c r="B127" i="62"/>
  <c r="D89" i="63"/>
  <c r="E90" i="63" s="1"/>
  <c r="C88" i="63"/>
  <c r="C101" i="63"/>
  <c r="C100" i="63" s="1"/>
  <c r="C125" i="63"/>
  <c r="B125" i="63" s="1"/>
  <c r="C105" i="63"/>
  <c r="C170" i="63" s="1"/>
  <c r="D89" i="62"/>
  <c r="E90" i="62" s="1"/>
  <c r="C88" i="62"/>
  <c r="C101" i="62"/>
  <c r="C100" i="62" s="1"/>
  <c r="B127" i="66"/>
  <c r="B128" i="66" s="1"/>
  <c r="B129" i="66" s="1"/>
  <c r="D89" i="70"/>
  <c r="E90" i="70" s="1"/>
  <c r="C88" i="70"/>
  <c r="C101" i="70"/>
  <c r="C100" i="70" s="1"/>
  <c r="B117" i="70"/>
  <c r="C118" i="70" s="1"/>
  <c r="C105" i="66"/>
  <c r="C217" i="66" s="1"/>
  <c r="C125" i="66"/>
  <c r="B116" i="48"/>
  <c r="C88" i="48"/>
  <c r="C100" i="48"/>
  <c r="D89" i="48"/>
  <c r="B93" i="48"/>
  <c r="B124" i="70" l="1"/>
  <c r="C170" i="66"/>
  <c r="C170" i="62"/>
  <c r="C125" i="70"/>
  <c r="C105" i="70"/>
  <c r="D102" i="62"/>
  <c r="C106" i="62"/>
  <c r="C107" i="62" s="1"/>
  <c r="C108" i="62" s="1"/>
  <c r="D102" i="63"/>
  <c r="C106" i="63"/>
  <c r="C107" i="63" s="1"/>
  <c r="C108" i="63" s="1"/>
  <c r="B128" i="62"/>
  <c r="B129" i="62" s="1"/>
  <c r="D48" i="62"/>
  <c r="B125" i="66"/>
  <c r="B126" i="66" s="1"/>
  <c r="D102" i="70"/>
  <c r="C106" i="70"/>
  <c r="C110" i="66"/>
  <c r="C121" i="66"/>
  <c r="C114" i="66"/>
  <c r="D92" i="66" s="1"/>
  <c r="D93" i="66" s="1"/>
  <c r="C217" i="63"/>
  <c r="C110" i="63"/>
  <c r="C121" i="63"/>
  <c r="C122" i="63" s="1"/>
  <c r="C114" i="63"/>
  <c r="B127" i="63"/>
  <c r="B126" i="63"/>
  <c r="B125" i="62"/>
  <c r="B126" i="62" s="1"/>
  <c r="B127" i="70"/>
  <c r="D102" i="66"/>
  <c r="C106" i="66"/>
  <c r="C107" i="66" s="1"/>
  <c r="C108" i="66" s="1"/>
  <c r="C111" i="66" s="1"/>
  <c r="C110" i="62"/>
  <c r="C114" i="62"/>
  <c r="C121" i="62"/>
  <c r="C122" i="62" s="1"/>
  <c r="C117" i="48"/>
  <c r="C124" i="48" s="1"/>
  <c r="B123" i="48"/>
  <c r="C99" i="48"/>
  <c r="E90" i="48"/>
  <c r="B126" i="48" l="1"/>
  <c r="B127" i="48" s="1"/>
  <c r="C111" i="63"/>
  <c r="C117" i="63" s="1"/>
  <c r="D118" i="63" s="1"/>
  <c r="D125" i="63" s="1"/>
  <c r="C111" i="62"/>
  <c r="C117" i="62" s="1"/>
  <c r="D118" i="62" s="1"/>
  <c r="D125" i="62" s="1"/>
  <c r="C117" i="66"/>
  <c r="D118" i="66" s="1"/>
  <c r="D92" i="62"/>
  <c r="C115" i="62"/>
  <c r="C113" i="62"/>
  <c r="D87" i="62" s="1"/>
  <c r="B128" i="70"/>
  <c r="B129" i="70" s="1"/>
  <c r="D48" i="70"/>
  <c r="D48" i="63"/>
  <c r="B128" i="63"/>
  <c r="B129" i="63" s="1"/>
  <c r="C113" i="66"/>
  <c r="D87" i="66" s="1"/>
  <c r="C93" i="66"/>
  <c r="C115" i="66"/>
  <c r="C110" i="70"/>
  <c r="C107" i="70"/>
  <c r="C108" i="70" s="1"/>
  <c r="C121" i="70"/>
  <c r="C114" i="70"/>
  <c r="C122" i="66"/>
  <c r="C217" i="70"/>
  <c r="D92" i="63"/>
  <c r="D93" i="63" s="1"/>
  <c r="C113" i="63"/>
  <c r="D87" i="63" s="1"/>
  <c r="C115" i="63"/>
  <c r="C170" i="70"/>
  <c r="B125" i="70"/>
  <c r="B126" i="70" s="1"/>
  <c r="D101" i="48"/>
  <c r="C105" i="48"/>
  <c r="D49" i="48"/>
  <c r="B124" i="48"/>
  <c r="D48" i="48" l="1"/>
  <c r="C124" i="63"/>
  <c r="C171" i="63" s="1"/>
  <c r="C124" i="66"/>
  <c r="C126" i="66" s="1"/>
  <c r="C124" i="62"/>
  <c r="C171" i="62" s="1"/>
  <c r="C115" i="70"/>
  <c r="C113" i="70"/>
  <c r="D87" i="70" s="1"/>
  <c r="D92" i="70"/>
  <c r="D93" i="70" s="1"/>
  <c r="C122" i="70"/>
  <c r="D88" i="62"/>
  <c r="D101" i="62"/>
  <c r="D100" i="62" s="1"/>
  <c r="E89" i="62"/>
  <c r="F90" i="62" s="1"/>
  <c r="C127" i="62"/>
  <c r="E89" i="63"/>
  <c r="F90" i="63" s="1"/>
  <c r="D88" i="63"/>
  <c r="D101" i="63"/>
  <c r="D100" i="63" s="1"/>
  <c r="C111" i="70"/>
  <c r="D88" i="66"/>
  <c r="D101" i="66"/>
  <c r="D100" i="66" s="1"/>
  <c r="E89" i="66"/>
  <c r="F90" i="66" s="1"/>
  <c r="D125" i="66"/>
  <c r="B128" i="48"/>
  <c r="B125" i="48"/>
  <c r="C127" i="66" l="1"/>
  <c r="C126" i="63"/>
  <c r="C126" i="62"/>
  <c r="C171" i="66"/>
  <c r="C127" i="63"/>
  <c r="C128" i="63" s="1"/>
  <c r="C129" i="63" s="1"/>
  <c r="C117" i="70"/>
  <c r="D118" i="70" s="1"/>
  <c r="D106" i="63"/>
  <c r="E102" i="63"/>
  <c r="C128" i="62"/>
  <c r="C129" i="62" s="1"/>
  <c r="C154" i="62"/>
  <c r="D88" i="70"/>
  <c r="E89" i="70"/>
  <c r="F90" i="70" s="1"/>
  <c r="D101" i="70"/>
  <c r="D100" i="70" s="1"/>
  <c r="D106" i="66"/>
  <c r="E102" i="66"/>
  <c r="C128" i="66"/>
  <c r="C129" i="66" s="1"/>
  <c r="C154" i="66"/>
  <c r="D106" i="62"/>
  <c r="E102" i="62"/>
  <c r="C154" i="63" l="1"/>
  <c r="C157" i="63" s="1"/>
  <c r="C124" i="70"/>
  <c r="C127" i="70" s="1"/>
  <c r="D106" i="70"/>
  <c r="E102" i="70"/>
  <c r="D125" i="70"/>
  <c r="C155" i="66"/>
  <c r="C157" i="66"/>
  <c r="C155" i="62"/>
  <c r="C157" i="62"/>
  <c r="C171" i="70" l="1"/>
  <c r="C126" i="70"/>
  <c r="C155" i="63"/>
  <c r="C156" i="63" s="1"/>
  <c r="C159" i="63" s="1"/>
  <c r="C128" i="70"/>
  <c r="C129" i="70" s="1"/>
  <c r="C154" i="70"/>
  <c r="C156" i="62"/>
  <c r="C159" i="62" s="1"/>
  <c r="C158" i="62"/>
  <c r="B142" i="62" s="1"/>
  <c r="C156" i="66"/>
  <c r="C159" i="66" s="1"/>
  <c r="C158" i="66"/>
  <c r="B142" i="66" s="1"/>
  <c r="C158" i="63" l="1"/>
  <c r="B142" i="63" s="1"/>
  <c r="C155" i="70"/>
  <c r="C157" i="70"/>
  <c r="C158" i="70" l="1"/>
  <c r="B142" i="70" s="1"/>
  <c r="C156" i="70"/>
  <c r="C159" i="70" s="1"/>
  <c r="B119" i="48" l="1"/>
  <c r="C149" i="48" l="1"/>
  <c r="C119" i="48"/>
  <c r="D149" i="48" l="1"/>
  <c r="D119" i="48"/>
  <c r="E18" i="48"/>
  <c r="E149" i="48" l="1"/>
  <c r="E119" i="48"/>
  <c r="F18" i="48"/>
  <c r="F149" i="48" l="1"/>
  <c r="F119" i="48"/>
  <c r="G18" i="48"/>
  <c r="G149" i="48" l="1"/>
  <c r="G119" i="48"/>
  <c r="H18" i="48"/>
  <c r="H149" i="48" l="1"/>
  <c r="H119" i="48"/>
  <c r="I18" i="48"/>
  <c r="I149" i="48" l="1"/>
  <c r="I119" i="48"/>
  <c r="J18" i="48"/>
  <c r="J149" i="48" l="1"/>
  <c r="J119" i="48"/>
  <c r="K18" i="48"/>
  <c r="K149" i="48" l="1"/>
  <c r="K119" i="48"/>
  <c r="L18" i="48"/>
  <c r="L149" i="48" l="1"/>
  <c r="L119" i="48"/>
  <c r="M18" i="48"/>
  <c r="M149" i="48" l="1"/>
  <c r="M119" i="48"/>
  <c r="N18" i="48"/>
  <c r="N149" i="48" l="1"/>
  <c r="N119" i="48"/>
  <c r="O18" i="48"/>
  <c r="O149" i="48" l="1"/>
  <c r="O119" i="48"/>
  <c r="P18" i="48"/>
  <c r="P149" i="48" l="1"/>
  <c r="P119" i="48"/>
  <c r="Q18" i="48"/>
  <c r="Q149" i="48" l="1"/>
  <c r="Q119" i="48"/>
  <c r="R18" i="48"/>
  <c r="R149" i="48" l="1"/>
  <c r="R119" i="48"/>
  <c r="S18" i="48"/>
  <c r="S149" i="48" l="1"/>
  <c r="S119" i="48"/>
  <c r="T18" i="48"/>
  <c r="T149" i="48" l="1"/>
  <c r="T119" i="48"/>
  <c r="U18" i="48"/>
  <c r="U149" i="48" l="1"/>
  <c r="U119" i="48"/>
  <c r="V18" i="48"/>
  <c r="V149" i="48" l="1"/>
  <c r="V119" i="48"/>
  <c r="W18" i="48"/>
  <c r="W149" i="48" l="1"/>
  <c r="W119" i="48"/>
  <c r="X18" i="48"/>
  <c r="X149" i="48" l="1"/>
  <c r="X119" i="48"/>
  <c r="Y18" i="48"/>
  <c r="Y149" i="48" l="1"/>
  <c r="Y119" i="48"/>
  <c r="Z18" i="48"/>
  <c r="Z149" i="48" l="1"/>
  <c r="Z119" i="48"/>
  <c r="AA18" i="48"/>
  <c r="AA149" i="48" l="1"/>
  <c r="AA119" i="48"/>
  <c r="AB18" i="48"/>
  <c r="AB149" i="48" l="1"/>
  <c r="AC18" i="48"/>
  <c r="AC149" i="48" l="1"/>
  <c r="AC119" i="48"/>
  <c r="AD18" i="48"/>
  <c r="AD149" i="48" l="1"/>
  <c r="AD119" i="48"/>
  <c r="AE18" i="48"/>
  <c r="AE149" i="48" l="1"/>
  <c r="AE119" i="48"/>
  <c r="AF18" i="48"/>
  <c r="AF149" i="48" l="1"/>
  <c r="AF119" i="48"/>
  <c r="AG18" i="48"/>
  <c r="AG149" i="48" l="1"/>
  <c r="AG119" i="48"/>
  <c r="AH18" i="48"/>
  <c r="AH149" i="48" l="1"/>
  <c r="AH119" i="48"/>
  <c r="AI18" i="48"/>
  <c r="AI149" i="48" l="1"/>
  <c r="AI119" i="48"/>
  <c r="AJ18" i="48"/>
  <c r="AJ149" i="48" l="1"/>
  <c r="AK18" i="48"/>
  <c r="AJ119" i="48"/>
  <c r="AK149" i="48" l="1"/>
  <c r="AK119" i="48"/>
  <c r="AL18" i="48"/>
  <c r="AL149" i="48" l="1"/>
  <c r="AL119" i="48"/>
  <c r="AM18" i="48"/>
  <c r="AM149" i="48" l="1"/>
  <c r="AN18" i="48"/>
  <c r="AM119" i="48"/>
  <c r="AN149" i="48" l="1"/>
  <c r="AN119" i="48"/>
  <c r="AO18" i="48"/>
  <c r="AO149" i="48" l="1"/>
  <c r="AO119" i="48"/>
  <c r="AP18" i="48"/>
  <c r="AP149" i="48" l="1"/>
  <c r="AP119" i="48"/>
  <c r="AQ18" i="48"/>
  <c r="AQ149" i="48" l="1"/>
  <c r="AR18" i="48"/>
  <c r="AQ119" i="48"/>
  <c r="AR149" i="48" l="1"/>
  <c r="AR119" i="48"/>
  <c r="AS18" i="48"/>
  <c r="AS149" i="48" l="1"/>
  <c r="AT18" i="48"/>
  <c r="AS119" i="48"/>
  <c r="AT149" i="48" l="1"/>
  <c r="AT119" i="48"/>
  <c r="AU18" i="48"/>
  <c r="AU149" i="48" l="1"/>
  <c r="AV18" i="48"/>
  <c r="AU119" i="48"/>
  <c r="AV149" i="48" l="1"/>
  <c r="AW18" i="48"/>
  <c r="AV119" i="48"/>
  <c r="AW149" i="48" l="1"/>
  <c r="AW119" i="48"/>
  <c r="AX18" i="48"/>
  <c r="AX149" i="48" l="1"/>
  <c r="AX119" i="48"/>
  <c r="AY18" i="48"/>
  <c r="AY149" i="48" l="1"/>
  <c r="AY119" i="48"/>
  <c r="AZ18" i="48"/>
  <c r="AZ149" i="48" l="1"/>
  <c r="AZ119" i="48"/>
  <c r="BA18" i="48"/>
  <c r="BA149" i="48" l="1"/>
  <c r="BA119" i="48"/>
  <c r="BB18" i="48"/>
  <c r="BB149" i="48" l="1"/>
  <c r="BB119" i="48"/>
  <c r="BC18" i="48"/>
  <c r="BC149" i="48" l="1"/>
  <c r="BC119" i="48"/>
  <c r="BD18" i="48"/>
  <c r="BD149" i="48" l="1"/>
  <c r="BD119" i="48"/>
  <c r="BE18" i="48"/>
  <c r="BE149" i="48" l="1"/>
  <c r="BF18" i="48"/>
  <c r="BE119" i="48"/>
  <c r="BF149" i="48" l="1"/>
  <c r="BF119" i="48"/>
  <c r="BG18" i="48"/>
  <c r="BG149" i="48" l="1"/>
  <c r="BH119" i="48"/>
  <c r="BG119" i="48" l="1"/>
  <c r="BH18" i="48"/>
  <c r="BH149" i="48" l="1"/>
  <c r="BI18" i="48"/>
  <c r="BI149" i="48" l="1"/>
  <c r="C108" i="48" l="1"/>
  <c r="D108" i="48" l="1"/>
  <c r="E108" i="48" l="1"/>
  <c r="F108" i="48" l="1"/>
  <c r="G108" i="48" l="1"/>
  <c r="H108" i="48" l="1"/>
  <c r="I108" i="48" l="1"/>
  <c r="J108" i="48" l="1"/>
  <c r="K108" i="48" l="1"/>
  <c r="L108" i="48" l="1"/>
  <c r="M108" i="48" l="1"/>
  <c r="N108" i="48" l="1"/>
  <c r="O108" i="48" l="1"/>
  <c r="P108" i="48" l="1"/>
  <c r="Q108" i="48" l="1"/>
  <c r="R108" i="48" l="1"/>
  <c r="S108" i="48" l="1"/>
  <c r="T108" i="48" l="1"/>
  <c r="U108" i="48" l="1"/>
  <c r="V108" i="48" l="1"/>
  <c r="W108" i="48" l="1"/>
  <c r="X108" i="48" l="1"/>
  <c r="Y108" i="48" l="1"/>
  <c r="Z108" i="48" l="1"/>
  <c r="AA108" i="48" l="1"/>
  <c r="AB108" i="48" l="1"/>
  <c r="AC108" i="48" l="1"/>
  <c r="AD108" i="48" l="1"/>
  <c r="AE108" i="48" l="1"/>
  <c r="AF108" i="48" l="1"/>
  <c r="AG108" i="48" l="1"/>
  <c r="AH108" i="48" l="1"/>
  <c r="AI108" i="48" l="1"/>
  <c r="AJ108" i="48" l="1"/>
  <c r="AK108" i="48" l="1"/>
  <c r="AL108" i="48" l="1"/>
  <c r="AM108" i="48" l="1"/>
  <c r="AN108" i="48" l="1"/>
  <c r="AO108" i="48" l="1"/>
  <c r="AP108" i="48" l="1"/>
  <c r="AQ108" i="48" l="1"/>
  <c r="AR108" i="48" l="1"/>
  <c r="AS108" i="48" l="1"/>
  <c r="AT108" i="48" l="1"/>
  <c r="AU108" i="48" l="1"/>
  <c r="AV108" i="48" l="1"/>
  <c r="AW108" i="48" l="1"/>
  <c r="AZ108" i="48" l="1"/>
  <c r="BA108" i="48" l="1"/>
  <c r="BB108" i="48" l="1"/>
  <c r="BC108" i="48" l="1"/>
  <c r="BD108" i="48" l="1"/>
  <c r="BE108" i="48" l="1"/>
  <c r="BF108" i="48" l="1"/>
  <c r="BG108" i="48" l="1"/>
  <c r="BH108" i="48" l="1"/>
  <c r="BI108" i="48" l="1"/>
  <c r="C104" i="48" l="1"/>
  <c r="C113" i="48" s="1"/>
  <c r="C108" i="27" l="1"/>
  <c r="D103" i="27"/>
  <c r="C109" i="48"/>
  <c r="C166" i="48"/>
  <c r="C120" i="48"/>
  <c r="C106" i="48"/>
  <c r="C107" i="48" s="1"/>
  <c r="D92" i="48"/>
  <c r="C110" i="48" l="1"/>
  <c r="C116" i="48" s="1"/>
  <c r="D117" i="48" s="1"/>
  <c r="D21" i="48"/>
  <c r="C114" i="48"/>
  <c r="C93" i="48"/>
  <c r="C112" i="48"/>
  <c r="D87" i="48" s="1"/>
  <c r="E103" i="27"/>
  <c r="C121" i="48"/>
  <c r="D21" i="70" l="1"/>
  <c r="D105" i="70" s="1"/>
  <c r="D21" i="65"/>
  <c r="D105" i="65" s="1"/>
  <c r="D21" i="66"/>
  <c r="D105" i="66" s="1"/>
  <c r="D21" i="63"/>
  <c r="D21" i="62"/>
  <c r="D105" i="62" s="1"/>
  <c r="D114" i="62" s="1"/>
  <c r="E92" i="62" s="1"/>
  <c r="E21" i="48"/>
  <c r="C123" i="48"/>
  <c r="C125" i="48" s="1"/>
  <c r="F103" i="27"/>
  <c r="E89" i="48"/>
  <c r="F90" i="48" s="1"/>
  <c r="D88" i="48"/>
  <c r="D100" i="48"/>
  <c r="D99" i="48" s="1"/>
  <c r="D124" i="48"/>
  <c r="D104" i="48"/>
  <c r="D166" i="48" s="1"/>
  <c r="D170" i="62" l="1"/>
  <c r="D107" i="62"/>
  <c r="D108" i="62" s="1"/>
  <c r="D217" i="62"/>
  <c r="D110" i="62"/>
  <c r="D121" i="62"/>
  <c r="D106" i="27"/>
  <c r="D105" i="63"/>
  <c r="D121" i="66"/>
  <c r="D114" i="66"/>
  <c r="E92" i="66" s="1"/>
  <c r="D110" i="66"/>
  <c r="D107" i="66"/>
  <c r="D108" i="66" s="1"/>
  <c r="D217" i="66"/>
  <c r="D170" i="66"/>
  <c r="D217" i="65"/>
  <c r="D107" i="65"/>
  <c r="D108" i="65" s="1"/>
  <c r="D121" i="65"/>
  <c r="D114" i="65"/>
  <c r="E92" i="65" s="1"/>
  <c r="D170" i="65"/>
  <c r="D110" i="65"/>
  <c r="E21" i="70"/>
  <c r="E21" i="65"/>
  <c r="E21" i="66"/>
  <c r="E21" i="63"/>
  <c r="E106" i="27" s="1"/>
  <c r="E21" i="62"/>
  <c r="D170" i="70"/>
  <c r="D110" i="70"/>
  <c r="D121" i="70"/>
  <c r="D114" i="70"/>
  <c r="D217" i="70"/>
  <c r="D107" i="70"/>
  <c r="D108" i="70" s="1"/>
  <c r="D111" i="70" s="1"/>
  <c r="C167" i="48"/>
  <c r="F21" i="48"/>
  <c r="D122" i="62"/>
  <c r="D115" i="62"/>
  <c r="D93" i="62"/>
  <c r="D113" i="62"/>
  <c r="E87" i="62" s="1"/>
  <c r="C126" i="48"/>
  <c r="G103" i="27"/>
  <c r="D120" i="48"/>
  <c r="D109" i="48"/>
  <c r="D113" i="48"/>
  <c r="E92" i="48" s="1"/>
  <c r="D105" i="48"/>
  <c r="D106" i="48" s="1"/>
  <c r="D107" i="48" s="1"/>
  <c r="E101" i="48"/>
  <c r="D111" i="66" l="1"/>
  <c r="D117" i="66" s="1"/>
  <c r="E118" i="66" s="1"/>
  <c r="E105" i="66" s="1"/>
  <c r="D111" i="62"/>
  <c r="D117" i="62" s="1"/>
  <c r="E118" i="62" s="1"/>
  <c r="E125" i="62" s="1"/>
  <c r="F21" i="70"/>
  <c r="F21" i="66"/>
  <c r="F21" i="65"/>
  <c r="F21" i="63"/>
  <c r="F106" i="27" s="1"/>
  <c r="F21" i="62"/>
  <c r="D122" i="70"/>
  <c r="D111" i="65"/>
  <c r="D122" i="65"/>
  <c r="D115" i="66"/>
  <c r="D113" i="66"/>
  <c r="E87" i="66" s="1"/>
  <c r="D117" i="70"/>
  <c r="E118" i="70" s="1"/>
  <c r="E105" i="70" s="1"/>
  <c r="D122" i="66"/>
  <c r="D107" i="63"/>
  <c r="D108" i="63" s="1"/>
  <c r="D170" i="63"/>
  <c r="D217" i="63"/>
  <c r="D121" i="63"/>
  <c r="D122" i="63" s="1"/>
  <c r="D110" i="63"/>
  <c r="D114" i="63"/>
  <c r="E108" i="27"/>
  <c r="E92" i="70"/>
  <c r="E93" i="70" s="1"/>
  <c r="D115" i="70"/>
  <c r="D113" i="70"/>
  <c r="E87" i="70" s="1"/>
  <c r="D115" i="65"/>
  <c r="D93" i="65"/>
  <c r="D113" i="65"/>
  <c r="E87" i="65" s="1"/>
  <c r="D108" i="27"/>
  <c r="F108" i="27"/>
  <c r="C150" i="48"/>
  <c r="C151" i="48" s="1"/>
  <c r="C152" i="48" s="1"/>
  <c r="C155" i="48" s="1"/>
  <c r="C127" i="48"/>
  <c r="C128" i="48" s="1"/>
  <c r="G21" i="48"/>
  <c r="D124" i="62"/>
  <c r="D126" i="62" s="1"/>
  <c r="D110" i="48"/>
  <c r="D116" i="48" s="1"/>
  <c r="E117" i="48" s="1"/>
  <c r="E101" i="62"/>
  <c r="E100" i="62" s="1"/>
  <c r="E88" i="62"/>
  <c r="F89" i="62"/>
  <c r="G90" i="62" s="1"/>
  <c r="D112" i="48"/>
  <c r="E87" i="48" s="1"/>
  <c r="D114" i="48"/>
  <c r="D93" i="48"/>
  <c r="D121" i="48"/>
  <c r="H103" i="27"/>
  <c r="D124" i="66" l="1"/>
  <c r="D127" i="66" s="1"/>
  <c r="E105" i="62"/>
  <c r="E170" i="62" s="1"/>
  <c r="E170" i="70"/>
  <c r="E110" i="70"/>
  <c r="E121" i="70"/>
  <c r="E114" i="70"/>
  <c r="E125" i="70"/>
  <c r="E217" i="70"/>
  <c r="E88" i="65"/>
  <c r="E101" i="65"/>
  <c r="E100" i="65" s="1"/>
  <c r="F89" i="65"/>
  <c r="G90" i="65" s="1"/>
  <c r="E88" i="70"/>
  <c r="F89" i="70"/>
  <c r="G90" i="70" s="1"/>
  <c r="E101" i="70"/>
  <c r="E100" i="70" s="1"/>
  <c r="D113" i="63"/>
  <c r="E87" i="63" s="1"/>
  <c r="E92" i="63"/>
  <c r="E93" i="63" s="1"/>
  <c r="D115" i="63"/>
  <c r="F89" i="66"/>
  <c r="G90" i="66" s="1"/>
  <c r="E88" i="66"/>
  <c r="E101" i="66"/>
  <c r="E100" i="66" s="1"/>
  <c r="D117" i="65"/>
  <c r="E118" i="65" s="1"/>
  <c r="D111" i="63"/>
  <c r="E110" i="66"/>
  <c r="E121" i="66"/>
  <c r="E114" i="66"/>
  <c r="F92" i="66" s="1"/>
  <c r="D126" i="66"/>
  <c r="D171" i="66"/>
  <c r="G21" i="70"/>
  <c r="G21" i="66"/>
  <c r="G21" i="65"/>
  <c r="G21" i="63"/>
  <c r="G106" i="27" s="1"/>
  <c r="G21" i="62"/>
  <c r="D124" i="70"/>
  <c r="E125" i="66"/>
  <c r="E217" i="66"/>
  <c r="E170" i="66"/>
  <c r="C153" i="48"/>
  <c r="C154" i="48"/>
  <c r="B138" i="48" s="1"/>
  <c r="D127" i="62"/>
  <c r="D128" i="62" s="1"/>
  <c r="D129" i="62" s="1"/>
  <c r="D171" i="62"/>
  <c r="H21" i="48"/>
  <c r="E114" i="62"/>
  <c r="F92" i="62" s="1"/>
  <c r="E110" i="62"/>
  <c r="E106" i="62"/>
  <c r="F102" i="62"/>
  <c r="D123" i="48"/>
  <c r="D125" i="48" s="1"/>
  <c r="F89" i="48"/>
  <c r="G90" i="48" s="1"/>
  <c r="E88" i="48"/>
  <c r="E100" i="48"/>
  <c r="E99" i="48" s="1"/>
  <c r="I103" i="27"/>
  <c r="E124" i="48"/>
  <c r="E104" i="48"/>
  <c r="E166" i="48" s="1"/>
  <c r="E217" i="62" l="1"/>
  <c r="E121" i="62"/>
  <c r="E107" i="62"/>
  <c r="E108" i="62" s="1"/>
  <c r="H21" i="70"/>
  <c r="H21" i="65"/>
  <c r="H21" i="66"/>
  <c r="H21" i="63"/>
  <c r="H106" i="27" s="1"/>
  <c r="H108" i="27" s="1"/>
  <c r="H21" i="62"/>
  <c r="D127" i="70"/>
  <c r="D126" i="70"/>
  <c r="D171" i="70"/>
  <c r="D128" i="66"/>
  <c r="D129" i="66" s="1"/>
  <c r="D154" i="66"/>
  <c r="E122" i="66"/>
  <c r="E106" i="66"/>
  <c r="E107" i="66" s="1"/>
  <c r="E108" i="66" s="1"/>
  <c r="E111" i="66" s="1"/>
  <c r="F102" i="66"/>
  <c r="E113" i="70"/>
  <c r="F87" i="70" s="1"/>
  <c r="F92" i="70"/>
  <c r="F93" i="70" s="1"/>
  <c r="E115" i="70"/>
  <c r="E106" i="65"/>
  <c r="F102" i="65"/>
  <c r="D124" i="65"/>
  <c r="E88" i="63"/>
  <c r="E101" i="63"/>
  <c r="E100" i="63" s="1"/>
  <c r="F89" i="63"/>
  <c r="G90" i="63" s="1"/>
  <c r="E122" i="70"/>
  <c r="G108" i="27"/>
  <c r="E115" i="66"/>
  <c r="E93" i="66"/>
  <c r="E113" i="66"/>
  <c r="F87" i="66" s="1"/>
  <c r="D117" i="63"/>
  <c r="E118" i="63" s="1"/>
  <c r="E125" i="65"/>
  <c r="E105" i="65"/>
  <c r="E217" i="65" s="1"/>
  <c r="E106" i="70"/>
  <c r="E107" i="70" s="1"/>
  <c r="E108" i="70" s="1"/>
  <c r="E111" i="70" s="1"/>
  <c r="F102" i="70"/>
  <c r="D154" i="62"/>
  <c r="D155" i="62" s="1"/>
  <c r="E111" i="62"/>
  <c r="E117" i="62" s="1"/>
  <c r="F118" i="62" s="1"/>
  <c r="D167" i="48"/>
  <c r="D126" i="48"/>
  <c r="E122" i="62"/>
  <c r="I21" i="48"/>
  <c r="E115" i="62"/>
  <c r="E113" i="62"/>
  <c r="F87" i="62" s="1"/>
  <c r="E93" i="62"/>
  <c r="E120" i="48"/>
  <c r="E109" i="48"/>
  <c r="E113" i="48"/>
  <c r="F92" i="48" s="1"/>
  <c r="E105" i="48"/>
  <c r="E106" i="48" s="1"/>
  <c r="E107" i="48" s="1"/>
  <c r="F101" i="48"/>
  <c r="J103" i="27"/>
  <c r="E170" i="65" l="1"/>
  <c r="E105" i="63"/>
  <c r="E217" i="63" s="1"/>
  <c r="E125" i="63"/>
  <c r="G89" i="70"/>
  <c r="H90" i="70" s="1"/>
  <c r="F88" i="70"/>
  <c r="F101" i="70"/>
  <c r="F100" i="70" s="1"/>
  <c r="F106" i="70" s="1"/>
  <c r="E117" i="70"/>
  <c r="F118" i="70" s="1"/>
  <c r="F101" i="66"/>
  <c r="F100" i="66" s="1"/>
  <c r="G102" i="66" s="1"/>
  <c r="F88" i="66"/>
  <c r="G89" i="66"/>
  <c r="H90" i="66" s="1"/>
  <c r="F102" i="63"/>
  <c r="E106" i="63"/>
  <c r="E107" i="63" s="1"/>
  <c r="E108" i="63" s="1"/>
  <c r="D157" i="66"/>
  <c r="D155" i="66"/>
  <c r="I21" i="70"/>
  <c r="I21" i="65"/>
  <c r="I21" i="66"/>
  <c r="I21" i="62"/>
  <c r="I21" i="63"/>
  <c r="E121" i="65"/>
  <c r="E114" i="65"/>
  <c r="F92" i="65" s="1"/>
  <c r="E110" i="65"/>
  <c r="E107" i="65"/>
  <c r="E108" i="65" s="1"/>
  <c r="D128" i="70"/>
  <c r="D129" i="70" s="1"/>
  <c r="D154" i="70"/>
  <c r="D124" i="63"/>
  <c r="D171" i="65"/>
  <c r="D127" i="65"/>
  <c r="D126" i="65"/>
  <c r="E117" i="66"/>
  <c r="F118" i="66" s="1"/>
  <c r="I106" i="27"/>
  <c r="D150" i="48"/>
  <c r="D151" i="48" s="1"/>
  <c r="D154" i="48" s="1"/>
  <c r="C138" i="48" s="1"/>
  <c r="D127" i="48"/>
  <c r="D128" i="48" s="1"/>
  <c r="D157" i="62"/>
  <c r="E124" i="62"/>
  <c r="E127" i="62" s="1"/>
  <c r="E128" i="62" s="1"/>
  <c r="E129" i="62" s="1"/>
  <c r="E110" i="48"/>
  <c r="E116" i="48" s="1"/>
  <c r="F117" i="48" s="1"/>
  <c r="F101" i="62"/>
  <c r="F100" i="62" s="1"/>
  <c r="G89" i="62"/>
  <c r="H90" i="62" s="1"/>
  <c r="F88" i="62"/>
  <c r="J21" i="48"/>
  <c r="D156" i="62"/>
  <c r="D159" i="62" s="1"/>
  <c r="D158" i="62"/>
  <c r="C142" i="62" s="1"/>
  <c r="F125" i="62"/>
  <c r="F105" i="62"/>
  <c r="F170" i="62" s="1"/>
  <c r="K103" i="27"/>
  <c r="E121" i="48"/>
  <c r="E112" i="48"/>
  <c r="F87" i="48" s="1"/>
  <c r="E93" i="48"/>
  <c r="E114" i="48"/>
  <c r="E111" i="65" l="1"/>
  <c r="E117" i="65" s="1"/>
  <c r="F118" i="65" s="1"/>
  <c r="F125" i="66"/>
  <c r="F105" i="66"/>
  <c r="F170" i="66" s="1"/>
  <c r="F125" i="70"/>
  <c r="F105" i="70"/>
  <c r="F170" i="70" s="1"/>
  <c r="D127" i="63"/>
  <c r="D171" i="63"/>
  <c r="D126" i="63"/>
  <c r="J21" i="70"/>
  <c r="J21" i="66"/>
  <c r="J21" i="65"/>
  <c r="J21" i="63"/>
  <c r="J106" i="27" s="1"/>
  <c r="J21" i="62"/>
  <c r="E115" i="65"/>
  <c r="E113" i="65"/>
  <c r="F87" i="65" s="1"/>
  <c r="E93" i="65"/>
  <c r="D156" i="66"/>
  <c r="D159" i="66" s="1"/>
  <c r="D158" i="66"/>
  <c r="C142" i="66" s="1"/>
  <c r="F106" i="66"/>
  <c r="E170" i="63"/>
  <c r="E114" i="63"/>
  <c r="E121" i="63"/>
  <c r="E122" i="63" s="1"/>
  <c r="E110" i="63"/>
  <c r="E111" i="63" s="1"/>
  <c r="E124" i="66"/>
  <c r="D154" i="65"/>
  <c r="D128" i="65"/>
  <c r="D129" i="65" s="1"/>
  <c r="D155" i="70"/>
  <c r="D157" i="70"/>
  <c r="E122" i="65"/>
  <c r="E124" i="70"/>
  <c r="G102" i="70"/>
  <c r="D153" i="48"/>
  <c r="D152" i="48"/>
  <c r="D155" i="48" s="1"/>
  <c r="I108" i="27"/>
  <c r="E171" i="62"/>
  <c r="E126" i="62"/>
  <c r="F217" i="62"/>
  <c r="E154" i="62"/>
  <c r="F110" i="62"/>
  <c r="F121" i="62"/>
  <c r="F114" i="62"/>
  <c r="G92" i="62" s="1"/>
  <c r="K21" i="48"/>
  <c r="F106" i="62"/>
  <c r="F107" i="62" s="1"/>
  <c r="F108" i="62" s="1"/>
  <c r="G102" i="62"/>
  <c r="E123" i="48"/>
  <c r="E167" i="48" s="1"/>
  <c r="F100" i="48"/>
  <c r="F99" i="48" s="1"/>
  <c r="F88" i="48"/>
  <c r="G89" i="48"/>
  <c r="H90" i="48" s="1"/>
  <c r="L103" i="27"/>
  <c r="F124" i="48"/>
  <c r="F104" i="48"/>
  <c r="F166" i="48" s="1"/>
  <c r="E124" i="65" l="1"/>
  <c r="E127" i="65" s="1"/>
  <c r="E117" i="63"/>
  <c r="F118" i="63" s="1"/>
  <c r="K21" i="70"/>
  <c r="K21" i="66"/>
  <c r="K21" i="65"/>
  <c r="K21" i="63"/>
  <c r="K21" i="62"/>
  <c r="D155" i="65"/>
  <c r="D157" i="65"/>
  <c r="E115" i="63"/>
  <c r="F92" i="63"/>
  <c r="F93" i="63" s="1"/>
  <c r="E113" i="63"/>
  <c r="F87" i="63" s="1"/>
  <c r="F88" i="65"/>
  <c r="F101" i="65"/>
  <c r="F100" i="65" s="1"/>
  <c r="G89" i="65"/>
  <c r="H90" i="65" s="1"/>
  <c r="F217" i="70"/>
  <c r="F110" i="70"/>
  <c r="F121" i="70"/>
  <c r="F122" i="70" s="1"/>
  <c r="F114" i="70"/>
  <c r="E126" i="66"/>
  <c r="E127" i="66"/>
  <c r="E171" i="66"/>
  <c r="F114" i="66"/>
  <c r="G92" i="66" s="1"/>
  <c r="F110" i="66"/>
  <c r="F121" i="66"/>
  <c r="F107" i="66"/>
  <c r="F108" i="66" s="1"/>
  <c r="D158" i="70"/>
  <c r="C142" i="70" s="1"/>
  <c r="D156" i="70"/>
  <c r="D159" i="70" s="1"/>
  <c r="E171" i="65"/>
  <c r="E171" i="70"/>
  <c r="E126" i="70"/>
  <c r="E127" i="70"/>
  <c r="F107" i="70"/>
  <c r="F108" i="70" s="1"/>
  <c r="D128" i="63"/>
  <c r="D129" i="63" s="1"/>
  <c r="D154" i="63"/>
  <c r="F217" i="66"/>
  <c r="F125" i="65"/>
  <c r="F105" i="65"/>
  <c r="F217" i="65" s="1"/>
  <c r="K106" i="27"/>
  <c r="J108" i="27"/>
  <c r="F111" i="62"/>
  <c r="F117" i="62" s="1"/>
  <c r="G118" i="62" s="1"/>
  <c r="E125" i="48"/>
  <c r="E126" i="48"/>
  <c r="F122" i="62"/>
  <c r="L21" i="48"/>
  <c r="F115" i="62"/>
  <c r="F113" i="62"/>
  <c r="G87" i="62" s="1"/>
  <c r="F93" i="62"/>
  <c r="E155" i="62"/>
  <c r="E157" i="62"/>
  <c r="F109" i="48"/>
  <c r="F113" i="48"/>
  <c r="G92" i="48" s="1"/>
  <c r="F120" i="48"/>
  <c r="M103" i="27"/>
  <c r="F105" i="48"/>
  <c r="F106" i="48" s="1"/>
  <c r="F107" i="48" s="1"/>
  <c r="G101" i="48"/>
  <c r="F111" i="70" l="1"/>
  <c r="F117" i="70" s="1"/>
  <c r="G118" i="70" s="1"/>
  <c r="E126" i="65"/>
  <c r="E124" i="63"/>
  <c r="E127" i="63" s="1"/>
  <c r="D155" i="63"/>
  <c r="D157" i="63"/>
  <c r="F88" i="63"/>
  <c r="G89" i="63"/>
  <c r="H90" i="63" s="1"/>
  <c r="F101" i="63"/>
  <c r="F100" i="63" s="1"/>
  <c r="D156" i="65"/>
  <c r="D159" i="65" s="1"/>
  <c r="D158" i="65"/>
  <c r="C142" i="65" s="1"/>
  <c r="E128" i="70"/>
  <c r="E129" i="70" s="1"/>
  <c r="E154" i="70"/>
  <c r="E154" i="65"/>
  <c r="E128" i="65"/>
  <c r="E129" i="65" s="1"/>
  <c r="F111" i="66"/>
  <c r="F113" i="66"/>
  <c r="G87" i="66" s="1"/>
  <c r="F115" i="66"/>
  <c r="F93" i="66"/>
  <c r="E154" i="66"/>
  <c r="E128" i="66"/>
  <c r="E129" i="66" s="1"/>
  <c r="L21" i="70"/>
  <c r="L21" i="66"/>
  <c r="L21" i="65"/>
  <c r="L21" i="63"/>
  <c r="L106" i="27" s="1"/>
  <c r="L21" i="62"/>
  <c r="F106" i="65"/>
  <c r="F107" i="65" s="1"/>
  <c r="F108" i="65" s="1"/>
  <c r="G102" i="65"/>
  <c r="E171" i="63"/>
  <c r="E126" i="63"/>
  <c r="F170" i="65"/>
  <c r="F110" i="65"/>
  <c r="F121" i="65"/>
  <c r="F114" i="65"/>
  <c r="G92" i="65" s="1"/>
  <c r="F122" i="66"/>
  <c r="F115" i="70"/>
  <c r="F113" i="70"/>
  <c r="G87" i="70" s="1"/>
  <c r="G92" i="70"/>
  <c r="G93" i="70" s="1"/>
  <c r="F125" i="63"/>
  <c r="F105" i="63"/>
  <c r="K108" i="27"/>
  <c r="E150" i="48"/>
  <c r="E151" i="48" s="1"/>
  <c r="E154" i="48" s="1"/>
  <c r="D138" i="48" s="1"/>
  <c r="E127" i="48"/>
  <c r="E128" i="48" s="1"/>
  <c r="F124" i="62"/>
  <c r="F171" i="62" s="1"/>
  <c r="F110" i="48"/>
  <c r="F116" i="48" s="1"/>
  <c r="G117" i="48" s="1"/>
  <c r="M21" i="48"/>
  <c r="E158" i="62"/>
  <c r="D142" i="62" s="1"/>
  <c r="E156" i="62"/>
  <c r="E159" i="62" s="1"/>
  <c r="H89" i="62"/>
  <c r="I90" i="62" s="1"/>
  <c r="G101" i="62"/>
  <c r="G100" i="62" s="1"/>
  <c r="G88" i="62"/>
  <c r="G125" i="62"/>
  <c r="G105" i="62"/>
  <c r="F112" i="48"/>
  <c r="G87" i="48" s="1"/>
  <c r="F93" i="48"/>
  <c r="F114" i="48"/>
  <c r="N103" i="27"/>
  <c r="F121" i="48"/>
  <c r="F124" i="70" l="1"/>
  <c r="F127" i="70" s="1"/>
  <c r="F111" i="65"/>
  <c r="F117" i="65" s="1"/>
  <c r="G118" i="65" s="1"/>
  <c r="F217" i="63"/>
  <c r="F121" i="63"/>
  <c r="F122" i="63" s="1"/>
  <c r="F114" i="63"/>
  <c r="F110" i="63"/>
  <c r="F170" i="63"/>
  <c r="F115" i="65"/>
  <c r="F113" i="65"/>
  <c r="G87" i="65" s="1"/>
  <c r="F93" i="65"/>
  <c r="G125" i="70"/>
  <c r="G105" i="70"/>
  <c r="E155" i="66"/>
  <c r="E157" i="66"/>
  <c r="F117" i="66"/>
  <c r="G118" i="66" s="1"/>
  <c r="G88" i="70"/>
  <c r="H89" i="70"/>
  <c r="I90" i="70" s="1"/>
  <c r="G101" i="70"/>
  <c r="G100" i="70" s="1"/>
  <c r="E155" i="65"/>
  <c r="E157" i="65"/>
  <c r="F122" i="65"/>
  <c r="E128" i="63"/>
  <c r="E129" i="63" s="1"/>
  <c r="E154" i="63"/>
  <c r="E157" i="70"/>
  <c r="E155" i="70"/>
  <c r="M21" i="70"/>
  <c r="M21" i="65"/>
  <c r="M21" i="66"/>
  <c r="M21" i="63"/>
  <c r="M106" i="27" s="1"/>
  <c r="M21" i="62"/>
  <c r="F126" i="70"/>
  <c r="F171" i="70"/>
  <c r="G101" i="66"/>
  <c r="G100" i="66" s="1"/>
  <c r="H89" i="66"/>
  <c r="I90" i="66" s="1"/>
  <c r="G88" i="66"/>
  <c r="G102" i="63"/>
  <c r="F106" i="63"/>
  <c r="F107" i="63" s="1"/>
  <c r="F108" i="63" s="1"/>
  <c r="D156" i="63"/>
  <c r="D159" i="63" s="1"/>
  <c r="D158" i="63"/>
  <c r="C142" i="63" s="1"/>
  <c r="E152" i="48"/>
  <c r="E155" i="48" s="1"/>
  <c r="E153" i="48"/>
  <c r="L108" i="27"/>
  <c r="F126" i="62"/>
  <c r="F127" i="62"/>
  <c r="F128" i="62" s="1"/>
  <c r="F129" i="62" s="1"/>
  <c r="F123" i="48"/>
  <c r="F125" i="48" s="1"/>
  <c r="G114" i="62"/>
  <c r="H92" i="62" s="1"/>
  <c r="G121" i="62"/>
  <c r="G110" i="62"/>
  <c r="G217" i="62"/>
  <c r="G106" i="62"/>
  <c r="G107" i="62" s="1"/>
  <c r="G108" i="62" s="1"/>
  <c r="H102" i="62"/>
  <c r="N21" i="48"/>
  <c r="G170" i="62"/>
  <c r="O103" i="27"/>
  <c r="G100" i="48"/>
  <c r="G99" i="48" s="1"/>
  <c r="H89" i="48"/>
  <c r="I90" i="48" s="1"/>
  <c r="G88" i="48"/>
  <c r="G124" i="48"/>
  <c r="G104" i="48"/>
  <c r="G166" i="48" s="1"/>
  <c r="F111" i="63" l="1"/>
  <c r="F124" i="65"/>
  <c r="F171" i="65" s="1"/>
  <c r="E157" i="63"/>
  <c r="E155" i="63"/>
  <c r="G106" i="70"/>
  <c r="G107" i="70" s="1"/>
  <c r="G108" i="70" s="1"/>
  <c r="H102" i="70"/>
  <c r="F124" i="66"/>
  <c r="G125" i="66"/>
  <c r="G105" i="66"/>
  <c r="G170" i="66" s="1"/>
  <c r="G217" i="70"/>
  <c r="G110" i="70"/>
  <c r="G121" i="70"/>
  <c r="G122" i="70" s="1"/>
  <c r="G114" i="70"/>
  <c r="G106" i="66"/>
  <c r="H102" i="66"/>
  <c r="F128" i="70"/>
  <c r="F129" i="70" s="1"/>
  <c r="F154" i="70"/>
  <c r="E156" i="70"/>
  <c r="E159" i="70" s="1"/>
  <c r="E158" i="70"/>
  <c r="D142" i="70" s="1"/>
  <c r="E156" i="65"/>
  <c r="E159" i="65" s="1"/>
  <c r="E158" i="65"/>
  <c r="D142" i="65" s="1"/>
  <c r="G170" i="70"/>
  <c r="G88" i="65"/>
  <c r="H89" i="65"/>
  <c r="I90" i="65" s="1"/>
  <c r="G101" i="65"/>
  <c r="G100" i="65" s="1"/>
  <c r="F127" i="65"/>
  <c r="N21" i="70"/>
  <c r="N21" i="66"/>
  <c r="N21" i="65"/>
  <c r="N21" i="63"/>
  <c r="N106" i="27" s="1"/>
  <c r="N21" i="62"/>
  <c r="F117" i="63"/>
  <c r="G118" i="63" s="1"/>
  <c r="E156" i="66"/>
  <c r="E159" i="66" s="1"/>
  <c r="E158" i="66"/>
  <c r="D142" i="66" s="1"/>
  <c r="G92" i="63"/>
  <c r="G93" i="63" s="1"/>
  <c r="F115" i="63"/>
  <c r="F113" i="63"/>
  <c r="G87" i="63" s="1"/>
  <c r="G125" i="65"/>
  <c r="G105" i="65"/>
  <c r="M108" i="27"/>
  <c r="F154" i="62"/>
  <c r="F155" i="62" s="1"/>
  <c r="F167" i="48"/>
  <c r="F126" i="48"/>
  <c r="G111" i="62"/>
  <c r="G117" i="62" s="1"/>
  <c r="G122" i="62"/>
  <c r="O21" i="48"/>
  <c r="G113" i="62"/>
  <c r="H87" i="62" s="1"/>
  <c r="G93" i="62"/>
  <c r="G115" i="62"/>
  <c r="G105" i="48"/>
  <c r="G106" i="48" s="1"/>
  <c r="G107" i="48" s="1"/>
  <c r="H101" i="48"/>
  <c r="G109" i="48"/>
  <c r="G120" i="48"/>
  <c r="G113" i="48"/>
  <c r="H92" i="48" s="1"/>
  <c r="P103" i="27"/>
  <c r="F126" i="65" l="1"/>
  <c r="G217" i="66"/>
  <c r="G111" i="70"/>
  <c r="G117" i="70" s="1"/>
  <c r="H118" i="70" s="1"/>
  <c r="G217" i="65"/>
  <c r="G114" i="65"/>
  <c r="H92" i="65" s="1"/>
  <c r="G110" i="65"/>
  <c r="G121" i="65"/>
  <c r="G101" i="63"/>
  <c r="G100" i="63" s="1"/>
  <c r="G88" i="63"/>
  <c r="H89" i="63"/>
  <c r="I90" i="63" s="1"/>
  <c r="G125" i="63"/>
  <c r="G105" i="63"/>
  <c r="G217" i="63" s="1"/>
  <c r="O21" i="70"/>
  <c r="O21" i="66"/>
  <c r="O21" i="65"/>
  <c r="O21" i="63"/>
  <c r="O106" i="27" s="1"/>
  <c r="O21" i="62"/>
  <c r="G170" i="65"/>
  <c r="G106" i="65"/>
  <c r="G107" i="65" s="1"/>
  <c r="G108" i="65" s="1"/>
  <c r="H102" i="65"/>
  <c r="G115" i="70"/>
  <c r="G113" i="70"/>
  <c r="H87" i="70" s="1"/>
  <c r="H92" i="70"/>
  <c r="H93" i="70" s="1"/>
  <c r="G107" i="66"/>
  <c r="G108" i="66" s="1"/>
  <c r="G111" i="66" s="1"/>
  <c r="G110" i="66"/>
  <c r="G114" i="66"/>
  <c r="H92" i="66" s="1"/>
  <c r="G121" i="66"/>
  <c r="E158" i="63"/>
  <c r="D142" i="63" s="1"/>
  <c r="E156" i="63"/>
  <c r="E159" i="63" s="1"/>
  <c r="F124" i="63"/>
  <c r="F128" i="65"/>
  <c r="F129" i="65" s="1"/>
  <c r="F154" i="65"/>
  <c r="F155" i="70"/>
  <c r="F157" i="70"/>
  <c r="F126" i="66"/>
  <c r="F127" i="66"/>
  <c r="F171" i="66"/>
  <c r="N108" i="27"/>
  <c r="F127" i="48"/>
  <c r="F128" i="48" s="1"/>
  <c r="F157" i="62"/>
  <c r="F150" i="48"/>
  <c r="F151" i="48" s="1"/>
  <c r="F154" i="48" s="1"/>
  <c r="E138" i="48" s="1"/>
  <c r="H118" i="62"/>
  <c r="H125" i="62" s="1"/>
  <c r="G124" i="62"/>
  <c r="G126" i="62" s="1"/>
  <c r="G110" i="48"/>
  <c r="G116" i="48" s="1"/>
  <c r="H117" i="48" s="1"/>
  <c r="P21" i="48"/>
  <c r="F158" i="62"/>
  <c r="E142" i="62" s="1"/>
  <c r="F156" i="62"/>
  <c r="F159" i="62" s="1"/>
  <c r="H101" i="62"/>
  <c r="H100" i="62" s="1"/>
  <c r="H88" i="62"/>
  <c r="I89" i="62"/>
  <c r="J90" i="62" s="1"/>
  <c r="G121" i="48"/>
  <c r="Q103" i="27"/>
  <c r="G114" i="48"/>
  <c r="G112" i="48"/>
  <c r="H87" i="48" s="1"/>
  <c r="G93" i="48"/>
  <c r="G124" i="70" l="1"/>
  <c r="G127" i="70" s="1"/>
  <c r="G111" i="65"/>
  <c r="G117" i="65" s="1"/>
  <c r="H118" i="65" s="1"/>
  <c r="G122" i="65"/>
  <c r="F126" i="63"/>
  <c r="F127" i="63"/>
  <c r="F171" i="63"/>
  <c r="G117" i="66"/>
  <c r="H118" i="66" s="1"/>
  <c r="H125" i="70"/>
  <c r="H105" i="70"/>
  <c r="H217" i="70" s="1"/>
  <c r="G170" i="63"/>
  <c r="G121" i="63"/>
  <c r="G122" i="63" s="1"/>
  <c r="G110" i="63"/>
  <c r="G114" i="63"/>
  <c r="G106" i="63"/>
  <c r="G107" i="63" s="1"/>
  <c r="G108" i="63" s="1"/>
  <c r="H102" i="63"/>
  <c r="F128" i="66"/>
  <c r="F129" i="66" s="1"/>
  <c r="F154" i="66"/>
  <c r="F155" i="65"/>
  <c r="F157" i="65"/>
  <c r="G122" i="66"/>
  <c r="G115" i="65"/>
  <c r="G113" i="65"/>
  <c r="H87" i="65" s="1"/>
  <c r="G93" i="65"/>
  <c r="P21" i="70"/>
  <c r="P21" i="66"/>
  <c r="P21" i="65"/>
  <c r="P21" i="63"/>
  <c r="P106" i="27" s="1"/>
  <c r="P21" i="62"/>
  <c r="F156" i="70"/>
  <c r="F159" i="70" s="1"/>
  <c r="F158" i="70"/>
  <c r="E142" i="70" s="1"/>
  <c r="G113" i="66"/>
  <c r="H87" i="66" s="1"/>
  <c r="G93" i="66"/>
  <c r="G115" i="66"/>
  <c r="H88" i="70"/>
  <c r="I89" i="70"/>
  <c r="J90" i="70" s="1"/>
  <c r="H101" i="70"/>
  <c r="H100" i="70" s="1"/>
  <c r="O108" i="27"/>
  <c r="F152" i="48"/>
  <c r="F155" i="48" s="1"/>
  <c r="F153" i="48"/>
  <c r="G171" i="62"/>
  <c r="G127" i="62"/>
  <c r="H105" i="62"/>
  <c r="H170" i="62" s="1"/>
  <c r="H106" i="62"/>
  <c r="I102" i="62"/>
  <c r="Q21" i="48"/>
  <c r="R103" i="27"/>
  <c r="H124" i="48"/>
  <c r="H104" i="48"/>
  <c r="I89" i="48"/>
  <c r="J90" i="48" s="1"/>
  <c r="H100" i="48"/>
  <c r="H99" i="48" s="1"/>
  <c r="H88" i="48"/>
  <c r="G123" i="48"/>
  <c r="G126" i="70" l="1"/>
  <c r="G171" i="70"/>
  <c r="G124" i="65"/>
  <c r="G127" i="65" s="1"/>
  <c r="H106" i="70"/>
  <c r="H107" i="70" s="1"/>
  <c r="H108" i="70" s="1"/>
  <c r="I102" i="70"/>
  <c r="F157" i="66"/>
  <c r="F155" i="66"/>
  <c r="G115" i="63"/>
  <c r="G113" i="63"/>
  <c r="H87" i="63" s="1"/>
  <c r="H92" i="63"/>
  <c r="H93" i="63" s="1"/>
  <c r="H170" i="70"/>
  <c r="H110" i="70"/>
  <c r="H121" i="70"/>
  <c r="H122" i="70" s="1"/>
  <c r="H114" i="70"/>
  <c r="G124" i="66"/>
  <c r="H101" i="66"/>
  <c r="H100" i="66" s="1"/>
  <c r="I89" i="66"/>
  <c r="J90" i="66" s="1"/>
  <c r="H88" i="66"/>
  <c r="H125" i="66"/>
  <c r="H105" i="66"/>
  <c r="H170" i="66" s="1"/>
  <c r="G128" i="70"/>
  <c r="G129" i="70" s="1"/>
  <c r="G154" i="70"/>
  <c r="G171" i="65"/>
  <c r="Q21" i="70"/>
  <c r="Q21" i="66"/>
  <c r="Q21" i="65"/>
  <c r="Q21" i="63"/>
  <c r="Q106" i="27" s="1"/>
  <c r="Q21" i="62"/>
  <c r="I89" i="65"/>
  <c r="J90" i="65" s="1"/>
  <c r="H101" i="65"/>
  <c r="H100" i="65" s="1"/>
  <c r="H88" i="65"/>
  <c r="F158" i="65"/>
  <c r="E142" i="65" s="1"/>
  <c r="F156" i="65"/>
  <c r="F159" i="65" s="1"/>
  <c r="G111" i="63"/>
  <c r="G117" i="63" s="1"/>
  <c r="F128" i="63"/>
  <c r="F129" i="63" s="1"/>
  <c r="F154" i="63"/>
  <c r="H125" i="65"/>
  <c r="H105" i="65"/>
  <c r="H217" i="65" s="1"/>
  <c r="P108" i="27"/>
  <c r="G154" i="62"/>
  <c r="G155" i="62" s="1"/>
  <c r="G128" i="62"/>
  <c r="G129" i="62" s="1"/>
  <c r="H107" i="62"/>
  <c r="H108" i="62" s="1"/>
  <c r="H114" i="62"/>
  <c r="H110" i="62"/>
  <c r="H121" i="62"/>
  <c r="H122" i="62" s="1"/>
  <c r="H217" i="62"/>
  <c r="R21" i="48"/>
  <c r="S103" i="27"/>
  <c r="G125" i="48"/>
  <c r="G126" i="48"/>
  <c r="G127" i="48" s="1"/>
  <c r="G167" i="48"/>
  <c r="H113" i="48"/>
  <c r="I92" i="48" s="1"/>
  <c r="H120" i="48"/>
  <c r="H121" i="48" s="1"/>
  <c r="H109" i="48"/>
  <c r="H105" i="48"/>
  <c r="H106" i="48" s="1"/>
  <c r="H107" i="48" s="1"/>
  <c r="I101" i="48"/>
  <c r="H166" i="48"/>
  <c r="G126" i="65" l="1"/>
  <c r="H170" i="65"/>
  <c r="F155" i="63"/>
  <c r="F157" i="63"/>
  <c r="G128" i="65"/>
  <c r="G129" i="65" s="1"/>
  <c r="G154" i="65"/>
  <c r="G127" i="66"/>
  <c r="G126" i="66"/>
  <c r="G171" i="66"/>
  <c r="F158" i="66"/>
  <c r="E142" i="66" s="1"/>
  <c r="F156" i="66"/>
  <c r="F159" i="66" s="1"/>
  <c r="H121" i="66"/>
  <c r="H110" i="66"/>
  <c r="H114" i="66"/>
  <c r="I92" i="66" s="1"/>
  <c r="H115" i="70"/>
  <c r="H113" i="70"/>
  <c r="I87" i="70" s="1"/>
  <c r="I92" i="70"/>
  <c r="I93" i="70" s="1"/>
  <c r="R21" i="70"/>
  <c r="R21" i="66"/>
  <c r="R21" i="65"/>
  <c r="R21" i="63"/>
  <c r="R106" i="27" s="1"/>
  <c r="R21" i="62"/>
  <c r="G124" i="63"/>
  <c r="H118" i="63"/>
  <c r="H101" i="63"/>
  <c r="H100" i="63" s="1"/>
  <c r="H88" i="63"/>
  <c r="I89" i="63"/>
  <c r="J90" i="63" s="1"/>
  <c r="H114" i="65"/>
  <c r="I92" i="65" s="1"/>
  <c r="H110" i="65"/>
  <c r="H121" i="65"/>
  <c r="H106" i="65"/>
  <c r="H107" i="65" s="1"/>
  <c r="H108" i="65" s="1"/>
  <c r="I102" i="65"/>
  <c r="G155" i="70"/>
  <c r="G157" i="70"/>
  <c r="H217" i="66"/>
  <c r="H106" i="66"/>
  <c r="H107" i="66" s="1"/>
  <c r="H108" i="66" s="1"/>
  <c r="I102" i="66"/>
  <c r="H111" i="70"/>
  <c r="G157" i="62"/>
  <c r="Q108" i="27"/>
  <c r="H93" i="62"/>
  <c r="I92" i="62"/>
  <c r="H111" i="62"/>
  <c r="H117" i="62" s="1"/>
  <c r="I118" i="62" s="1"/>
  <c r="I125" i="62" s="1"/>
  <c r="H113" i="62"/>
  <c r="I87" i="62" s="1"/>
  <c r="I101" i="62" s="1"/>
  <c r="I100" i="62" s="1"/>
  <c r="H115" i="62"/>
  <c r="G158" i="62"/>
  <c r="F142" i="62" s="1"/>
  <c r="G156" i="62"/>
  <c r="G159" i="62" s="1"/>
  <c r="H110" i="48"/>
  <c r="H116" i="48" s="1"/>
  <c r="I117" i="48" s="1"/>
  <c r="S21" i="48"/>
  <c r="H93" i="48"/>
  <c r="H112" i="48"/>
  <c r="I87" i="48" s="1"/>
  <c r="H114" i="48"/>
  <c r="T103" i="27"/>
  <c r="G128" i="48"/>
  <c r="G150" i="48"/>
  <c r="G151" i="48" s="1"/>
  <c r="H111" i="66" l="1"/>
  <c r="H117" i="66" s="1"/>
  <c r="I118" i="66" s="1"/>
  <c r="H111" i="65"/>
  <c r="H117" i="65" s="1"/>
  <c r="I118" i="65" s="1"/>
  <c r="S21" i="70"/>
  <c r="S21" i="66"/>
  <c r="S21" i="65"/>
  <c r="S21" i="62"/>
  <c r="S21" i="63"/>
  <c r="H117" i="70"/>
  <c r="I118" i="70" s="1"/>
  <c r="H122" i="66"/>
  <c r="H122" i="65"/>
  <c r="H125" i="63"/>
  <c r="H105" i="63"/>
  <c r="I88" i="70"/>
  <c r="J89" i="70"/>
  <c r="K90" i="70" s="1"/>
  <c r="I101" i="70"/>
  <c r="I100" i="70" s="1"/>
  <c r="H93" i="66"/>
  <c r="H115" i="66"/>
  <c r="H113" i="66"/>
  <c r="I87" i="66" s="1"/>
  <c r="G158" i="70"/>
  <c r="F142" i="70" s="1"/>
  <c r="G156" i="70"/>
  <c r="G159" i="70" s="1"/>
  <c r="G126" i="63"/>
  <c r="G127" i="63"/>
  <c r="G171" i="63"/>
  <c r="G154" i="66"/>
  <c r="G128" i="66"/>
  <c r="G129" i="66" s="1"/>
  <c r="H115" i="65"/>
  <c r="H93" i="65"/>
  <c r="H113" i="65"/>
  <c r="I87" i="65" s="1"/>
  <c r="H106" i="63"/>
  <c r="I102" i="63"/>
  <c r="G157" i="65"/>
  <c r="G155" i="65"/>
  <c r="F156" i="63"/>
  <c r="F159" i="63" s="1"/>
  <c r="F158" i="63"/>
  <c r="E142" i="63" s="1"/>
  <c r="R108" i="27"/>
  <c r="S106" i="27"/>
  <c r="H124" i="62"/>
  <c r="H127" i="62" s="1"/>
  <c r="I105" i="62"/>
  <c r="I170" i="62" s="1"/>
  <c r="I88" i="62"/>
  <c r="J89" i="62"/>
  <c r="K90" i="62" s="1"/>
  <c r="I106" i="62"/>
  <c r="J102" i="62"/>
  <c r="T21" i="48"/>
  <c r="H123" i="48"/>
  <c r="H126" i="48" s="1"/>
  <c r="H127" i="48" s="1"/>
  <c r="U103" i="27"/>
  <c r="I100" i="48"/>
  <c r="I99" i="48" s="1"/>
  <c r="I88" i="48"/>
  <c r="J89" i="48"/>
  <c r="K90" i="48" s="1"/>
  <c r="G154" i="48"/>
  <c r="F138" i="48" s="1"/>
  <c r="G152" i="48"/>
  <c r="G155" i="48" s="1"/>
  <c r="G153" i="48"/>
  <c r="I124" i="48"/>
  <c r="I104" i="48"/>
  <c r="H124" i="66" l="1"/>
  <c r="H124" i="70"/>
  <c r="H127" i="70" s="1"/>
  <c r="H107" i="63"/>
  <c r="H108" i="63" s="1"/>
  <c r="H124" i="65"/>
  <c r="H126" i="65" s="1"/>
  <c r="T21" i="70"/>
  <c r="T21" i="66"/>
  <c r="T21" i="65"/>
  <c r="T21" i="63"/>
  <c r="T106" i="27" s="1"/>
  <c r="T21" i="62"/>
  <c r="I88" i="66"/>
  <c r="I101" i="66"/>
  <c r="I100" i="66" s="1"/>
  <c r="J89" i="66"/>
  <c r="K90" i="66" s="1"/>
  <c r="H217" i="63"/>
  <c r="H121" i="63"/>
  <c r="H122" i="63" s="1"/>
  <c r="H110" i="63"/>
  <c r="H114" i="63"/>
  <c r="I125" i="65"/>
  <c r="I105" i="65"/>
  <c r="I88" i="65"/>
  <c r="I101" i="65"/>
  <c r="I100" i="65" s="1"/>
  <c r="J89" i="65"/>
  <c r="K90" i="65" s="1"/>
  <c r="I125" i="70"/>
  <c r="I105" i="70"/>
  <c r="H126" i="66"/>
  <c r="H127" i="66"/>
  <c r="H171" i="66"/>
  <c r="G156" i="65"/>
  <c r="G159" i="65" s="1"/>
  <c r="G158" i="65"/>
  <c r="F142" i="65" s="1"/>
  <c r="G157" i="66"/>
  <c r="G155" i="66"/>
  <c r="G128" i="63"/>
  <c r="G129" i="63" s="1"/>
  <c r="G154" i="63"/>
  <c r="I106" i="70"/>
  <c r="J102" i="70"/>
  <c r="H170" i="63"/>
  <c r="I125" i="66"/>
  <c r="I105" i="66"/>
  <c r="I217" i="66" s="1"/>
  <c r="H171" i="62"/>
  <c r="S108" i="27"/>
  <c r="H154" i="62"/>
  <c r="H155" i="62" s="1"/>
  <c r="H128" i="62"/>
  <c r="H129" i="62" s="1"/>
  <c r="H126" i="62"/>
  <c r="I217" i="62"/>
  <c r="I107" i="62"/>
  <c r="I108" i="62" s="1"/>
  <c r="I121" i="62"/>
  <c r="I122" i="62" s="1"/>
  <c r="I114" i="62"/>
  <c r="I110" i="62"/>
  <c r="H167" i="48"/>
  <c r="H125" i="48"/>
  <c r="U21" i="48"/>
  <c r="I109" i="48"/>
  <c r="I113" i="48"/>
  <c r="J92" i="48" s="1"/>
  <c r="I120" i="48"/>
  <c r="I121" i="48" s="1"/>
  <c r="H150" i="48"/>
  <c r="H151" i="48" s="1"/>
  <c r="H128" i="48"/>
  <c r="I105" i="48"/>
  <c r="I106" i="48" s="1"/>
  <c r="I107" i="48" s="1"/>
  <c r="J101" i="48"/>
  <c r="V103" i="27"/>
  <c r="I166" i="48"/>
  <c r="H171" i="70" l="1"/>
  <c r="H126" i="70"/>
  <c r="I170" i="66"/>
  <c r="I107" i="70"/>
  <c r="I108" i="70" s="1"/>
  <c r="H127" i="65"/>
  <c r="H154" i="65" s="1"/>
  <c r="H171" i="65"/>
  <c r="H111" i="63"/>
  <c r="H117" i="63" s="1"/>
  <c r="I118" i="63" s="1"/>
  <c r="G155" i="63"/>
  <c r="G157" i="63"/>
  <c r="U21" i="70"/>
  <c r="U21" i="65"/>
  <c r="U21" i="66"/>
  <c r="U21" i="63"/>
  <c r="U106" i="27" s="1"/>
  <c r="U21" i="62"/>
  <c r="I217" i="65"/>
  <c r="I121" i="65"/>
  <c r="I122" i="65" s="1"/>
  <c r="I114" i="65"/>
  <c r="J92" i="65" s="1"/>
  <c r="I110" i="65"/>
  <c r="I106" i="66"/>
  <c r="I107" i="66" s="1"/>
  <c r="I108" i="66" s="1"/>
  <c r="J102" i="66"/>
  <c r="G156" i="66"/>
  <c r="G159" i="66" s="1"/>
  <c r="G158" i="66"/>
  <c r="F142" i="66" s="1"/>
  <c r="I170" i="70"/>
  <c r="I110" i="70"/>
  <c r="I111" i="70" s="1"/>
  <c r="I121" i="70"/>
  <c r="I122" i="70" s="1"/>
  <c r="I114" i="70"/>
  <c r="I170" i="65"/>
  <c r="I114" i="66"/>
  <c r="J92" i="66" s="1"/>
  <c r="I110" i="66"/>
  <c r="I121" i="66"/>
  <c r="I122" i="66" s="1"/>
  <c r="H154" i="66"/>
  <c r="H128" i="66"/>
  <c r="H129" i="66" s="1"/>
  <c r="I217" i="70"/>
  <c r="I106" i="65"/>
  <c r="I107" i="65" s="1"/>
  <c r="I108" i="65" s="1"/>
  <c r="J102" i="65"/>
  <c r="H128" i="70"/>
  <c r="H129" i="70" s="1"/>
  <c r="H154" i="70"/>
  <c r="H113" i="63"/>
  <c r="I87" i="63" s="1"/>
  <c r="H115" i="63"/>
  <c r="I92" i="63"/>
  <c r="I93" i="63" s="1"/>
  <c r="H157" i="62"/>
  <c r="T108" i="27"/>
  <c r="I115" i="62"/>
  <c r="J92" i="62"/>
  <c r="I111" i="62"/>
  <c r="I117" i="62" s="1"/>
  <c r="J118" i="62" s="1"/>
  <c r="J105" i="62" s="1"/>
  <c r="J170" i="62" s="1"/>
  <c r="I113" i="62"/>
  <c r="J87" i="62" s="1"/>
  <c r="K89" i="62" s="1"/>
  <c r="L90" i="62" s="1"/>
  <c r="I93" i="62"/>
  <c r="I110" i="48"/>
  <c r="I116" i="48" s="1"/>
  <c r="J117" i="48" s="1"/>
  <c r="V21" i="48"/>
  <c r="H158" i="62"/>
  <c r="G142" i="62" s="1"/>
  <c r="H156" i="62"/>
  <c r="H159" i="62" s="1"/>
  <c r="H153" i="48"/>
  <c r="H154" i="48"/>
  <c r="G138" i="48" s="1"/>
  <c r="H152" i="48"/>
  <c r="H155" i="48" s="1"/>
  <c r="W103" i="27"/>
  <c r="I112" i="48"/>
  <c r="J87" i="48" s="1"/>
  <c r="I114" i="48"/>
  <c r="I93" i="48"/>
  <c r="H128" i="65" l="1"/>
  <c r="H129" i="65" s="1"/>
  <c r="I111" i="65"/>
  <c r="I117" i="65" s="1"/>
  <c r="J118" i="65" s="1"/>
  <c r="H155" i="70"/>
  <c r="H157" i="70"/>
  <c r="I115" i="65"/>
  <c r="I93" i="65"/>
  <c r="I113" i="65"/>
  <c r="J87" i="65" s="1"/>
  <c r="I125" i="63"/>
  <c r="I105" i="63"/>
  <c r="I170" i="63" s="1"/>
  <c r="I117" i="70"/>
  <c r="J118" i="70" s="1"/>
  <c r="I113" i="66"/>
  <c r="J87" i="66" s="1"/>
  <c r="I93" i="66"/>
  <c r="I115" i="66"/>
  <c r="J92" i="70"/>
  <c r="J93" i="70" s="1"/>
  <c r="I115" i="70"/>
  <c r="I113" i="70"/>
  <c r="J87" i="70" s="1"/>
  <c r="H157" i="65"/>
  <c r="H155" i="65"/>
  <c r="I111" i="66"/>
  <c r="V21" i="70"/>
  <c r="V21" i="66"/>
  <c r="V21" i="65"/>
  <c r="V21" i="63"/>
  <c r="V106" i="27" s="1"/>
  <c r="V21" i="62"/>
  <c r="J89" i="63"/>
  <c r="K90" i="63" s="1"/>
  <c r="I88" i="63"/>
  <c r="I101" i="63"/>
  <c r="I100" i="63" s="1"/>
  <c r="H155" i="66"/>
  <c r="H157" i="66"/>
  <c r="H124" i="63"/>
  <c r="G158" i="63"/>
  <c r="F142" i="63" s="1"/>
  <c r="G156" i="63"/>
  <c r="G159" i="63" s="1"/>
  <c r="U108" i="27"/>
  <c r="I124" i="62"/>
  <c r="I126" i="62" s="1"/>
  <c r="J125" i="62"/>
  <c r="J88" i="62"/>
  <c r="J101" i="62"/>
  <c r="J100" i="62" s="1"/>
  <c r="K102" i="62" s="1"/>
  <c r="J217" i="62"/>
  <c r="W21" i="48"/>
  <c r="J121" i="62"/>
  <c r="J122" i="62" s="1"/>
  <c r="J110" i="62"/>
  <c r="J114" i="62"/>
  <c r="K92" i="62" s="1"/>
  <c r="J124" i="48"/>
  <c r="J104" i="48"/>
  <c r="J166" i="48" s="1"/>
  <c r="J100" i="48"/>
  <c r="J99" i="48" s="1"/>
  <c r="J88" i="48"/>
  <c r="K89" i="48"/>
  <c r="L90" i="48" s="1"/>
  <c r="X103" i="27"/>
  <c r="I123" i="48"/>
  <c r="I124" i="65" l="1"/>
  <c r="I127" i="65" s="1"/>
  <c r="I217" i="63"/>
  <c r="J125" i="70"/>
  <c r="J105" i="70"/>
  <c r="J88" i="70"/>
  <c r="K89" i="70"/>
  <c r="L90" i="70" s="1"/>
  <c r="J101" i="70"/>
  <c r="J100" i="70" s="1"/>
  <c r="J88" i="65"/>
  <c r="J101" i="65"/>
  <c r="J100" i="65" s="1"/>
  <c r="K89" i="65"/>
  <c r="L90" i="65" s="1"/>
  <c r="H158" i="70"/>
  <c r="G142" i="70" s="1"/>
  <c r="H156" i="70"/>
  <c r="H159" i="70" s="1"/>
  <c r="H126" i="63"/>
  <c r="H171" i="63"/>
  <c r="H127" i="63"/>
  <c r="H158" i="66"/>
  <c r="G142" i="66" s="1"/>
  <c r="H156" i="66"/>
  <c r="H159" i="66" s="1"/>
  <c r="H156" i="65"/>
  <c r="H159" i="65" s="1"/>
  <c r="H158" i="65"/>
  <c r="G142" i="65" s="1"/>
  <c r="K89" i="66"/>
  <c r="L90" i="66" s="1"/>
  <c r="J88" i="66"/>
  <c r="J101" i="66"/>
  <c r="J100" i="66" s="1"/>
  <c r="W21" i="70"/>
  <c r="W21" i="66"/>
  <c r="W21" i="65"/>
  <c r="W21" i="63"/>
  <c r="W106" i="27" s="1"/>
  <c r="W21" i="62"/>
  <c r="I106" i="63"/>
  <c r="I107" i="63" s="1"/>
  <c r="I108" i="63" s="1"/>
  <c r="J102" i="63"/>
  <c r="I117" i="66"/>
  <c r="J118" i="66" s="1"/>
  <c r="I124" i="70"/>
  <c r="I110" i="63"/>
  <c r="I121" i="63"/>
  <c r="I122" i="63" s="1"/>
  <c r="I114" i="63"/>
  <c r="J125" i="65"/>
  <c r="J105" i="65"/>
  <c r="J170" i="65" s="1"/>
  <c r="I127" i="62"/>
  <c r="I128" i="62" s="1"/>
  <c r="I129" i="62" s="1"/>
  <c r="I171" i="62"/>
  <c r="V108" i="27"/>
  <c r="J106" i="62"/>
  <c r="J107" i="62" s="1"/>
  <c r="J108" i="62" s="1"/>
  <c r="J111" i="62" s="1"/>
  <c r="J117" i="62" s="1"/>
  <c r="J113" i="62"/>
  <c r="K87" i="62" s="1"/>
  <c r="J115" i="62"/>
  <c r="J93" i="62"/>
  <c r="X21" i="48"/>
  <c r="J105" i="48"/>
  <c r="J106" i="48" s="1"/>
  <c r="J107" i="48" s="1"/>
  <c r="K101" i="48"/>
  <c r="I126" i="48"/>
  <c r="I127" i="48" s="1"/>
  <c r="I125" i="48"/>
  <c r="I167" i="48"/>
  <c r="J120" i="48"/>
  <c r="J121" i="48" s="1"/>
  <c r="J109" i="48"/>
  <c r="J113" i="48"/>
  <c r="K92" i="48" s="1"/>
  <c r="Y103" i="27"/>
  <c r="I126" i="65" l="1"/>
  <c r="I171" i="65"/>
  <c r="I111" i="63"/>
  <c r="I128" i="65"/>
  <c r="I129" i="65" s="1"/>
  <c r="I154" i="65"/>
  <c r="H154" i="63"/>
  <c r="H128" i="63"/>
  <c r="H129" i="63" s="1"/>
  <c r="X21" i="70"/>
  <c r="X21" i="65"/>
  <c r="X21" i="66"/>
  <c r="X21" i="63"/>
  <c r="X21" i="62"/>
  <c r="J114" i="65"/>
  <c r="K92" i="65" s="1"/>
  <c r="J110" i="65"/>
  <c r="J121" i="65"/>
  <c r="J122" i="65" s="1"/>
  <c r="I127" i="70"/>
  <c r="I126" i="70"/>
  <c r="I171" i="70"/>
  <c r="I117" i="63"/>
  <c r="J118" i="63" s="1"/>
  <c r="J106" i="70"/>
  <c r="J107" i="70" s="1"/>
  <c r="J108" i="70" s="1"/>
  <c r="K102" i="70"/>
  <c r="J217" i="70"/>
  <c r="J110" i="70"/>
  <c r="J121" i="70"/>
  <c r="J122" i="70" s="1"/>
  <c r="J114" i="70"/>
  <c r="J92" i="63"/>
  <c r="J93" i="63" s="1"/>
  <c r="I115" i="63"/>
  <c r="I113" i="63"/>
  <c r="J87" i="63" s="1"/>
  <c r="I124" i="66"/>
  <c r="J170" i="70"/>
  <c r="J217" i="65"/>
  <c r="J125" i="66"/>
  <c r="J105" i="66"/>
  <c r="J170" i="66" s="1"/>
  <c r="J106" i="66"/>
  <c r="K102" i="66"/>
  <c r="J106" i="65"/>
  <c r="J107" i="65" s="1"/>
  <c r="J108" i="65" s="1"/>
  <c r="K102" i="65"/>
  <c r="I154" i="62"/>
  <c r="I155" i="62" s="1"/>
  <c r="I158" i="62" s="1"/>
  <c r="H142" i="62" s="1"/>
  <c r="X106" i="27"/>
  <c r="W108" i="27"/>
  <c r="K118" i="62"/>
  <c r="K105" i="62" s="1"/>
  <c r="K217" i="62" s="1"/>
  <c r="J124" i="62"/>
  <c r="J171" i="62" s="1"/>
  <c r="Y21" i="48"/>
  <c r="L89" i="62"/>
  <c r="M90" i="62" s="1"/>
  <c r="K101" i="62"/>
  <c r="K100" i="62" s="1"/>
  <c r="K88" i="62"/>
  <c r="J110" i="48"/>
  <c r="J116" i="48" s="1"/>
  <c r="K117" i="48" s="1"/>
  <c r="I150" i="48"/>
  <c r="I151" i="48" s="1"/>
  <c r="I128" i="48"/>
  <c r="J112" i="48"/>
  <c r="K87" i="48" s="1"/>
  <c r="J114" i="48"/>
  <c r="J93" i="48"/>
  <c r="Z103" i="27"/>
  <c r="J217" i="66" l="1"/>
  <c r="J111" i="65"/>
  <c r="J117" i="65" s="1"/>
  <c r="J124" i="65" s="1"/>
  <c r="J105" i="63"/>
  <c r="J125" i="63"/>
  <c r="J115" i="65"/>
  <c r="J93" i="65"/>
  <c r="J113" i="65"/>
  <c r="K87" i="65" s="1"/>
  <c r="I155" i="65"/>
  <c r="I157" i="65"/>
  <c r="I127" i="66"/>
  <c r="I126" i="66"/>
  <c r="I171" i="66"/>
  <c r="J115" i="70"/>
  <c r="J113" i="70"/>
  <c r="K87" i="70" s="1"/>
  <c r="K92" i="70"/>
  <c r="K93" i="70" s="1"/>
  <c r="Y21" i="70"/>
  <c r="Y21" i="65"/>
  <c r="Y21" i="66"/>
  <c r="Y21" i="62"/>
  <c r="Y21" i="63"/>
  <c r="J114" i="66"/>
  <c r="K92" i="66" s="1"/>
  <c r="J110" i="66"/>
  <c r="J121" i="66"/>
  <c r="J122" i="66" s="1"/>
  <c r="J107" i="66"/>
  <c r="J108" i="66" s="1"/>
  <c r="J88" i="63"/>
  <c r="K89" i="63"/>
  <c r="L90" i="63" s="1"/>
  <c r="J101" i="63"/>
  <c r="J100" i="63" s="1"/>
  <c r="J111" i="70"/>
  <c r="I124" i="63"/>
  <c r="I128" i="70"/>
  <c r="I129" i="70" s="1"/>
  <c r="I154" i="70"/>
  <c r="H157" i="63"/>
  <c r="H155" i="63"/>
  <c r="I156" i="62"/>
  <c r="I159" i="62" s="1"/>
  <c r="I157" i="62"/>
  <c r="Y106" i="27"/>
  <c r="X108" i="27"/>
  <c r="K125" i="62"/>
  <c r="J126" i="62"/>
  <c r="J127" i="62"/>
  <c r="K170" i="62"/>
  <c r="K106" i="62"/>
  <c r="K107" i="62" s="1"/>
  <c r="K108" i="62" s="1"/>
  <c r="L102" i="62"/>
  <c r="K121" i="62"/>
  <c r="K122" i="62" s="1"/>
  <c r="K114" i="62"/>
  <c r="L92" i="62" s="1"/>
  <c r="K110" i="62"/>
  <c r="Z21" i="48"/>
  <c r="J123" i="48"/>
  <c r="J126" i="48" s="1"/>
  <c r="J127" i="48" s="1"/>
  <c r="I154" i="48"/>
  <c r="H138" i="48" s="1"/>
  <c r="I153" i="48"/>
  <c r="I152" i="48"/>
  <c r="I155" i="48" s="1"/>
  <c r="AA103" i="27"/>
  <c r="K88" i="48"/>
  <c r="K100" i="48"/>
  <c r="K99" i="48" s="1"/>
  <c r="L89" i="48"/>
  <c r="M90" i="48" s="1"/>
  <c r="K124" i="48"/>
  <c r="K104" i="48"/>
  <c r="K118" i="65" l="1"/>
  <c r="J111" i="66"/>
  <c r="J117" i="66" s="1"/>
  <c r="K118" i="66" s="1"/>
  <c r="K101" i="65"/>
  <c r="K100" i="65" s="1"/>
  <c r="L89" i="65"/>
  <c r="M90" i="65" s="1"/>
  <c r="K88" i="65"/>
  <c r="I155" i="70"/>
  <c r="I157" i="70"/>
  <c r="J117" i="70"/>
  <c r="K118" i="70" s="1"/>
  <c r="J115" i="66"/>
  <c r="J93" i="66"/>
  <c r="J113" i="66"/>
  <c r="K87" i="66" s="1"/>
  <c r="J217" i="63"/>
  <c r="J121" i="63"/>
  <c r="J122" i="63" s="1"/>
  <c r="J110" i="63"/>
  <c r="J114" i="63"/>
  <c r="Z21" i="70"/>
  <c r="Z21" i="66"/>
  <c r="Z21" i="65"/>
  <c r="Z21" i="63"/>
  <c r="Z106" i="27" s="1"/>
  <c r="Z21" i="62"/>
  <c r="H156" i="63"/>
  <c r="H159" i="63" s="1"/>
  <c r="H158" i="63"/>
  <c r="G142" i="63" s="1"/>
  <c r="J106" i="63"/>
  <c r="J107" i="63" s="1"/>
  <c r="J108" i="63" s="1"/>
  <c r="K102" i="63"/>
  <c r="I158" i="65"/>
  <c r="H142" i="65" s="1"/>
  <c r="I156" i="65"/>
  <c r="I159" i="65" s="1"/>
  <c r="K125" i="65"/>
  <c r="K105" i="65"/>
  <c r="I127" i="63"/>
  <c r="I171" i="63"/>
  <c r="I126" i="63"/>
  <c r="L89" i="70"/>
  <c r="M90" i="70" s="1"/>
  <c r="K88" i="70"/>
  <c r="K101" i="70"/>
  <c r="K100" i="70" s="1"/>
  <c r="I128" i="66"/>
  <c r="I129" i="66" s="1"/>
  <c r="I154" i="66"/>
  <c r="J170" i="63"/>
  <c r="J171" i="65"/>
  <c r="J126" i="65"/>
  <c r="J127" i="65"/>
  <c r="Y108" i="27"/>
  <c r="J154" i="62"/>
  <c r="J155" i="62" s="1"/>
  <c r="J128" i="62"/>
  <c r="J129" i="62" s="1"/>
  <c r="J167" i="48"/>
  <c r="J125" i="48"/>
  <c r="K111" i="62"/>
  <c r="AA21" i="48"/>
  <c r="K115" i="62"/>
  <c r="K113" i="62"/>
  <c r="L87" i="62" s="1"/>
  <c r="K93" i="62"/>
  <c r="K120" i="48"/>
  <c r="K121" i="48" s="1"/>
  <c r="K109" i="48"/>
  <c r="K113" i="48"/>
  <c r="L92" i="48" s="1"/>
  <c r="K105" i="48"/>
  <c r="K106" i="48" s="1"/>
  <c r="K107" i="48" s="1"/>
  <c r="L101" i="48"/>
  <c r="J128" i="48"/>
  <c r="J150" i="48"/>
  <c r="J151" i="48" s="1"/>
  <c r="K166" i="48"/>
  <c r="AB103" i="27"/>
  <c r="J111" i="63" l="1"/>
  <c r="J117" i="63" s="1"/>
  <c r="K118" i="63" s="1"/>
  <c r="K121" i="65"/>
  <c r="K122" i="65" s="1"/>
  <c r="K114" i="65"/>
  <c r="L92" i="65" s="1"/>
  <c r="K110" i="65"/>
  <c r="K125" i="70"/>
  <c r="K105" i="70"/>
  <c r="K106" i="70"/>
  <c r="L102" i="70"/>
  <c r="J124" i="63"/>
  <c r="J113" i="63"/>
  <c r="K87" i="63" s="1"/>
  <c r="J115" i="63"/>
  <c r="K92" i="63"/>
  <c r="K93" i="63" s="1"/>
  <c r="J124" i="66"/>
  <c r="K217" i="65"/>
  <c r="L89" i="66"/>
  <c r="M90" i="66" s="1"/>
  <c r="K88" i="66"/>
  <c r="K101" i="66"/>
  <c r="K100" i="66" s="1"/>
  <c r="K125" i="66"/>
  <c r="K105" i="66"/>
  <c r="K170" i="66" s="1"/>
  <c r="I158" i="70"/>
  <c r="H142" i="70" s="1"/>
  <c r="I156" i="70"/>
  <c r="I159" i="70" s="1"/>
  <c r="AA21" i="70"/>
  <c r="AA21" i="66"/>
  <c r="AA21" i="65"/>
  <c r="AA21" i="63"/>
  <c r="AA106" i="27" s="1"/>
  <c r="AA21" i="62"/>
  <c r="J154" i="65"/>
  <c r="J128" i="65"/>
  <c r="J129" i="65" s="1"/>
  <c r="I157" i="66"/>
  <c r="I155" i="66"/>
  <c r="I128" i="63"/>
  <c r="I129" i="63" s="1"/>
  <c r="I154" i="63"/>
  <c r="K170" i="65"/>
  <c r="J124" i="70"/>
  <c r="K106" i="65"/>
  <c r="K107" i="65" s="1"/>
  <c r="K108" i="65" s="1"/>
  <c r="L102" i="65"/>
  <c r="J157" i="62"/>
  <c r="Z108" i="27"/>
  <c r="K110" i="48"/>
  <c r="K116" i="48" s="1"/>
  <c r="L117" i="48" s="1"/>
  <c r="J158" i="62"/>
  <c r="I142" i="62" s="1"/>
  <c r="J156" i="62"/>
  <c r="J159" i="62" s="1"/>
  <c r="AB21" i="48"/>
  <c r="L101" i="62"/>
  <c r="L100" i="62" s="1"/>
  <c r="L88" i="62"/>
  <c r="M89" i="62"/>
  <c r="N90" i="62" s="1"/>
  <c r="K117" i="62"/>
  <c r="L118" i="62" s="1"/>
  <c r="J154" i="48"/>
  <c r="I138" i="48" s="1"/>
  <c r="J152" i="48"/>
  <c r="J155" i="48" s="1"/>
  <c r="J153" i="48"/>
  <c r="AC103" i="27"/>
  <c r="K114" i="48"/>
  <c r="K112" i="48"/>
  <c r="L87" i="48" s="1"/>
  <c r="K93" i="48"/>
  <c r="K107" i="70" l="1"/>
  <c r="K108" i="70" s="1"/>
  <c r="K111" i="65"/>
  <c r="K117" i="65" s="1"/>
  <c r="L118" i="65" s="1"/>
  <c r="K217" i="66"/>
  <c r="I158" i="66"/>
  <c r="H142" i="66" s="1"/>
  <c r="I156" i="66"/>
  <c r="I159" i="66" s="1"/>
  <c r="K106" i="66"/>
  <c r="K107" i="66" s="1"/>
  <c r="K108" i="66" s="1"/>
  <c r="L102" i="66"/>
  <c r="K101" i="63"/>
  <c r="K100" i="63" s="1"/>
  <c r="K88" i="63"/>
  <c r="L89" i="63"/>
  <c r="M90" i="63" s="1"/>
  <c r="K113" i="65"/>
  <c r="L87" i="65" s="1"/>
  <c r="K93" i="65"/>
  <c r="K115" i="65"/>
  <c r="I155" i="63"/>
  <c r="I157" i="63"/>
  <c r="J126" i="66"/>
  <c r="J127" i="66"/>
  <c r="J171" i="66"/>
  <c r="K125" i="63"/>
  <c r="K105" i="63"/>
  <c r="K217" i="63" s="1"/>
  <c r="K170" i="70"/>
  <c r="K110" i="70"/>
  <c r="K121" i="70"/>
  <c r="K122" i="70" s="1"/>
  <c r="K114" i="70"/>
  <c r="AB21" i="70"/>
  <c r="AB21" i="66"/>
  <c r="AB21" i="65"/>
  <c r="AB21" i="63"/>
  <c r="AB106" i="27" s="1"/>
  <c r="AB21" i="62"/>
  <c r="J127" i="70"/>
  <c r="J126" i="70"/>
  <c r="J171" i="70"/>
  <c r="J157" i="65"/>
  <c r="J155" i="65"/>
  <c r="K110" i="66"/>
  <c r="K121" i="66"/>
  <c r="K122" i="66" s="1"/>
  <c r="K114" i="66"/>
  <c r="L92" i="66" s="1"/>
  <c r="J126" i="63"/>
  <c r="J127" i="63"/>
  <c r="J171" i="63"/>
  <c r="K217" i="70"/>
  <c r="AA108" i="27"/>
  <c r="AC21" i="48"/>
  <c r="K124" i="62"/>
  <c r="L125" i="62"/>
  <c r="L105" i="62"/>
  <c r="L217" i="62" s="1"/>
  <c r="L106" i="62"/>
  <c r="M102" i="62"/>
  <c r="K123" i="48"/>
  <c r="K125" i="48" s="1"/>
  <c r="AD103" i="27"/>
  <c r="L100" i="48"/>
  <c r="L99" i="48" s="1"/>
  <c r="L88" i="48"/>
  <c r="M89" i="48"/>
  <c r="N90" i="48" s="1"/>
  <c r="L124" i="48"/>
  <c r="L104" i="48"/>
  <c r="L166" i="48" s="1"/>
  <c r="K111" i="70" l="1"/>
  <c r="K117" i="70" s="1"/>
  <c r="L118" i="70" s="1"/>
  <c r="K124" i="65"/>
  <c r="K126" i="65" s="1"/>
  <c r="K111" i="66"/>
  <c r="K117" i="66" s="1"/>
  <c r="L118" i="66" s="1"/>
  <c r="L101" i="65"/>
  <c r="L100" i="65" s="1"/>
  <c r="M89" i="65"/>
  <c r="N90" i="65" s="1"/>
  <c r="L88" i="65"/>
  <c r="K106" i="63"/>
  <c r="K107" i="63" s="1"/>
  <c r="K108" i="63" s="1"/>
  <c r="L102" i="63"/>
  <c r="L92" i="70"/>
  <c r="L93" i="70" s="1"/>
  <c r="K115" i="70"/>
  <c r="K113" i="70"/>
  <c r="L87" i="70" s="1"/>
  <c r="J128" i="66"/>
  <c r="J129" i="66" s="1"/>
  <c r="J154" i="66"/>
  <c r="I156" i="63"/>
  <c r="I159" i="63" s="1"/>
  <c r="I158" i="63"/>
  <c r="H142" i="63" s="1"/>
  <c r="J128" i="63"/>
  <c r="J129" i="63" s="1"/>
  <c r="J154" i="63"/>
  <c r="K115" i="66"/>
  <c r="K93" i="66"/>
  <c r="K113" i="66"/>
  <c r="L87" i="66" s="1"/>
  <c r="K170" i="63"/>
  <c r="K114" i="63"/>
  <c r="K121" i="63"/>
  <c r="K122" i="63" s="1"/>
  <c r="K110" i="63"/>
  <c r="L125" i="65"/>
  <c r="L105" i="65"/>
  <c r="L217" i="65" s="1"/>
  <c r="AC21" i="70"/>
  <c r="AC21" i="65"/>
  <c r="AC21" i="66"/>
  <c r="AC21" i="63"/>
  <c r="AC106" i="27" s="1"/>
  <c r="AC21" i="62"/>
  <c r="J158" i="65"/>
  <c r="I142" i="65" s="1"/>
  <c r="J156" i="65"/>
  <c r="J159" i="65" s="1"/>
  <c r="J128" i="70"/>
  <c r="J129" i="70" s="1"/>
  <c r="J154" i="70"/>
  <c r="K171" i="65"/>
  <c r="K127" i="65"/>
  <c r="AB108" i="27"/>
  <c r="K167" i="48"/>
  <c r="K126" i="48"/>
  <c r="K127" i="48" s="1"/>
  <c r="K128" i="48" s="1"/>
  <c r="L121" i="62"/>
  <c r="L122" i="62" s="1"/>
  <c r="L107" i="62"/>
  <c r="L108" i="62" s="1"/>
  <c r="L114" i="62"/>
  <c r="M92" i="62" s="1"/>
  <c r="L110" i="62"/>
  <c r="K126" i="62"/>
  <c r="K127" i="62"/>
  <c r="K128" i="62" s="1"/>
  <c r="K129" i="62" s="1"/>
  <c r="K171" i="62"/>
  <c r="AD21" i="48"/>
  <c r="L170" i="62"/>
  <c r="L105" i="48"/>
  <c r="L106" i="48" s="1"/>
  <c r="L107" i="48" s="1"/>
  <c r="M101" i="48"/>
  <c r="AE103" i="27"/>
  <c r="L113" i="48"/>
  <c r="M92" i="48" s="1"/>
  <c r="L120" i="48"/>
  <c r="L121" i="48" s="1"/>
  <c r="L109" i="48"/>
  <c r="K124" i="66" l="1"/>
  <c r="K111" i="63"/>
  <c r="K117" i="63" s="1"/>
  <c r="L118" i="63" s="1"/>
  <c r="K124" i="70"/>
  <c r="K171" i="70" s="1"/>
  <c r="J155" i="70"/>
  <c r="J157" i="70"/>
  <c r="K124" i="63"/>
  <c r="M89" i="66"/>
  <c r="N90" i="66" s="1"/>
  <c r="L101" i="66"/>
  <c r="L100" i="66" s="1"/>
  <c r="L88" i="66"/>
  <c r="J157" i="66"/>
  <c r="J155" i="66"/>
  <c r="L110" i="65"/>
  <c r="L121" i="65"/>
  <c r="L122" i="65" s="1"/>
  <c r="L114" i="65"/>
  <c r="M92" i="65" s="1"/>
  <c r="L92" i="63"/>
  <c r="L93" i="63" s="1"/>
  <c r="K113" i="63"/>
  <c r="L87" i="63" s="1"/>
  <c r="K115" i="63"/>
  <c r="L125" i="70"/>
  <c r="L105" i="70"/>
  <c r="L217" i="70" s="1"/>
  <c r="L88" i="70"/>
  <c r="M89" i="70"/>
  <c r="N90" i="70" s="1"/>
  <c r="L101" i="70"/>
  <c r="L100" i="70" s="1"/>
  <c r="L106" i="65"/>
  <c r="L107" i="65" s="1"/>
  <c r="L108" i="65" s="1"/>
  <c r="M102" i="65"/>
  <c r="K127" i="66"/>
  <c r="K126" i="66"/>
  <c r="K171" i="66"/>
  <c r="AD21" i="70"/>
  <c r="AD21" i="66"/>
  <c r="AD21" i="65"/>
  <c r="AD21" i="63"/>
  <c r="AD106" i="27" s="1"/>
  <c r="AD21" i="62"/>
  <c r="K154" i="65"/>
  <c r="K128" i="65"/>
  <c r="K129" i="65" s="1"/>
  <c r="L170" i="65"/>
  <c r="J155" i="63"/>
  <c r="J157" i="63"/>
  <c r="L125" i="66"/>
  <c r="L105" i="66"/>
  <c r="L217" i="66" s="1"/>
  <c r="K150" i="48"/>
  <c r="K151" i="48" s="1"/>
  <c r="K154" i="48" s="1"/>
  <c r="J138" i="48" s="1"/>
  <c r="AC108" i="27"/>
  <c r="L111" i="62"/>
  <c r="L117" i="62" s="1"/>
  <c r="M118" i="62" s="1"/>
  <c r="L113" i="62"/>
  <c r="M87" i="62" s="1"/>
  <c r="L93" i="62"/>
  <c r="L115" i="62"/>
  <c r="AE21" i="48"/>
  <c r="K154" i="62"/>
  <c r="L110" i="48"/>
  <c r="L116" i="48" s="1"/>
  <c r="L114" i="48"/>
  <c r="L112" i="48"/>
  <c r="M87" i="48" s="1"/>
  <c r="L93" i="48"/>
  <c r="AF103" i="27"/>
  <c r="K127" i="70" l="1"/>
  <c r="K154" i="70" s="1"/>
  <c r="K126" i="70"/>
  <c r="L111" i="65"/>
  <c r="L117" i="65" s="1"/>
  <c r="M118" i="65" s="1"/>
  <c r="L114" i="66"/>
  <c r="M92" i="66" s="1"/>
  <c r="L110" i="66"/>
  <c r="L121" i="66"/>
  <c r="L122" i="66" s="1"/>
  <c r="K128" i="70"/>
  <c r="K129" i="70" s="1"/>
  <c r="K171" i="63"/>
  <c r="K127" i="63"/>
  <c r="K126" i="63"/>
  <c r="J158" i="66"/>
  <c r="I142" i="66" s="1"/>
  <c r="J156" i="66"/>
  <c r="J159" i="66" s="1"/>
  <c r="L106" i="66"/>
  <c r="L107" i="66" s="1"/>
  <c r="L108" i="66" s="1"/>
  <c r="L111" i="66" s="1"/>
  <c r="M102" i="66"/>
  <c r="J156" i="63"/>
  <c r="J159" i="63" s="1"/>
  <c r="J158" i="63"/>
  <c r="I142" i="63" s="1"/>
  <c r="K155" i="65"/>
  <c r="K157" i="65"/>
  <c r="K154" i="66"/>
  <c r="K128" i="66"/>
  <c r="K129" i="66" s="1"/>
  <c r="L106" i="70"/>
  <c r="L107" i="70" s="1"/>
  <c r="L108" i="70" s="1"/>
  <c r="M102" i="70"/>
  <c r="L110" i="70"/>
  <c r="L121" i="70"/>
  <c r="L122" i="70" s="1"/>
  <c r="L114" i="70"/>
  <c r="AE21" i="70"/>
  <c r="AE21" i="66"/>
  <c r="AE21" i="65"/>
  <c r="AE21" i="63"/>
  <c r="AE21" i="62"/>
  <c r="L170" i="66"/>
  <c r="L170" i="70"/>
  <c r="M89" i="63"/>
  <c r="N90" i="63" s="1"/>
  <c r="L88" i="63"/>
  <c r="L101" i="63"/>
  <c r="L100" i="63" s="1"/>
  <c r="L93" i="65"/>
  <c r="L115" i="65"/>
  <c r="L113" i="65"/>
  <c r="M87" i="65" s="1"/>
  <c r="L125" i="63"/>
  <c r="L105" i="63"/>
  <c r="J158" i="70"/>
  <c r="I142" i="70" s="1"/>
  <c r="J156" i="70"/>
  <c r="J159" i="70" s="1"/>
  <c r="K152" i="48"/>
  <c r="K155" i="48" s="1"/>
  <c r="K153" i="48"/>
  <c r="AE106" i="27"/>
  <c r="AD108" i="27"/>
  <c r="L124" i="62"/>
  <c r="L126" i="62" s="1"/>
  <c r="K155" i="62"/>
  <c r="K157" i="62"/>
  <c r="AF21" i="48"/>
  <c r="M101" i="62"/>
  <c r="M100" i="62" s="1"/>
  <c r="N89" i="62"/>
  <c r="O90" i="62" s="1"/>
  <c r="M88" i="62"/>
  <c r="M125" i="62"/>
  <c r="M105" i="62"/>
  <c r="M217" i="62" s="1"/>
  <c r="M117" i="48"/>
  <c r="M124" i="48" s="1"/>
  <c r="L123" i="48"/>
  <c r="L126" i="48" s="1"/>
  <c r="L127" i="48" s="1"/>
  <c r="M100" i="48"/>
  <c r="M99" i="48" s="1"/>
  <c r="M88" i="48"/>
  <c r="N89" i="48"/>
  <c r="O90" i="48" s="1"/>
  <c r="AG103" i="27"/>
  <c r="L111" i="70" l="1"/>
  <c r="L124" i="65"/>
  <c r="L171" i="65" s="1"/>
  <c r="L117" i="66"/>
  <c r="M118" i="66" s="1"/>
  <c r="M102" i="63"/>
  <c r="L106" i="63"/>
  <c r="L107" i="63" s="1"/>
  <c r="L108" i="63" s="1"/>
  <c r="M92" i="70"/>
  <c r="M93" i="70" s="1"/>
  <c r="L115" i="70"/>
  <c r="L113" i="70"/>
  <c r="M87" i="70" s="1"/>
  <c r="L117" i="70"/>
  <c r="M118" i="70" s="1"/>
  <c r="K128" i="63"/>
  <c r="K129" i="63" s="1"/>
  <c r="K154" i="63"/>
  <c r="L93" i="66"/>
  <c r="L115" i="66"/>
  <c r="L113" i="66"/>
  <c r="M87" i="66" s="1"/>
  <c r="M88" i="65"/>
  <c r="M101" i="65"/>
  <c r="M100" i="65" s="1"/>
  <c r="N89" i="65"/>
  <c r="O90" i="65" s="1"/>
  <c r="K156" i="65"/>
  <c r="K159" i="65" s="1"/>
  <c r="K158" i="65"/>
  <c r="J142" i="65" s="1"/>
  <c r="K157" i="66"/>
  <c r="K155" i="66"/>
  <c r="K155" i="70"/>
  <c r="K157" i="70"/>
  <c r="L126" i="65"/>
  <c r="AF21" i="70"/>
  <c r="AF21" i="66"/>
  <c r="AF21" i="65"/>
  <c r="AF21" i="63"/>
  <c r="AF106" i="27" s="1"/>
  <c r="AF21" i="62"/>
  <c r="L217" i="63"/>
  <c r="L121" i="63"/>
  <c r="L122" i="63" s="1"/>
  <c r="L110" i="63"/>
  <c r="L114" i="63"/>
  <c r="L170" i="63"/>
  <c r="M125" i="65"/>
  <c r="M105" i="65"/>
  <c r="M170" i="65" s="1"/>
  <c r="AE108" i="27"/>
  <c r="L171" i="62"/>
  <c r="L127" i="62"/>
  <c r="L128" i="62" s="1"/>
  <c r="L129" i="62" s="1"/>
  <c r="M104" i="48"/>
  <c r="M166" i="48" s="1"/>
  <c r="L125" i="48"/>
  <c r="L167" i="48"/>
  <c r="M170" i="62"/>
  <c r="AG21" i="48"/>
  <c r="M114" i="62"/>
  <c r="N92" i="62" s="1"/>
  <c r="M110" i="62"/>
  <c r="M121" i="62"/>
  <c r="M122" i="62" s="1"/>
  <c r="M106" i="62"/>
  <c r="M107" i="62" s="1"/>
  <c r="M108" i="62" s="1"/>
  <c r="N102" i="62"/>
  <c r="K156" i="62"/>
  <c r="K159" i="62" s="1"/>
  <c r="K158" i="62"/>
  <c r="J142" i="62" s="1"/>
  <c r="L128" i="48"/>
  <c r="L150" i="48"/>
  <c r="L151" i="48" s="1"/>
  <c r="AH103" i="27"/>
  <c r="M105" i="48"/>
  <c r="N101" i="48"/>
  <c r="L127" i="65" l="1"/>
  <c r="L124" i="66"/>
  <c r="L171" i="66" s="1"/>
  <c r="L113" i="63"/>
  <c r="M87" i="63" s="1"/>
  <c r="L115" i="63"/>
  <c r="M92" i="63"/>
  <c r="M93" i="63" s="1"/>
  <c r="K155" i="63"/>
  <c r="K157" i="63"/>
  <c r="M125" i="70"/>
  <c r="M105" i="70"/>
  <c r="M217" i="70" s="1"/>
  <c r="M217" i="65"/>
  <c r="M101" i="66"/>
  <c r="M100" i="66" s="1"/>
  <c r="N89" i="66"/>
  <c r="O90" i="66" s="1"/>
  <c r="M88" i="66"/>
  <c r="N89" i="70"/>
  <c r="O90" i="70" s="1"/>
  <c r="M88" i="70"/>
  <c r="M101" i="70"/>
  <c r="M100" i="70" s="1"/>
  <c r="AG21" i="70"/>
  <c r="AG21" i="66"/>
  <c r="AG21" i="65"/>
  <c r="AG21" i="62"/>
  <c r="AG21" i="63"/>
  <c r="L111" i="63"/>
  <c r="K158" i="70"/>
  <c r="J142" i="70" s="1"/>
  <c r="K156" i="70"/>
  <c r="K159" i="70" s="1"/>
  <c r="L127" i="66"/>
  <c r="L126" i="66"/>
  <c r="M114" i="65"/>
  <c r="N92" i="65" s="1"/>
  <c r="M110" i="65"/>
  <c r="M121" i="65"/>
  <c r="M122" i="65" s="1"/>
  <c r="L154" i="65"/>
  <c r="L128" i="65"/>
  <c r="L129" i="65" s="1"/>
  <c r="K156" i="66"/>
  <c r="K159" i="66" s="1"/>
  <c r="K158" i="66"/>
  <c r="J142" i="66" s="1"/>
  <c r="M106" i="65"/>
  <c r="M107" i="65" s="1"/>
  <c r="M108" i="65" s="1"/>
  <c r="N102" i="65"/>
  <c r="L124" i="70"/>
  <c r="M125" i="66"/>
  <c r="M105" i="66"/>
  <c r="AF108" i="27"/>
  <c r="AG106" i="27"/>
  <c r="L154" i="62"/>
  <c r="L155" i="62" s="1"/>
  <c r="M106" i="48"/>
  <c r="M107" i="48" s="1"/>
  <c r="M113" i="48"/>
  <c r="M109" i="48"/>
  <c r="M120" i="48"/>
  <c r="M121" i="48" s="1"/>
  <c r="M111" i="62"/>
  <c r="M117" i="62" s="1"/>
  <c r="N118" i="62" s="1"/>
  <c r="M115" i="62"/>
  <c r="M113" i="62"/>
  <c r="N87" i="62" s="1"/>
  <c r="M93" i="62"/>
  <c r="AH21" i="48"/>
  <c r="L154" i="48"/>
  <c r="K138" i="48" s="1"/>
  <c r="L153" i="48"/>
  <c r="L152" i="48"/>
  <c r="L155" i="48" s="1"/>
  <c r="AI103" i="27"/>
  <c r="M111" i="65" l="1"/>
  <c r="M117" i="65" s="1"/>
  <c r="N118" i="65" s="1"/>
  <c r="M121" i="66"/>
  <c r="M122" i="66" s="1"/>
  <c r="M114" i="66"/>
  <c r="N92" i="66" s="1"/>
  <c r="M110" i="66"/>
  <c r="L155" i="65"/>
  <c r="L157" i="65"/>
  <c r="L117" i="63"/>
  <c r="M118" i="63" s="1"/>
  <c r="M106" i="66"/>
  <c r="M107" i="66" s="1"/>
  <c r="M108" i="66" s="1"/>
  <c r="M111" i="66" s="1"/>
  <c r="N102" i="66"/>
  <c r="L127" i="70"/>
  <c r="L126" i="70"/>
  <c r="L171" i="70"/>
  <c r="M93" i="65"/>
  <c r="M115" i="65"/>
  <c r="M113" i="65"/>
  <c r="N87" i="65" s="1"/>
  <c r="L128" i="66"/>
  <c r="L129" i="66" s="1"/>
  <c r="L154" i="66"/>
  <c r="AH21" i="70"/>
  <c r="AH21" i="66"/>
  <c r="AH21" i="65"/>
  <c r="AH21" i="63"/>
  <c r="AH106" i="27" s="1"/>
  <c r="AH21" i="62"/>
  <c r="M170" i="66"/>
  <c r="M106" i="70"/>
  <c r="M107" i="70" s="1"/>
  <c r="M108" i="70" s="1"/>
  <c r="N102" i="70"/>
  <c r="M217" i="66"/>
  <c r="M170" i="70"/>
  <c r="M110" i="70"/>
  <c r="M121" i="70"/>
  <c r="M122" i="70" s="1"/>
  <c r="M114" i="70"/>
  <c r="K158" i="63"/>
  <c r="J142" i="63" s="1"/>
  <c r="K156" i="63"/>
  <c r="K159" i="63" s="1"/>
  <c r="N89" i="63"/>
  <c r="O90" i="63" s="1"/>
  <c r="M101" i="63"/>
  <c r="M100" i="63" s="1"/>
  <c r="M88" i="63"/>
  <c r="L157" i="62"/>
  <c r="AG108" i="27"/>
  <c r="M114" i="48"/>
  <c r="N92" i="48"/>
  <c r="M93" i="48"/>
  <c r="M110" i="48"/>
  <c r="M116" i="48" s="1"/>
  <c r="N117" i="48" s="1"/>
  <c r="N124" i="48" s="1"/>
  <c r="M112" i="48"/>
  <c r="N87" i="48" s="1"/>
  <c r="N88" i="48" s="1"/>
  <c r="M124" i="62"/>
  <c r="M126" i="62" s="1"/>
  <c r="L158" i="62"/>
  <c r="K142" i="62" s="1"/>
  <c r="L156" i="62"/>
  <c r="L159" i="62" s="1"/>
  <c r="N101" i="62"/>
  <c r="N100" i="62" s="1"/>
  <c r="N88" i="62"/>
  <c r="O89" i="62"/>
  <c r="P90" i="62" s="1"/>
  <c r="AI21" i="48"/>
  <c r="N125" i="62"/>
  <c r="N105" i="62"/>
  <c r="N170" i="62" s="1"/>
  <c r="AJ103" i="27"/>
  <c r="M124" i="65" l="1"/>
  <c r="M111" i="70"/>
  <c r="M117" i="66"/>
  <c r="N118" i="66" s="1"/>
  <c r="L157" i="66"/>
  <c r="L155" i="66"/>
  <c r="L124" i="63"/>
  <c r="M117" i="70"/>
  <c r="N118" i="70" s="1"/>
  <c r="M105" i="63"/>
  <c r="M125" i="63"/>
  <c r="AI21" i="70"/>
  <c r="AI21" i="66"/>
  <c r="AI21" i="65"/>
  <c r="AI21" i="63"/>
  <c r="AI21" i="62"/>
  <c r="N102" i="63"/>
  <c r="M106" i="63"/>
  <c r="M107" i="63" s="1"/>
  <c r="M108" i="63" s="1"/>
  <c r="M113" i="70"/>
  <c r="N87" i="70" s="1"/>
  <c r="M115" i="70"/>
  <c r="N92" i="70"/>
  <c r="N93" i="70" s="1"/>
  <c r="O89" i="65"/>
  <c r="P90" i="65" s="1"/>
  <c r="N88" i="65"/>
  <c r="N101" i="65"/>
  <c r="N100" i="65" s="1"/>
  <c r="M171" i="65"/>
  <c r="M126" i="65"/>
  <c r="M127" i="65"/>
  <c r="L128" i="70"/>
  <c r="L129" i="70" s="1"/>
  <c r="L154" i="70"/>
  <c r="L156" i="65"/>
  <c r="L159" i="65" s="1"/>
  <c r="L158" i="65"/>
  <c r="K142" i="65" s="1"/>
  <c r="M115" i="66"/>
  <c r="M113" i="66"/>
  <c r="N87" i="66" s="1"/>
  <c r="M93" i="66"/>
  <c r="N125" i="65"/>
  <c r="N105" i="65"/>
  <c r="N217" i="65" s="1"/>
  <c r="AH108" i="27"/>
  <c r="AI106" i="27"/>
  <c r="M171" i="62"/>
  <c r="M123" i="48"/>
  <c r="M126" i="48" s="1"/>
  <c r="M127" i="48" s="1"/>
  <c r="N104" i="48"/>
  <c r="N166" i="48" s="1"/>
  <c r="N100" i="48"/>
  <c r="N99" i="48" s="1"/>
  <c r="N105" i="48" s="1"/>
  <c r="O89" i="48"/>
  <c r="P90" i="48" s="1"/>
  <c r="M127" i="62"/>
  <c r="N217" i="62"/>
  <c r="N106" i="62"/>
  <c r="N107" i="62" s="1"/>
  <c r="N108" i="62" s="1"/>
  <c r="O102" i="62"/>
  <c r="AJ21" i="48"/>
  <c r="N114" i="62"/>
  <c r="O92" i="62" s="1"/>
  <c r="N121" i="62"/>
  <c r="N122" i="62" s="1"/>
  <c r="N110" i="62"/>
  <c r="AK103" i="27"/>
  <c r="M124" i="66" l="1"/>
  <c r="M127" i="66" s="1"/>
  <c r="N121" i="65"/>
  <c r="N122" i="65" s="1"/>
  <c r="N114" i="65"/>
  <c r="O92" i="65" s="1"/>
  <c r="N110" i="65"/>
  <c r="M170" i="63"/>
  <c r="M121" i="63"/>
  <c r="M122" i="63" s="1"/>
  <c r="M114" i="63"/>
  <c r="M110" i="63"/>
  <c r="M111" i="63" s="1"/>
  <c r="L126" i="63"/>
  <c r="L171" i="63"/>
  <c r="L127" i="63"/>
  <c r="M128" i="65"/>
  <c r="M129" i="65" s="1"/>
  <c r="M154" i="65"/>
  <c r="N106" i="65"/>
  <c r="N107" i="65" s="1"/>
  <c r="N108" i="65" s="1"/>
  <c r="O102" i="65"/>
  <c r="AJ21" i="70"/>
  <c r="AJ21" i="65"/>
  <c r="AJ21" i="66"/>
  <c r="AJ21" i="63"/>
  <c r="AJ106" i="27" s="1"/>
  <c r="AJ21" i="62"/>
  <c r="N170" i="65"/>
  <c r="O89" i="66"/>
  <c r="P90" i="66" s="1"/>
  <c r="N88" i="66"/>
  <c r="N101" i="66"/>
  <c r="N100" i="66" s="1"/>
  <c r="L155" i="70"/>
  <c r="L157" i="70"/>
  <c r="O89" i="70"/>
  <c r="P90" i="70" s="1"/>
  <c r="N88" i="70"/>
  <c r="N101" i="70"/>
  <c r="N100" i="70" s="1"/>
  <c r="M217" i="63"/>
  <c r="M124" i="70"/>
  <c r="L158" i="66"/>
  <c r="K142" i="66" s="1"/>
  <c r="L156" i="66"/>
  <c r="L159" i="66" s="1"/>
  <c r="N125" i="70"/>
  <c r="N105" i="70"/>
  <c r="N125" i="66"/>
  <c r="N105" i="66"/>
  <c r="N170" i="66" s="1"/>
  <c r="AI108" i="27"/>
  <c r="M154" i="62"/>
  <c r="M157" i="62" s="1"/>
  <c r="M128" i="62"/>
  <c r="M129" i="62" s="1"/>
  <c r="M167" i="48"/>
  <c r="M125" i="48"/>
  <c r="N106" i="48"/>
  <c r="N107" i="48" s="1"/>
  <c r="N109" i="48"/>
  <c r="N113" i="48"/>
  <c r="N114" i="48" s="1"/>
  <c r="N120" i="48"/>
  <c r="N121" i="48" s="1"/>
  <c r="O101" i="48"/>
  <c r="N111" i="62"/>
  <c r="N117" i="62" s="1"/>
  <c r="O118" i="62" s="1"/>
  <c r="N115" i="62"/>
  <c r="N113" i="62"/>
  <c r="O87" i="62" s="1"/>
  <c r="N93" i="62"/>
  <c r="AK21" i="48"/>
  <c r="AL103" i="27"/>
  <c r="M128" i="48"/>
  <c r="M150" i="48"/>
  <c r="M151" i="48" s="1"/>
  <c r="M171" i="66" l="1"/>
  <c r="M126" i="66"/>
  <c r="N111" i="65"/>
  <c r="N117" i="65" s="1"/>
  <c r="O118" i="65" s="1"/>
  <c r="M127" i="70"/>
  <c r="M126" i="70"/>
  <c r="M171" i="70"/>
  <c r="N106" i="66"/>
  <c r="N107" i="66" s="1"/>
  <c r="N108" i="66" s="1"/>
  <c r="O102" i="66"/>
  <c r="AK21" i="70"/>
  <c r="AK21" i="65"/>
  <c r="AK21" i="66"/>
  <c r="AK21" i="63"/>
  <c r="AK106" i="27" s="1"/>
  <c r="AK21" i="62"/>
  <c r="N121" i="66"/>
  <c r="N122" i="66" s="1"/>
  <c r="N114" i="66"/>
  <c r="O92" i="66" s="1"/>
  <c r="N110" i="66"/>
  <c r="M128" i="66"/>
  <c r="M129" i="66" s="1"/>
  <c r="M154" i="66"/>
  <c r="M157" i="65"/>
  <c r="M155" i="65"/>
  <c r="N217" i="70"/>
  <c r="N110" i="70"/>
  <c r="N121" i="70"/>
  <c r="N122" i="70" s="1"/>
  <c r="N114" i="70"/>
  <c r="M117" i="63"/>
  <c r="N118" i="63" s="1"/>
  <c r="N106" i="70"/>
  <c r="N107" i="70" s="1"/>
  <c r="N108" i="70" s="1"/>
  <c r="N111" i="70" s="1"/>
  <c r="O102" i="70"/>
  <c r="L158" i="70"/>
  <c r="K142" i="70" s="1"/>
  <c r="L156" i="70"/>
  <c r="L159" i="70" s="1"/>
  <c r="N93" i="65"/>
  <c r="N115" i="65"/>
  <c r="N113" i="65"/>
  <c r="O87" i="65" s="1"/>
  <c r="N217" i="66"/>
  <c r="N170" i="70"/>
  <c r="L154" i="63"/>
  <c r="L128" i="63"/>
  <c r="L129" i="63" s="1"/>
  <c r="M115" i="63"/>
  <c r="N92" i="63"/>
  <c r="N93" i="63" s="1"/>
  <c r="M113" i="63"/>
  <c r="N87" i="63" s="1"/>
  <c r="M155" i="62"/>
  <c r="M156" i="62" s="1"/>
  <c r="M159" i="62" s="1"/>
  <c r="AJ108" i="27"/>
  <c r="N112" i="48"/>
  <c r="O87" i="48" s="1"/>
  <c r="O100" i="48" s="1"/>
  <c r="O99" i="48" s="1"/>
  <c r="N110" i="48"/>
  <c r="N116" i="48" s="1"/>
  <c r="O117" i="48" s="1"/>
  <c r="O104" i="48" s="1"/>
  <c r="O166" i="48" s="1"/>
  <c r="N93" i="48"/>
  <c r="O92" i="48"/>
  <c r="N124" i="62"/>
  <c r="N127" i="62" s="1"/>
  <c r="N128" i="62" s="1"/>
  <c r="N129" i="62" s="1"/>
  <c r="P89" i="62"/>
  <c r="Q90" i="62" s="1"/>
  <c r="O101" i="62"/>
  <c r="O100" i="62" s="1"/>
  <c r="O88" i="62"/>
  <c r="AL21" i="48"/>
  <c r="O125" i="62"/>
  <c r="O105" i="62"/>
  <c r="M154" i="48"/>
  <c r="L138" i="48" s="1"/>
  <c r="M153" i="48"/>
  <c r="M152" i="48"/>
  <c r="M155" i="48" s="1"/>
  <c r="AM103" i="27"/>
  <c r="N111" i="66" l="1"/>
  <c r="N117" i="66" s="1"/>
  <c r="O118" i="66" s="1"/>
  <c r="N124" i="65"/>
  <c r="N126" i="65" s="1"/>
  <c r="M124" i="63"/>
  <c r="M171" i="63" s="1"/>
  <c r="M128" i="70"/>
  <c r="M129" i="70" s="1"/>
  <c r="M154" i="70"/>
  <c r="M155" i="66"/>
  <c r="M157" i="66"/>
  <c r="AL21" i="70"/>
  <c r="AL21" i="66"/>
  <c r="AL21" i="65"/>
  <c r="AL21" i="63"/>
  <c r="AL21" i="62"/>
  <c r="N125" i="63"/>
  <c r="N105" i="63"/>
  <c r="N170" i="63" s="1"/>
  <c r="N171" i="65"/>
  <c r="N88" i="63"/>
  <c r="O89" i="63"/>
  <c r="P90" i="63" s="1"/>
  <c r="N101" i="63"/>
  <c r="N100" i="63" s="1"/>
  <c r="L155" i="63"/>
  <c r="L157" i="63"/>
  <c r="O88" i="65"/>
  <c r="O101" i="65"/>
  <c r="O100" i="65" s="1"/>
  <c r="P89" i="65"/>
  <c r="Q90" i="65" s="1"/>
  <c r="N117" i="70"/>
  <c r="O118" i="70" s="1"/>
  <c r="N113" i="70"/>
  <c r="O87" i="70" s="1"/>
  <c r="O92" i="70"/>
  <c r="O93" i="70" s="1"/>
  <c r="N115" i="70"/>
  <c r="M158" i="65"/>
  <c r="L142" i="65" s="1"/>
  <c r="M156" i="65"/>
  <c r="M159" i="65" s="1"/>
  <c r="N115" i="66"/>
  <c r="N113" i="66"/>
  <c r="O87" i="66" s="1"/>
  <c r="N93" i="66"/>
  <c r="O125" i="65"/>
  <c r="O105" i="65"/>
  <c r="O217" i="65" s="1"/>
  <c r="M158" i="62"/>
  <c r="L142" i="62" s="1"/>
  <c r="O88" i="48"/>
  <c r="P89" i="48"/>
  <c r="Q90" i="48" s="1"/>
  <c r="AK108" i="27"/>
  <c r="AL106" i="27"/>
  <c r="N123" i="48"/>
  <c r="N125" i="48" s="1"/>
  <c r="O124" i="48"/>
  <c r="N171" i="62"/>
  <c r="N126" i="62"/>
  <c r="O114" i="62"/>
  <c r="P92" i="62" s="1"/>
  <c r="O110" i="62"/>
  <c r="O121" i="62"/>
  <c r="O122" i="62" s="1"/>
  <c r="AM21" i="48"/>
  <c r="O217" i="62"/>
  <c r="O106" i="62"/>
  <c r="O107" i="62" s="1"/>
  <c r="O108" i="62" s="1"/>
  <c r="P102" i="62"/>
  <c r="O170" i="62"/>
  <c r="N154" i="62"/>
  <c r="AN103" i="27"/>
  <c r="O109" i="48"/>
  <c r="O120" i="48"/>
  <c r="O121" i="48" s="1"/>
  <c r="O113" i="48"/>
  <c r="P92" i="48" s="1"/>
  <c r="O105" i="48"/>
  <c r="O106" i="48" s="1"/>
  <c r="O107" i="48" s="1"/>
  <c r="P101" i="48"/>
  <c r="N127" i="65" l="1"/>
  <c r="N128" i="65" s="1"/>
  <c r="N129" i="65" s="1"/>
  <c r="N124" i="66"/>
  <c r="N124" i="70"/>
  <c r="N171" i="70" s="1"/>
  <c r="M126" i="63"/>
  <c r="M127" i="63"/>
  <c r="M128" i="63" s="1"/>
  <c r="M129" i="63" s="1"/>
  <c r="P89" i="70"/>
  <c r="Q90" i="70" s="1"/>
  <c r="O88" i="70"/>
  <c r="O101" i="70"/>
  <c r="O100" i="70" s="1"/>
  <c r="L156" i="63"/>
  <c r="L159" i="63" s="1"/>
  <c r="L158" i="63"/>
  <c r="K142" i="63" s="1"/>
  <c r="N127" i="70"/>
  <c r="O106" i="65"/>
  <c r="O107" i="65" s="1"/>
  <c r="O108" i="65" s="1"/>
  <c r="P102" i="65"/>
  <c r="N106" i="63"/>
  <c r="N107" i="63" s="1"/>
  <c r="N108" i="63" s="1"/>
  <c r="O102" i="63"/>
  <c r="N154" i="65"/>
  <c r="N121" i="63"/>
  <c r="N122" i="63" s="1"/>
  <c r="N114" i="63"/>
  <c r="N110" i="63"/>
  <c r="AM21" i="70"/>
  <c r="AM21" i="66"/>
  <c r="AM21" i="65"/>
  <c r="AM21" i="63"/>
  <c r="AM106" i="27" s="1"/>
  <c r="AM21" i="62"/>
  <c r="P89" i="66"/>
  <c r="Q90" i="66" s="1"/>
  <c r="O88" i="66"/>
  <c r="O101" i="66"/>
  <c r="O100" i="66" s="1"/>
  <c r="O125" i="70"/>
  <c r="O105" i="70"/>
  <c r="N127" i="66"/>
  <c r="N126" i="66"/>
  <c r="N171" i="66"/>
  <c r="O170" i="65"/>
  <c r="O121" i="65"/>
  <c r="O122" i="65" s="1"/>
  <c r="O114" i="65"/>
  <c r="P92" i="65" s="1"/>
  <c r="O110" i="65"/>
  <c r="N217" i="63"/>
  <c r="M158" i="66"/>
  <c r="L142" i="66" s="1"/>
  <c r="M156" i="66"/>
  <c r="M159" i="66" s="1"/>
  <c r="M155" i="70"/>
  <c r="M157" i="70"/>
  <c r="O125" i="66"/>
  <c r="O105" i="66"/>
  <c r="O170" i="66" s="1"/>
  <c r="N167" i="48"/>
  <c r="N126" i="48"/>
  <c r="N127" i="48" s="1"/>
  <c r="N128" i="48" s="1"/>
  <c r="AL108" i="27"/>
  <c r="O111" i="62"/>
  <c r="O117" i="62" s="1"/>
  <c r="P118" i="62" s="1"/>
  <c r="O110" i="48"/>
  <c r="O116" i="48" s="1"/>
  <c r="P117" i="48" s="1"/>
  <c r="AN21" i="48"/>
  <c r="N155" i="62"/>
  <c r="N157" i="62"/>
  <c r="O113" i="62"/>
  <c r="P87" i="62" s="1"/>
  <c r="O93" i="62"/>
  <c r="O115" i="62"/>
  <c r="AO103" i="27"/>
  <c r="O114" i="48"/>
  <c r="O93" i="48"/>
  <c r="O112" i="48"/>
  <c r="P87" i="48" s="1"/>
  <c r="N126" i="70" l="1"/>
  <c r="M154" i="63"/>
  <c r="M157" i="63" s="1"/>
  <c r="O111" i="65"/>
  <c r="O117" i="65" s="1"/>
  <c r="P118" i="65" s="1"/>
  <c r="N111" i="63"/>
  <c r="N117" i="63" s="1"/>
  <c r="O118" i="63" s="1"/>
  <c r="N128" i="66"/>
  <c r="N129" i="66" s="1"/>
  <c r="N154" i="66"/>
  <c r="N113" i="63"/>
  <c r="O87" i="63" s="1"/>
  <c r="N115" i="63"/>
  <c r="O92" i="63"/>
  <c r="O93" i="63" s="1"/>
  <c r="O106" i="70"/>
  <c r="O107" i="70" s="1"/>
  <c r="O108" i="70" s="1"/>
  <c r="P102" i="70"/>
  <c r="AN21" i="70"/>
  <c r="AN21" i="65"/>
  <c r="AN21" i="66"/>
  <c r="AN21" i="63"/>
  <c r="AN106" i="27" s="1"/>
  <c r="AN21" i="62"/>
  <c r="O217" i="66"/>
  <c r="O121" i="66"/>
  <c r="O122" i="66" s="1"/>
  <c r="O114" i="66"/>
  <c r="P92" i="66" s="1"/>
  <c r="O110" i="66"/>
  <c r="O170" i="70"/>
  <c r="O110" i="70"/>
  <c r="O121" i="70"/>
  <c r="O122" i="70" s="1"/>
  <c r="O114" i="70"/>
  <c r="O106" i="66"/>
  <c r="O107" i="66" s="1"/>
  <c r="O108" i="66" s="1"/>
  <c r="P102" i="66"/>
  <c r="M156" i="70"/>
  <c r="M159" i="70" s="1"/>
  <c r="M158" i="70"/>
  <c r="L142" i="70" s="1"/>
  <c r="O93" i="65"/>
  <c r="O115" i="65"/>
  <c r="O113" i="65"/>
  <c r="P87" i="65" s="1"/>
  <c r="O217" i="70"/>
  <c r="N157" i="65"/>
  <c r="N155" i="65"/>
  <c r="N128" i="70"/>
  <c r="N129" i="70" s="1"/>
  <c r="N154" i="70"/>
  <c r="N150" i="48"/>
  <c r="N151" i="48" s="1"/>
  <c r="N153" i="48" s="1"/>
  <c r="AM108" i="27"/>
  <c r="O124" i="62"/>
  <c r="O171" i="62" s="1"/>
  <c r="O123" i="48"/>
  <c r="O126" i="48" s="1"/>
  <c r="O127" i="48" s="1"/>
  <c r="P101" i="62"/>
  <c r="P100" i="62" s="1"/>
  <c r="Q89" i="62"/>
  <c r="R90" i="62" s="1"/>
  <c r="P88" i="62"/>
  <c r="P125" i="62"/>
  <c r="P105" i="62"/>
  <c r="AO21" i="48"/>
  <c r="N158" i="62"/>
  <c r="M142" i="62" s="1"/>
  <c r="N156" i="62"/>
  <c r="N159" i="62" s="1"/>
  <c r="AP103" i="27"/>
  <c r="P100" i="48"/>
  <c r="P99" i="48" s="1"/>
  <c r="P88" i="48"/>
  <c r="Q89" i="48"/>
  <c r="R90" i="48" s="1"/>
  <c r="P124" i="48"/>
  <c r="P104" i="48"/>
  <c r="M155" i="63" l="1"/>
  <c r="M156" i="63" s="1"/>
  <c r="M159" i="63" s="1"/>
  <c r="O111" i="66"/>
  <c r="O117" i="66" s="1"/>
  <c r="P118" i="66" s="1"/>
  <c r="N124" i="63"/>
  <c r="N126" i="63" s="1"/>
  <c r="P125" i="65"/>
  <c r="P105" i="65"/>
  <c r="N158" i="65"/>
  <c r="M142" i="65" s="1"/>
  <c r="N156" i="65"/>
  <c r="N159" i="65" s="1"/>
  <c r="P88" i="65"/>
  <c r="Q89" i="65"/>
  <c r="R90" i="65" s="1"/>
  <c r="P101" i="65"/>
  <c r="P100" i="65" s="1"/>
  <c r="O113" i="66"/>
  <c r="P87" i="66" s="1"/>
  <c r="O115" i="66"/>
  <c r="O93" i="66"/>
  <c r="N157" i="66"/>
  <c r="N155" i="66"/>
  <c r="O115" i="70"/>
  <c r="O113" i="70"/>
  <c r="P87" i="70" s="1"/>
  <c r="P92" i="70"/>
  <c r="P93" i="70" s="1"/>
  <c r="O111" i="70"/>
  <c r="O101" i="63"/>
  <c r="O100" i="63" s="1"/>
  <c r="O88" i="63"/>
  <c r="P89" i="63"/>
  <c r="Q90" i="63" s="1"/>
  <c r="N127" i="63"/>
  <c r="AO21" i="70"/>
  <c r="AO21" i="65"/>
  <c r="AO21" i="66"/>
  <c r="AO21" i="62"/>
  <c r="AO21" i="63"/>
  <c r="N155" i="70"/>
  <c r="N157" i="70"/>
  <c r="O124" i="65"/>
  <c r="O105" i="63"/>
  <c r="O170" i="63" s="1"/>
  <c r="O125" i="63"/>
  <c r="N154" i="48"/>
  <c r="M138" i="48" s="1"/>
  <c r="N152" i="48"/>
  <c r="N155" i="48" s="1"/>
  <c r="AO106" i="27"/>
  <c r="AN108" i="27"/>
  <c r="O125" i="48"/>
  <c r="O167" i="48"/>
  <c r="O126" i="62"/>
  <c r="O127" i="62"/>
  <c r="P217" i="62"/>
  <c r="P121" i="62"/>
  <c r="P122" i="62" s="1"/>
  <c r="P114" i="62"/>
  <c r="Q92" i="62" s="1"/>
  <c r="P110" i="62"/>
  <c r="P170" i="62"/>
  <c r="AP21" i="48"/>
  <c r="P106" i="62"/>
  <c r="P107" i="62" s="1"/>
  <c r="P108" i="62" s="1"/>
  <c r="Q102" i="62"/>
  <c r="P105" i="48"/>
  <c r="P106" i="48" s="1"/>
  <c r="P107" i="48" s="1"/>
  <c r="Q101" i="48"/>
  <c r="O150" i="48"/>
  <c r="O151" i="48" s="1"/>
  <c r="O128" i="48"/>
  <c r="AQ103" i="27"/>
  <c r="P120" i="48"/>
  <c r="P121" i="48" s="1"/>
  <c r="P113" i="48"/>
  <c r="Q92" i="48" s="1"/>
  <c r="P109" i="48"/>
  <c r="P166" i="48"/>
  <c r="M158" i="63" l="1"/>
  <c r="L142" i="63" s="1"/>
  <c r="O124" i="66"/>
  <c r="O127" i="66" s="1"/>
  <c r="N171" i="63"/>
  <c r="AP21" i="70"/>
  <c r="AP21" i="66"/>
  <c r="AP21" i="65"/>
  <c r="AP21" i="63"/>
  <c r="AP21" i="62"/>
  <c r="N158" i="70"/>
  <c r="M142" i="70" s="1"/>
  <c r="N156" i="70"/>
  <c r="N159" i="70" s="1"/>
  <c r="O117" i="70"/>
  <c r="P118" i="70" s="1"/>
  <c r="P106" i="65"/>
  <c r="P107" i="65" s="1"/>
  <c r="P108" i="65" s="1"/>
  <c r="Q102" i="65"/>
  <c r="O217" i="63"/>
  <c r="O121" i="63"/>
  <c r="O122" i="63" s="1"/>
  <c r="O110" i="63"/>
  <c r="O114" i="63"/>
  <c r="N156" i="66"/>
  <c r="N159" i="66" s="1"/>
  <c r="N158" i="66"/>
  <c r="M142" i="66" s="1"/>
  <c r="P217" i="65"/>
  <c r="P110" i="65"/>
  <c r="P121" i="65"/>
  <c r="P122" i="65" s="1"/>
  <c r="P114" i="65"/>
  <c r="Q92" i="65" s="1"/>
  <c r="O171" i="65"/>
  <c r="O126" i="65"/>
  <c r="O127" i="65"/>
  <c r="N128" i="63"/>
  <c r="N129" i="63" s="1"/>
  <c r="N154" i="63"/>
  <c r="P88" i="66"/>
  <c r="P101" i="66"/>
  <c r="P100" i="66" s="1"/>
  <c r="Q89" i="66"/>
  <c r="R90" i="66" s="1"/>
  <c r="O106" i="63"/>
  <c r="O107" i="63" s="1"/>
  <c r="O108" i="63" s="1"/>
  <c r="P102" i="63"/>
  <c r="P88" i="70"/>
  <c r="Q89" i="70"/>
  <c r="R90" i="70" s="1"/>
  <c r="P101" i="70"/>
  <c r="P100" i="70" s="1"/>
  <c r="P170" i="65"/>
  <c r="P125" i="66"/>
  <c r="P105" i="66"/>
  <c r="P217" i="66" s="1"/>
  <c r="AP106" i="27"/>
  <c r="AO108" i="27"/>
  <c r="O154" i="62"/>
  <c r="O157" i="62" s="1"/>
  <c r="O128" i="62"/>
  <c r="O129" i="62" s="1"/>
  <c r="P111" i="62"/>
  <c r="P117" i="62" s="1"/>
  <c r="Q118" i="62" s="1"/>
  <c r="AQ21" i="48"/>
  <c r="P93" i="62"/>
  <c r="P115" i="62"/>
  <c r="P113" i="62"/>
  <c r="Q87" i="62" s="1"/>
  <c r="P110" i="48"/>
  <c r="P116" i="48" s="1"/>
  <c r="Q117" i="48" s="1"/>
  <c r="AR103" i="27"/>
  <c r="O153" i="48"/>
  <c r="O154" i="48"/>
  <c r="N138" i="48" s="1"/>
  <c r="O152" i="48"/>
  <c r="O155" i="48" s="1"/>
  <c r="P114" i="48"/>
  <c r="P93" i="48"/>
  <c r="P112" i="48"/>
  <c r="Q87" i="48" s="1"/>
  <c r="O126" i="66" l="1"/>
  <c r="O171" i="66"/>
  <c r="O111" i="63"/>
  <c r="P111" i="65"/>
  <c r="P117" i="65" s="1"/>
  <c r="Q118" i="65" s="1"/>
  <c r="O124" i="70"/>
  <c r="O126" i="70" s="1"/>
  <c r="P110" i="66"/>
  <c r="P121" i="66"/>
  <c r="P122" i="66" s="1"/>
  <c r="P114" i="66"/>
  <c r="Q92" i="66" s="1"/>
  <c r="N157" i="63"/>
  <c r="N155" i="63"/>
  <c r="AQ21" i="70"/>
  <c r="AQ21" i="66"/>
  <c r="AQ21" i="65"/>
  <c r="AQ21" i="62"/>
  <c r="AQ21" i="63"/>
  <c r="P170" i="66"/>
  <c r="P106" i="70"/>
  <c r="Q102" i="70"/>
  <c r="O117" i="63"/>
  <c r="P118" i="63" s="1"/>
  <c r="O128" i="66"/>
  <c r="O129" i="66" s="1"/>
  <c r="O154" i="66"/>
  <c r="P106" i="66"/>
  <c r="P107" i="66" s="1"/>
  <c r="P108" i="66" s="1"/>
  <c r="Q102" i="66"/>
  <c r="O154" i="65"/>
  <c r="O128" i="65"/>
  <c r="O129" i="65" s="1"/>
  <c r="P113" i="65"/>
  <c r="Q87" i="65" s="1"/>
  <c r="P115" i="65"/>
  <c r="P93" i="65"/>
  <c r="P92" i="63"/>
  <c r="P93" i="63" s="1"/>
  <c r="O113" i="63"/>
  <c r="P87" i="63" s="1"/>
  <c r="O115" i="63"/>
  <c r="P125" i="70"/>
  <c r="P105" i="70"/>
  <c r="AQ106" i="27"/>
  <c r="O155" i="62"/>
  <c r="O158" i="62" s="1"/>
  <c r="N142" i="62" s="1"/>
  <c r="AP108" i="27"/>
  <c r="R89" i="62"/>
  <c r="S90" i="62" s="1"/>
  <c r="Q88" i="62"/>
  <c r="Q101" i="62"/>
  <c r="Q100" i="62" s="1"/>
  <c r="P124" i="62"/>
  <c r="AR21" i="48"/>
  <c r="Q125" i="62"/>
  <c r="Q105" i="62"/>
  <c r="Q217" i="62" s="1"/>
  <c r="P123" i="48"/>
  <c r="P167" i="48" s="1"/>
  <c r="AS103" i="27"/>
  <c r="Q88" i="48"/>
  <c r="Q100" i="48"/>
  <c r="Q99" i="48" s="1"/>
  <c r="R89" i="48"/>
  <c r="S90" i="48" s="1"/>
  <c r="Q124" i="48"/>
  <c r="Q104" i="48"/>
  <c r="Q166" i="48" s="1"/>
  <c r="O127" i="70" l="1"/>
  <c r="P111" i="66"/>
  <c r="O171" i="70"/>
  <c r="P124" i="65"/>
  <c r="P127" i="65" s="1"/>
  <c r="O124" i="63"/>
  <c r="O126" i="63" s="1"/>
  <c r="P117" i="66"/>
  <c r="Q118" i="66" s="1"/>
  <c r="AR21" i="70"/>
  <c r="AR21" i="66"/>
  <c r="AR21" i="65"/>
  <c r="AR21" i="63"/>
  <c r="AR21" i="62"/>
  <c r="P170" i="70"/>
  <c r="P110" i="70"/>
  <c r="P121" i="70"/>
  <c r="P122" i="70" s="1"/>
  <c r="P114" i="70"/>
  <c r="P107" i="70"/>
  <c r="P108" i="70" s="1"/>
  <c r="P111" i="70" s="1"/>
  <c r="P217" i="70"/>
  <c r="P101" i="63"/>
  <c r="P100" i="63" s="1"/>
  <c r="Q89" i="63"/>
  <c r="R90" i="63" s="1"/>
  <c r="P88" i="63"/>
  <c r="Q88" i="65"/>
  <c r="Q101" i="65"/>
  <c r="Q100" i="65" s="1"/>
  <c r="R89" i="65"/>
  <c r="S90" i="65" s="1"/>
  <c r="O128" i="70"/>
  <c r="O129" i="70" s="1"/>
  <c r="O154" i="70"/>
  <c r="P125" i="63"/>
  <c r="P105" i="63"/>
  <c r="P170" i="63" s="1"/>
  <c r="N158" i="63"/>
  <c r="M142" i="63" s="1"/>
  <c r="N156" i="63"/>
  <c r="N159" i="63" s="1"/>
  <c r="O157" i="65"/>
  <c r="O155" i="65"/>
  <c r="O155" i="66"/>
  <c r="O157" i="66"/>
  <c r="P115" i="66"/>
  <c r="P93" i="66"/>
  <c r="P113" i="66"/>
  <c r="Q87" i="66" s="1"/>
  <c r="Q125" i="65"/>
  <c r="Q105" i="65"/>
  <c r="Q217" i="65" s="1"/>
  <c r="O156" i="62"/>
  <c r="O159" i="62" s="1"/>
  <c r="AQ108" i="27"/>
  <c r="AR106" i="27"/>
  <c r="P126" i="48"/>
  <c r="P125" i="48"/>
  <c r="P126" i="62"/>
  <c r="P127" i="62"/>
  <c r="P128" i="62" s="1"/>
  <c r="P129" i="62" s="1"/>
  <c r="P171" i="62"/>
  <c r="AS21" i="48"/>
  <c r="Q114" i="62"/>
  <c r="R92" i="62" s="1"/>
  <c r="Q121" i="62"/>
  <c r="Q122" i="62" s="1"/>
  <c r="Q110" i="62"/>
  <c r="Q170" i="62"/>
  <c r="Q106" i="62"/>
  <c r="Q107" i="62" s="1"/>
  <c r="Q108" i="62" s="1"/>
  <c r="R102" i="62"/>
  <c r="AT103" i="27"/>
  <c r="Q109" i="48"/>
  <c r="Q120" i="48"/>
  <c r="Q121" i="48" s="1"/>
  <c r="Q113" i="48"/>
  <c r="R92" i="48" s="1"/>
  <c r="Q105" i="48"/>
  <c r="Q106" i="48" s="1"/>
  <c r="Q107" i="48" s="1"/>
  <c r="R101" i="48"/>
  <c r="P171" i="65" l="1"/>
  <c r="O171" i="63"/>
  <c r="O127" i="63"/>
  <c r="O154" i="63" s="1"/>
  <c r="P126" i="65"/>
  <c r="P124" i="66"/>
  <c r="P127" i="66" s="1"/>
  <c r="P154" i="65"/>
  <c r="P128" i="65"/>
  <c r="P129" i="65" s="1"/>
  <c r="O158" i="66"/>
  <c r="N142" i="66" s="1"/>
  <c r="O156" i="66"/>
  <c r="O159" i="66" s="1"/>
  <c r="Q106" i="65"/>
  <c r="Q107" i="65" s="1"/>
  <c r="Q108" i="65" s="1"/>
  <c r="R102" i="65"/>
  <c r="P106" i="63"/>
  <c r="P107" i="63" s="1"/>
  <c r="P108" i="63" s="1"/>
  <c r="Q102" i="63"/>
  <c r="P115" i="70"/>
  <c r="P113" i="70"/>
  <c r="Q87" i="70" s="1"/>
  <c r="Q92" i="70"/>
  <c r="Q93" i="70" s="1"/>
  <c r="O156" i="65"/>
  <c r="O159" i="65" s="1"/>
  <c r="O158" i="65"/>
  <c r="N142" i="65" s="1"/>
  <c r="P217" i="63"/>
  <c r="P114" i="63"/>
  <c r="P121" i="63"/>
  <c r="P122" i="63" s="1"/>
  <c r="P110" i="63"/>
  <c r="O155" i="70"/>
  <c r="O157" i="70"/>
  <c r="AS21" i="70"/>
  <c r="AS21" i="65"/>
  <c r="AS21" i="66"/>
  <c r="AS21" i="63"/>
  <c r="AS106" i="27" s="1"/>
  <c r="AS21" i="62"/>
  <c r="Q170" i="65"/>
  <c r="Q114" i="65"/>
  <c r="R92" i="65" s="1"/>
  <c r="Q121" i="65"/>
  <c r="Q122" i="65" s="1"/>
  <c r="Q110" i="65"/>
  <c r="Q88" i="66"/>
  <c r="Q101" i="66"/>
  <c r="Q100" i="66" s="1"/>
  <c r="R89" i="66"/>
  <c r="S90" i="66" s="1"/>
  <c r="P117" i="70"/>
  <c r="Q118" i="70" s="1"/>
  <c r="Q125" i="66"/>
  <c r="Q105" i="66"/>
  <c r="Q217" i="66" s="1"/>
  <c r="AR108" i="27"/>
  <c r="Q110" i="48"/>
  <c r="Q116" i="48" s="1"/>
  <c r="R117" i="48" s="1"/>
  <c r="P150" i="48"/>
  <c r="P151" i="48" s="1"/>
  <c r="P154" i="48" s="1"/>
  <c r="O138" i="48" s="1"/>
  <c r="P127" i="48"/>
  <c r="P128" i="48" s="1"/>
  <c r="Q111" i="62"/>
  <c r="Q117" i="62" s="1"/>
  <c r="R118" i="62" s="1"/>
  <c r="Q113" i="62"/>
  <c r="R87" i="62" s="1"/>
  <c r="Q115" i="62"/>
  <c r="Q93" i="62"/>
  <c r="P154" i="62"/>
  <c r="AT21" i="48"/>
  <c r="AU103" i="27"/>
  <c r="Q112" i="48"/>
  <c r="R87" i="48" s="1"/>
  <c r="Q114" i="48"/>
  <c r="Q93" i="48"/>
  <c r="O128" i="63" l="1"/>
  <c r="O129" i="63" s="1"/>
  <c r="P171" i="66"/>
  <c r="P126" i="66"/>
  <c r="Q111" i="65"/>
  <c r="Q117" i="65" s="1"/>
  <c r="R118" i="65" s="1"/>
  <c r="Q125" i="70"/>
  <c r="Q105" i="70"/>
  <c r="Q106" i="66"/>
  <c r="Q107" i="66" s="1"/>
  <c r="Q108" i="66" s="1"/>
  <c r="R102" i="66"/>
  <c r="O155" i="63"/>
  <c r="O157" i="63"/>
  <c r="R89" i="70"/>
  <c r="S90" i="70" s="1"/>
  <c r="Q88" i="70"/>
  <c r="Q101" i="70"/>
  <c r="Q100" i="70" s="1"/>
  <c r="Q110" i="66"/>
  <c r="Q121" i="66"/>
  <c r="Q122" i="66" s="1"/>
  <c r="Q114" i="66"/>
  <c r="R92" i="66" s="1"/>
  <c r="Q93" i="65"/>
  <c r="Q113" i="65"/>
  <c r="R87" i="65" s="1"/>
  <c r="Q115" i="65"/>
  <c r="AT21" i="70"/>
  <c r="AT21" i="66"/>
  <c r="AT21" i="65"/>
  <c r="AT21" i="63"/>
  <c r="AT106" i="27" s="1"/>
  <c r="AT21" i="62"/>
  <c r="P115" i="63"/>
  <c r="Q92" i="63"/>
  <c r="Q93" i="63" s="1"/>
  <c r="P113" i="63"/>
  <c r="Q87" i="63" s="1"/>
  <c r="Q170" i="66"/>
  <c r="P124" i="70"/>
  <c r="P128" i="66"/>
  <c r="P129" i="66" s="1"/>
  <c r="P154" i="66"/>
  <c r="O156" i="70"/>
  <c r="O159" i="70" s="1"/>
  <c r="O158" i="70"/>
  <c r="N142" i="70" s="1"/>
  <c r="P111" i="63"/>
  <c r="P157" i="65"/>
  <c r="P155" i="65"/>
  <c r="P152" i="48"/>
  <c r="P155" i="48" s="1"/>
  <c r="P153" i="48"/>
  <c r="AS108" i="27"/>
  <c r="Q124" i="62"/>
  <c r="Q126" i="62" s="1"/>
  <c r="P157" i="62"/>
  <c r="P155" i="62"/>
  <c r="AU21" i="48"/>
  <c r="R88" i="62"/>
  <c r="R101" i="62"/>
  <c r="R100" i="62" s="1"/>
  <c r="S89" i="62"/>
  <c r="T90" i="62" s="1"/>
  <c r="R125" i="62"/>
  <c r="R105" i="62"/>
  <c r="R170" i="62" s="1"/>
  <c r="Q123" i="48"/>
  <c r="Q126" i="48" s="1"/>
  <c r="Q127" i="48" s="1"/>
  <c r="R88" i="48"/>
  <c r="R100" i="48"/>
  <c r="R99" i="48" s="1"/>
  <c r="S89" i="48"/>
  <c r="T90" i="48" s="1"/>
  <c r="AV103" i="27"/>
  <c r="R124" i="48"/>
  <c r="R104" i="48"/>
  <c r="R166" i="48" s="1"/>
  <c r="Q111" i="66" l="1"/>
  <c r="Q117" i="66" s="1"/>
  <c r="R118" i="66" s="1"/>
  <c r="P127" i="70"/>
  <c r="P126" i="70"/>
  <c r="P171" i="70"/>
  <c r="R125" i="65"/>
  <c r="R105" i="65"/>
  <c r="R217" i="65" s="1"/>
  <c r="Q106" i="70"/>
  <c r="Q107" i="70" s="1"/>
  <c r="Q108" i="70" s="1"/>
  <c r="R102" i="70"/>
  <c r="O156" i="63"/>
  <c r="O159" i="63" s="1"/>
  <c r="O158" i="63"/>
  <c r="N142" i="63" s="1"/>
  <c r="P157" i="66"/>
  <c r="P155" i="66"/>
  <c r="Q170" i="70"/>
  <c r="Q110" i="70"/>
  <c r="Q121" i="70"/>
  <c r="Q122" i="70" s="1"/>
  <c r="Q114" i="70"/>
  <c r="AU21" i="70"/>
  <c r="AU21" i="66"/>
  <c r="AU21" i="65"/>
  <c r="AU21" i="63"/>
  <c r="AU21" i="62"/>
  <c r="P117" i="63"/>
  <c r="Q118" i="63" s="1"/>
  <c r="Q217" i="70"/>
  <c r="P156" i="65"/>
  <c r="P159" i="65" s="1"/>
  <c r="P158" i="65"/>
  <c r="O142" i="65" s="1"/>
  <c r="Q101" i="63"/>
  <c r="Q100" i="63" s="1"/>
  <c r="Q88" i="63"/>
  <c r="R89" i="63"/>
  <c r="S90" i="63" s="1"/>
  <c r="Q124" i="65"/>
  <c r="R88" i="65"/>
  <c r="S89" i="65"/>
  <c r="T90" i="65" s="1"/>
  <c r="R101" i="65"/>
  <c r="R100" i="65" s="1"/>
  <c r="Q115" i="66"/>
  <c r="Q113" i="66"/>
  <c r="R87" i="66" s="1"/>
  <c r="Q93" i="66"/>
  <c r="AU106" i="27"/>
  <c r="AT108" i="27"/>
  <c r="Q167" i="48"/>
  <c r="Q125" i="48"/>
  <c r="Q171" i="62"/>
  <c r="Q127" i="62"/>
  <c r="AV21" i="48"/>
  <c r="R106" i="62"/>
  <c r="R107" i="62" s="1"/>
  <c r="R108" i="62" s="1"/>
  <c r="S102" i="62"/>
  <c r="P156" i="62"/>
  <c r="P159" i="62" s="1"/>
  <c r="P158" i="62"/>
  <c r="O142" i="62" s="1"/>
  <c r="R110" i="62"/>
  <c r="R114" i="62"/>
  <c r="S92" i="62" s="1"/>
  <c r="R121" i="62"/>
  <c r="R122" i="62" s="1"/>
  <c r="R217" i="62"/>
  <c r="R109" i="48"/>
  <c r="R120" i="48"/>
  <c r="R121" i="48" s="1"/>
  <c r="R113" i="48"/>
  <c r="S92" i="48" s="1"/>
  <c r="AW103" i="27"/>
  <c r="Q128" i="48"/>
  <c r="Q150" i="48"/>
  <c r="Q151" i="48" s="1"/>
  <c r="R105" i="48"/>
  <c r="R106" i="48" s="1"/>
  <c r="R107" i="48" s="1"/>
  <c r="S101" i="48"/>
  <c r="Q124" i="66" l="1"/>
  <c r="AV21" i="70"/>
  <c r="AV21" i="66"/>
  <c r="AV21" i="65"/>
  <c r="AV21" i="63"/>
  <c r="AV21" i="62"/>
  <c r="R106" i="65"/>
  <c r="S102" i="65"/>
  <c r="Q171" i="65"/>
  <c r="Q126" i="65"/>
  <c r="Q127" i="65"/>
  <c r="P124" i="63"/>
  <c r="P156" i="66"/>
  <c r="P159" i="66" s="1"/>
  <c r="P158" i="66"/>
  <c r="O142" i="66" s="1"/>
  <c r="R101" i="66"/>
  <c r="R100" i="66" s="1"/>
  <c r="R88" i="66"/>
  <c r="S89" i="66"/>
  <c r="T90" i="66" s="1"/>
  <c r="Q125" i="63"/>
  <c r="Q105" i="63"/>
  <c r="Q170" i="63" s="1"/>
  <c r="Q111" i="70"/>
  <c r="P128" i="70"/>
  <c r="P129" i="70" s="1"/>
  <c r="P154" i="70"/>
  <c r="Q127" i="66"/>
  <c r="Q126" i="66"/>
  <c r="Q171" i="66"/>
  <c r="Q106" i="63"/>
  <c r="R102" i="63"/>
  <c r="Q113" i="70"/>
  <c r="R87" i="70" s="1"/>
  <c r="Q115" i="70"/>
  <c r="R92" i="70"/>
  <c r="R93" i="70" s="1"/>
  <c r="R170" i="65"/>
  <c r="R110" i="65"/>
  <c r="R121" i="65"/>
  <c r="R122" i="65" s="1"/>
  <c r="R114" i="65"/>
  <c r="S92" i="65" s="1"/>
  <c r="R107" i="65"/>
  <c r="R108" i="65" s="1"/>
  <c r="R125" i="66"/>
  <c r="R105" i="66"/>
  <c r="R170" i="66" s="1"/>
  <c r="AU108" i="27"/>
  <c r="AV106" i="27"/>
  <c r="Q154" i="62"/>
  <c r="Q157" i="62" s="1"/>
  <c r="Q128" i="62"/>
  <c r="Q129" i="62" s="1"/>
  <c r="R111" i="62"/>
  <c r="R117" i="62" s="1"/>
  <c r="S118" i="62" s="1"/>
  <c r="AW21" i="48"/>
  <c r="R113" i="62"/>
  <c r="S87" i="62" s="1"/>
  <c r="R93" i="62"/>
  <c r="R115" i="62"/>
  <c r="R110" i="48"/>
  <c r="R116" i="48" s="1"/>
  <c r="S117" i="48" s="1"/>
  <c r="R114" i="48"/>
  <c r="R93" i="48"/>
  <c r="R112" i="48"/>
  <c r="S87" i="48" s="1"/>
  <c r="AX103" i="27"/>
  <c r="Q154" i="48"/>
  <c r="P138" i="48" s="1"/>
  <c r="Q152" i="48"/>
  <c r="Q155" i="48" s="1"/>
  <c r="Q153" i="48"/>
  <c r="R111" i="65" l="1"/>
  <c r="Q107" i="63"/>
  <c r="Q108" i="63" s="1"/>
  <c r="R113" i="65"/>
  <c r="S87" i="65" s="1"/>
  <c r="R115" i="65"/>
  <c r="R93" i="65"/>
  <c r="P127" i="63"/>
  <c r="P126" i="63"/>
  <c r="P171" i="63"/>
  <c r="R121" i="66"/>
  <c r="R122" i="66" s="1"/>
  <c r="R114" i="66"/>
  <c r="S92" i="66" s="1"/>
  <c r="R110" i="66"/>
  <c r="P155" i="70"/>
  <c r="P157" i="70"/>
  <c r="Q128" i="65"/>
  <c r="Q129" i="65" s="1"/>
  <c r="Q154" i="65"/>
  <c r="AW21" i="70"/>
  <c r="AW21" i="66"/>
  <c r="AW21" i="65"/>
  <c r="AW21" i="62"/>
  <c r="AW21" i="63"/>
  <c r="R117" i="65"/>
  <c r="S118" i="65" s="1"/>
  <c r="S89" i="70"/>
  <c r="T90" i="70" s="1"/>
  <c r="R88" i="70"/>
  <c r="R101" i="70"/>
  <c r="R100" i="70" s="1"/>
  <c r="Q217" i="63"/>
  <c r="Q121" i="63"/>
  <c r="Q122" i="63" s="1"/>
  <c r="Q110" i="63"/>
  <c r="Q114" i="63"/>
  <c r="R217" i="66"/>
  <c r="Q128" i="66"/>
  <c r="Q129" i="66" s="1"/>
  <c r="Q154" i="66"/>
  <c r="Q117" i="70"/>
  <c r="R118" i="70" s="1"/>
  <c r="R106" i="66"/>
  <c r="R107" i="66" s="1"/>
  <c r="R108" i="66" s="1"/>
  <c r="S102" i="66"/>
  <c r="Q155" i="62"/>
  <c r="Q158" i="62" s="1"/>
  <c r="P142" i="62" s="1"/>
  <c r="AW106" i="27"/>
  <c r="AV108" i="27"/>
  <c r="R124" i="62"/>
  <c r="R127" i="62" s="1"/>
  <c r="R128" i="62" s="1"/>
  <c r="R129" i="62" s="1"/>
  <c r="R123" i="48"/>
  <c r="R167" i="48" s="1"/>
  <c r="AX21" i="48"/>
  <c r="S101" i="62"/>
  <c r="S100" i="62" s="1"/>
  <c r="S88" i="62"/>
  <c r="T89" i="62"/>
  <c r="U90" i="62" s="1"/>
  <c r="S125" i="62"/>
  <c r="S105" i="62"/>
  <c r="S217" i="62" s="1"/>
  <c r="AY103" i="27"/>
  <c r="S100" i="48"/>
  <c r="S99" i="48" s="1"/>
  <c r="S88" i="48"/>
  <c r="T89" i="48"/>
  <c r="U90" i="48" s="1"/>
  <c r="S124" i="48"/>
  <c r="S104" i="48"/>
  <c r="S166" i="48" s="1"/>
  <c r="R111" i="66" l="1"/>
  <c r="R117" i="66" s="1"/>
  <c r="Q111" i="63"/>
  <c r="Q117" i="63" s="1"/>
  <c r="R118" i="63" s="1"/>
  <c r="Q124" i="70"/>
  <c r="Q171" i="70" s="1"/>
  <c r="R124" i="65"/>
  <c r="R126" i="65" s="1"/>
  <c r="R124" i="66"/>
  <c r="S118" i="66"/>
  <c r="R125" i="70"/>
  <c r="R105" i="70"/>
  <c r="Q155" i="66"/>
  <c r="Q157" i="66"/>
  <c r="P158" i="70"/>
  <c r="O142" i="70" s="1"/>
  <c r="P156" i="70"/>
  <c r="P159" i="70" s="1"/>
  <c r="R93" i="66"/>
  <c r="R113" i="66"/>
  <c r="S87" i="66" s="1"/>
  <c r="R115" i="66"/>
  <c r="Q157" i="65"/>
  <c r="Q155" i="65"/>
  <c r="AX21" i="70"/>
  <c r="AX21" i="66"/>
  <c r="AX21" i="65"/>
  <c r="AX21" i="63"/>
  <c r="AX21" i="62"/>
  <c r="Q126" i="70"/>
  <c r="Q113" i="63"/>
  <c r="R87" i="63" s="1"/>
  <c r="Q115" i="63"/>
  <c r="R92" i="63"/>
  <c r="R93" i="63" s="1"/>
  <c r="R106" i="70"/>
  <c r="S102" i="70"/>
  <c r="S125" i="65"/>
  <c r="S105" i="65"/>
  <c r="P128" i="63"/>
  <c r="P129" i="63" s="1"/>
  <c r="P154" i="63"/>
  <c r="T89" i="65"/>
  <c r="U90" i="65" s="1"/>
  <c r="S101" i="65"/>
  <c r="S100" i="65" s="1"/>
  <c r="S88" i="65"/>
  <c r="Q156" i="62"/>
  <c r="Q159" i="62" s="1"/>
  <c r="AW108" i="27"/>
  <c r="AX106" i="27"/>
  <c r="R125" i="48"/>
  <c r="R171" i="62"/>
  <c r="R126" i="62"/>
  <c r="AY21" i="48"/>
  <c r="R126" i="48"/>
  <c r="S110" i="62"/>
  <c r="S114" i="62"/>
  <c r="T92" i="62" s="1"/>
  <c r="S121" i="62"/>
  <c r="S122" i="62" s="1"/>
  <c r="S106" i="62"/>
  <c r="S107" i="62" s="1"/>
  <c r="S108" i="62" s="1"/>
  <c r="T102" i="62"/>
  <c r="S170" i="62"/>
  <c r="R154" i="62"/>
  <c r="S105" i="48"/>
  <c r="S106" i="48" s="1"/>
  <c r="S107" i="48" s="1"/>
  <c r="T101" i="48"/>
  <c r="S109" i="48"/>
  <c r="S120" i="48"/>
  <c r="S121" i="48" s="1"/>
  <c r="S113" i="48"/>
  <c r="T92" i="48" s="1"/>
  <c r="AZ103" i="27"/>
  <c r="Q127" i="70" l="1"/>
  <c r="R107" i="70"/>
  <c r="R108" i="70" s="1"/>
  <c r="R171" i="65"/>
  <c r="R127" i="65"/>
  <c r="R154" i="65" s="1"/>
  <c r="Q124" i="63"/>
  <c r="Q126" i="63" s="1"/>
  <c r="S170" i="65"/>
  <c r="S121" i="65"/>
  <c r="S122" i="65" s="1"/>
  <c r="S114" i="65"/>
  <c r="T92" i="65" s="1"/>
  <c r="S110" i="65"/>
  <c r="R88" i="63"/>
  <c r="S89" i="63"/>
  <c r="T90" i="63" s="1"/>
  <c r="R101" i="63"/>
  <c r="R100" i="63" s="1"/>
  <c r="R110" i="70"/>
  <c r="R121" i="70"/>
  <c r="R122" i="70" s="1"/>
  <c r="R114" i="70"/>
  <c r="S125" i="66"/>
  <c r="S105" i="66"/>
  <c r="S170" i="66" s="1"/>
  <c r="P157" i="63"/>
  <c r="P155" i="63"/>
  <c r="S88" i="66"/>
  <c r="S101" i="66"/>
  <c r="S100" i="66" s="1"/>
  <c r="T89" i="66"/>
  <c r="U90" i="66" s="1"/>
  <c r="R217" i="70"/>
  <c r="R126" i="66"/>
  <c r="R127" i="66"/>
  <c r="R171" i="66"/>
  <c r="AY21" i="70"/>
  <c r="AY21" i="66"/>
  <c r="AY21" i="65"/>
  <c r="AY21" i="63"/>
  <c r="AY106" i="27" s="1"/>
  <c r="AY21" i="62"/>
  <c r="S217" i="65"/>
  <c r="Q128" i="70"/>
  <c r="Q129" i="70" s="1"/>
  <c r="Q154" i="70"/>
  <c r="Q156" i="65"/>
  <c r="Q159" i="65" s="1"/>
  <c r="Q158" i="65"/>
  <c r="P142" i="65" s="1"/>
  <c r="Q158" i="66"/>
  <c r="P142" i="66" s="1"/>
  <c r="Q156" i="66"/>
  <c r="Q159" i="66" s="1"/>
  <c r="R170" i="70"/>
  <c r="S106" i="65"/>
  <c r="S107" i="65" s="1"/>
  <c r="S108" i="65" s="1"/>
  <c r="T102" i="65"/>
  <c r="R125" i="63"/>
  <c r="R105" i="63"/>
  <c r="R217" i="63" s="1"/>
  <c r="AX108" i="27"/>
  <c r="R127" i="48"/>
  <c r="R128" i="48" s="1"/>
  <c r="S111" i="62"/>
  <c r="S117" i="62" s="1"/>
  <c r="T118" i="62" s="1"/>
  <c r="R150" i="48"/>
  <c r="R151" i="48" s="1"/>
  <c r="R154" i="48" s="1"/>
  <c r="Q138" i="48" s="1"/>
  <c r="AZ21" i="48"/>
  <c r="S93" i="62"/>
  <c r="S115" i="62"/>
  <c r="S113" i="62"/>
  <c r="T87" i="62" s="1"/>
  <c r="R155" i="62"/>
  <c r="R157" i="62"/>
  <c r="S110" i="48"/>
  <c r="S116" i="48" s="1"/>
  <c r="T117" i="48" s="1"/>
  <c r="BA103" i="27"/>
  <c r="S114" i="48"/>
  <c r="S93" i="48"/>
  <c r="S112" i="48"/>
  <c r="T87" i="48" s="1"/>
  <c r="R111" i="70" l="1"/>
  <c r="Q171" i="63"/>
  <c r="R128" i="65"/>
  <c r="R129" i="65" s="1"/>
  <c r="S111" i="65"/>
  <c r="S117" i="65" s="1"/>
  <c r="T118" i="65" s="1"/>
  <c r="Q127" i="63"/>
  <c r="Q154" i="63" s="1"/>
  <c r="R128" i="66"/>
  <c r="R129" i="66" s="1"/>
  <c r="R154" i="66"/>
  <c r="S106" i="66"/>
  <c r="S107" i="66" s="1"/>
  <c r="S108" i="66" s="1"/>
  <c r="T102" i="66"/>
  <c r="P158" i="63"/>
  <c r="O142" i="63" s="1"/>
  <c r="P156" i="63"/>
  <c r="P159" i="63" s="1"/>
  <c r="S93" i="65"/>
  <c r="S113" i="65"/>
  <c r="T87" i="65" s="1"/>
  <c r="S115" i="65"/>
  <c r="AZ21" i="70"/>
  <c r="AZ21" i="65"/>
  <c r="AZ21" i="66"/>
  <c r="AZ21" i="63"/>
  <c r="AZ21" i="62"/>
  <c r="R170" i="63"/>
  <c r="R121" i="63"/>
  <c r="R122" i="63" s="1"/>
  <c r="R114" i="63"/>
  <c r="R110" i="63"/>
  <c r="S217" i="66"/>
  <c r="S110" i="66"/>
  <c r="S121" i="66"/>
  <c r="S122" i="66" s="1"/>
  <c r="S114" i="66"/>
  <c r="T92" i="66" s="1"/>
  <c r="R113" i="70"/>
  <c r="S87" i="70" s="1"/>
  <c r="S92" i="70"/>
  <c r="S93" i="70" s="1"/>
  <c r="R115" i="70"/>
  <c r="R106" i="63"/>
  <c r="R107" i="63" s="1"/>
  <c r="R108" i="63" s="1"/>
  <c r="S102" i="63"/>
  <c r="R155" i="65"/>
  <c r="R157" i="65"/>
  <c r="Q155" i="70"/>
  <c r="Q157" i="70"/>
  <c r="R117" i="70"/>
  <c r="S118" i="70" s="1"/>
  <c r="AZ106" i="27"/>
  <c r="AY108" i="27"/>
  <c r="R152" i="48"/>
  <c r="R155" i="48" s="1"/>
  <c r="R153" i="48"/>
  <c r="S124" i="62"/>
  <c r="S126" i="62" s="1"/>
  <c r="BA21" i="48"/>
  <c r="R156" i="62"/>
  <c r="R159" i="62" s="1"/>
  <c r="R158" i="62"/>
  <c r="Q142" i="62" s="1"/>
  <c r="T101" i="62"/>
  <c r="T100" i="62" s="1"/>
  <c r="T88" i="62"/>
  <c r="U89" i="62"/>
  <c r="V90" i="62" s="1"/>
  <c r="T125" i="62"/>
  <c r="T105" i="62"/>
  <c r="S123" i="48"/>
  <c r="S126" i="48" s="1"/>
  <c r="S127" i="48" s="1"/>
  <c r="T100" i="48"/>
  <c r="T99" i="48" s="1"/>
  <c r="T88" i="48"/>
  <c r="U89" i="48"/>
  <c r="V90" i="48" s="1"/>
  <c r="BB103" i="27"/>
  <c r="T124" i="48"/>
  <c r="T104" i="48"/>
  <c r="T166" i="48" s="1"/>
  <c r="S111" i="66" l="1"/>
  <c r="Q128" i="63"/>
  <c r="Q129" i="63" s="1"/>
  <c r="S124" i="65"/>
  <c r="R111" i="63"/>
  <c r="R117" i="63" s="1"/>
  <c r="S118" i="63" s="1"/>
  <c r="R124" i="70"/>
  <c r="R171" i="70" s="1"/>
  <c r="Q156" i="70"/>
  <c r="Q159" i="70" s="1"/>
  <c r="Q158" i="70"/>
  <c r="P142" i="70" s="1"/>
  <c r="T89" i="70"/>
  <c r="U90" i="70" s="1"/>
  <c r="S88" i="70"/>
  <c r="S101" i="70"/>
  <c r="S100" i="70" s="1"/>
  <c r="R115" i="63"/>
  <c r="S92" i="63"/>
  <c r="S93" i="63" s="1"/>
  <c r="R113" i="63"/>
  <c r="S87" i="63" s="1"/>
  <c r="T88" i="65"/>
  <c r="T101" i="65"/>
  <c r="T100" i="65" s="1"/>
  <c r="U89" i="65"/>
  <c r="V90" i="65" s="1"/>
  <c r="R127" i="70"/>
  <c r="R126" i="70"/>
  <c r="S117" i="66"/>
  <c r="T118" i="66" s="1"/>
  <c r="Q155" i="63"/>
  <c r="Q157" i="63"/>
  <c r="BA21" i="70"/>
  <c r="BA21" i="65"/>
  <c r="BA21" i="66"/>
  <c r="BA21" i="63"/>
  <c r="BA106" i="27" s="1"/>
  <c r="BA21" i="62"/>
  <c r="S125" i="70"/>
  <c r="S105" i="70"/>
  <c r="S217" i="70" s="1"/>
  <c r="R158" i="65"/>
  <c r="Q142" i="65" s="1"/>
  <c r="R156" i="65"/>
  <c r="R159" i="65" s="1"/>
  <c r="S93" i="66"/>
  <c r="S115" i="66"/>
  <c r="S113" i="66"/>
  <c r="T87" i="66" s="1"/>
  <c r="T125" i="65"/>
  <c r="T105" i="65"/>
  <c r="R157" i="66"/>
  <c r="R155" i="66"/>
  <c r="S171" i="65"/>
  <c r="S126" i="65"/>
  <c r="S127" i="65"/>
  <c r="S125" i="48"/>
  <c r="AZ108" i="27"/>
  <c r="S167" i="48"/>
  <c r="S171" i="62"/>
  <c r="S127" i="62"/>
  <c r="S128" i="62" s="1"/>
  <c r="S129" i="62" s="1"/>
  <c r="T110" i="62"/>
  <c r="T114" i="62"/>
  <c r="U92" i="62" s="1"/>
  <c r="T121" i="62"/>
  <c r="T122" i="62" s="1"/>
  <c r="BB21" i="48"/>
  <c r="T217" i="62"/>
  <c r="T170" i="62"/>
  <c r="T106" i="62"/>
  <c r="T107" i="62" s="1"/>
  <c r="T108" i="62" s="1"/>
  <c r="U102" i="62"/>
  <c r="T109" i="48"/>
  <c r="T120" i="48"/>
  <c r="T121" i="48" s="1"/>
  <c r="T113" i="48"/>
  <c r="U92" i="48" s="1"/>
  <c r="BC103" i="27"/>
  <c r="S128" i="48"/>
  <c r="S150" i="48"/>
  <c r="S151" i="48" s="1"/>
  <c r="T105" i="48"/>
  <c r="T106" i="48" s="1"/>
  <c r="T107" i="48" s="1"/>
  <c r="U101" i="48"/>
  <c r="S170" i="70" l="1"/>
  <c r="R124" i="63"/>
  <c r="R127" i="63" s="1"/>
  <c r="T125" i="66"/>
  <c r="T105" i="66"/>
  <c r="T217" i="66" s="1"/>
  <c r="BB21" i="70"/>
  <c r="BB21" i="66"/>
  <c r="BB21" i="65"/>
  <c r="BB21" i="63"/>
  <c r="BB21" i="62"/>
  <c r="T170" i="65"/>
  <c r="T114" i="65"/>
  <c r="U92" i="65" s="1"/>
  <c r="T121" i="65"/>
  <c r="T122" i="65" s="1"/>
  <c r="T110" i="65"/>
  <c r="R126" i="63"/>
  <c r="R128" i="70"/>
  <c r="R129" i="70" s="1"/>
  <c r="R154" i="70"/>
  <c r="T106" i="65"/>
  <c r="T107" i="65" s="1"/>
  <c r="T108" i="65" s="1"/>
  <c r="T111" i="65" s="1"/>
  <c r="U102" i="65"/>
  <c r="R158" i="66"/>
  <c r="Q142" i="66" s="1"/>
  <c r="R156" i="66"/>
  <c r="R159" i="66" s="1"/>
  <c r="U89" i="66"/>
  <c r="V90" i="66" s="1"/>
  <c r="T88" i="66"/>
  <c r="T101" i="66"/>
  <c r="T100" i="66" s="1"/>
  <c r="Q156" i="63"/>
  <c r="Q159" i="63" s="1"/>
  <c r="Q158" i="63"/>
  <c r="P142" i="63" s="1"/>
  <c r="S125" i="63"/>
  <c r="S105" i="63"/>
  <c r="S170" i="63" s="1"/>
  <c r="S106" i="70"/>
  <c r="S107" i="70" s="1"/>
  <c r="S108" i="70" s="1"/>
  <c r="S111" i="70" s="1"/>
  <c r="T102" i="70"/>
  <c r="S154" i="65"/>
  <c r="S128" i="65"/>
  <c r="S129" i="65" s="1"/>
  <c r="T217" i="65"/>
  <c r="S110" i="70"/>
  <c r="S121" i="70"/>
  <c r="S122" i="70" s="1"/>
  <c r="S114" i="70"/>
  <c r="S124" i="66"/>
  <c r="T89" i="63"/>
  <c r="U90" i="63" s="1"/>
  <c r="S101" i="63"/>
  <c r="S100" i="63" s="1"/>
  <c r="S88" i="63"/>
  <c r="BB106" i="27"/>
  <c r="BA108" i="27"/>
  <c r="S154" i="62"/>
  <c r="S155" i="62" s="1"/>
  <c r="T111" i="62"/>
  <c r="T117" i="62" s="1"/>
  <c r="U118" i="62" s="1"/>
  <c r="T110" i="48"/>
  <c r="T116" i="48" s="1"/>
  <c r="U117" i="48" s="1"/>
  <c r="BC21" i="48"/>
  <c r="T93" i="62"/>
  <c r="T113" i="62"/>
  <c r="U87" i="62" s="1"/>
  <c r="T115" i="62"/>
  <c r="BD103" i="27"/>
  <c r="S153" i="48"/>
  <c r="S152" i="48"/>
  <c r="S155" i="48" s="1"/>
  <c r="S154" i="48"/>
  <c r="R138" i="48" s="1"/>
  <c r="T114" i="48"/>
  <c r="T112" i="48"/>
  <c r="U87" i="48" s="1"/>
  <c r="T93" i="48"/>
  <c r="R171" i="63" l="1"/>
  <c r="T170" i="66"/>
  <c r="T117" i="65"/>
  <c r="U118" i="65" s="1"/>
  <c r="S127" i="66"/>
  <c r="S126" i="66"/>
  <c r="S171" i="66"/>
  <c r="T113" i="65"/>
  <c r="U87" i="65" s="1"/>
  <c r="T115" i="65"/>
  <c r="T93" i="65"/>
  <c r="S117" i="70"/>
  <c r="T118" i="70" s="1"/>
  <c r="R154" i="63"/>
  <c r="R128" i="63"/>
  <c r="R129" i="63" s="1"/>
  <c r="BC21" i="70"/>
  <c r="BC21" i="66"/>
  <c r="BC21" i="65"/>
  <c r="BC21" i="63"/>
  <c r="BC21" i="62"/>
  <c r="S106" i="63"/>
  <c r="S107" i="63" s="1"/>
  <c r="S108" i="63" s="1"/>
  <c r="T102" i="63"/>
  <c r="S115" i="70"/>
  <c r="S113" i="70"/>
  <c r="T87" i="70" s="1"/>
  <c r="T92" i="70"/>
  <c r="T93" i="70" s="1"/>
  <c r="T106" i="66"/>
  <c r="T107" i="66" s="1"/>
  <c r="T108" i="66" s="1"/>
  <c r="U102" i="66"/>
  <c r="R155" i="70"/>
  <c r="R157" i="70"/>
  <c r="S155" i="65"/>
  <c r="S157" i="65"/>
  <c r="S217" i="63"/>
  <c r="S114" i="63"/>
  <c r="S121" i="63"/>
  <c r="S122" i="63" s="1"/>
  <c r="S110" i="63"/>
  <c r="T114" i="66"/>
  <c r="U92" i="66" s="1"/>
  <c r="T121" i="66"/>
  <c r="T122" i="66" s="1"/>
  <c r="T110" i="66"/>
  <c r="BC106" i="27"/>
  <c r="BB108" i="27"/>
  <c r="S157" i="62"/>
  <c r="T124" i="62"/>
  <c r="T127" i="62" s="1"/>
  <c r="T128" i="62" s="1"/>
  <c r="T129" i="62" s="1"/>
  <c r="T123" i="48"/>
  <c r="T167" i="48" s="1"/>
  <c r="S158" i="62"/>
  <c r="R142" i="62" s="1"/>
  <c r="S156" i="62"/>
  <c r="S159" i="62" s="1"/>
  <c r="U101" i="62"/>
  <c r="U100" i="62" s="1"/>
  <c r="U88" i="62"/>
  <c r="V89" i="62"/>
  <c r="W90" i="62" s="1"/>
  <c r="BD21" i="48"/>
  <c r="U125" i="62"/>
  <c r="U105" i="62"/>
  <c r="U217" i="62" s="1"/>
  <c r="BE103" i="27"/>
  <c r="U88" i="48"/>
  <c r="U100" i="48"/>
  <c r="U99" i="48" s="1"/>
  <c r="V89" i="48"/>
  <c r="W90" i="48" s="1"/>
  <c r="U124" i="48"/>
  <c r="U104" i="48"/>
  <c r="U166" i="48" s="1"/>
  <c r="T111" i="66" l="1"/>
  <c r="T117" i="66" s="1"/>
  <c r="U118" i="66" s="1"/>
  <c r="T124" i="65"/>
  <c r="T127" i="65" s="1"/>
  <c r="T115" i="66"/>
  <c r="T93" i="66"/>
  <c r="T113" i="66"/>
  <c r="U87" i="66" s="1"/>
  <c r="S115" i="63"/>
  <c r="S113" i="63"/>
  <c r="T87" i="63" s="1"/>
  <c r="T92" i="63"/>
  <c r="T93" i="63" s="1"/>
  <c r="S124" i="70"/>
  <c r="T125" i="70"/>
  <c r="T105" i="70"/>
  <c r="V89" i="65"/>
  <c r="W90" i="65" s="1"/>
  <c r="U88" i="65"/>
  <c r="U101" i="65"/>
  <c r="U100" i="65" s="1"/>
  <c r="S154" i="66"/>
  <c r="S128" i="66"/>
  <c r="S129" i="66" s="1"/>
  <c r="R156" i="70"/>
  <c r="R159" i="70" s="1"/>
  <c r="R158" i="70"/>
  <c r="Q142" i="70" s="1"/>
  <c r="S111" i="63"/>
  <c r="R157" i="63"/>
  <c r="R155" i="63"/>
  <c r="T171" i="65"/>
  <c r="BD21" i="70"/>
  <c r="BD21" i="65"/>
  <c r="BD21" i="66"/>
  <c r="BD21" i="63"/>
  <c r="BD106" i="27" s="1"/>
  <c r="BD21" i="62"/>
  <c r="S156" i="65"/>
  <c r="S159" i="65" s="1"/>
  <c r="S158" i="65"/>
  <c r="R142" i="65" s="1"/>
  <c r="T88" i="70"/>
  <c r="U89" i="70"/>
  <c r="V90" i="70" s="1"/>
  <c r="T101" i="70"/>
  <c r="T100" i="70" s="1"/>
  <c r="U125" i="65"/>
  <c r="U105" i="65"/>
  <c r="U217" i="65" s="1"/>
  <c r="T126" i="62"/>
  <c r="BC108" i="27"/>
  <c r="T126" i="48"/>
  <c r="T127" i="48" s="1"/>
  <c r="T128" i="48" s="1"/>
  <c r="T125" i="48"/>
  <c r="T171" i="62"/>
  <c r="U170" i="62"/>
  <c r="U106" i="62"/>
  <c r="U107" i="62" s="1"/>
  <c r="U108" i="62" s="1"/>
  <c r="V102" i="62"/>
  <c r="U114" i="62"/>
  <c r="V92" i="62" s="1"/>
  <c r="U121" i="62"/>
  <c r="U122" i="62" s="1"/>
  <c r="U110" i="62"/>
  <c r="T154" i="62"/>
  <c r="BE21" i="48"/>
  <c r="U105" i="48"/>
  <c r="U106" i="48" s="1"/>
  <c r="U107" i="48" s="1"/>
  <c r="V101" i="48"/>
  <c r="U120" i="48"/>
  <c r="U121" i="48" s="1"/>
  <c r="U113" i="48"/>
  <c r="V92" i="48" s="1"/>
  <c r="U109" i="48"/>
  <c r="BF103" i="27"/>
  <c r="T124" i="66" l="1"/>
  <c r="T126" i="65"/>
  <c r="T106" i="70"/>
  <c r="T107" i="70" s="1"/>
  <c r="T108" i="70" s="1"/>
  <c r="U102" i="70"/>
  <c r="T154" i="65"/>
  <c r="T128" i="65"/>
  <c r="T129" i="65" s="1"/>
  <c r="S117" i="63"/>
  <c r="T118" i="63" s="1"/>
  <c r="S155" i="66"/>
  <c r="S157" i="66"/>
  <c r="U89" i="63"/>
  <c r="V90" i="63" s="1"/>
  <c r="T101" i="63"/>
  <c r="T100" i="63" s="1"/>
  <c r="T88" i="63"/>
  <c r="R158" i="63"/>
  <c r="Q142" i="63" s="1"/>
  <c r="R156" i="63"/>
  <c r="R159" i="63" s="1"/>
  <c r="T170" i="70"/>
  <c r="T110" i="70"/>
  <c r="T121" i="70"/>
  <c r="T122" i="70" s="1"/>
  <c r="T114" i="70"/>
  <c r="U105" i="66"/>
  <c r="U170" i="66" s="1"/>
  <c r="U125" i="66"/>
  <c r="BE21" i="70"/>
  <c r="BE21" i="65"/>
  <c r="BE21" i="66"/>
  <c r="BE21" i="62"/>
  <c r="BE21" i="63"/>
  <c r="U170" i="65"/>
  <c r="U121" i="65"/>
  <c r="U122" i="65" s="1"/>
  <c r="U114" i="65"/>
  <c r="V92" i="65" s="1"/>
  <c r="U110" i="65"/>
  <c r="U106" i="65"/>
  <c r="U107" i="65" s="1"/>
  <c r="U108" i="65" s="1"/>
  <c r="U111" i="65" s="1"/>
  <c r="V102" i="65"/>
  <c r="T217" i="70"/>
  <c r="S126" i="70"/>
  <c r="S127" i="70"/>
  <c r="S171" i="70"/>
  <c r="U101" i="66"/>
  <c r="U100" i="66" s="1"/>
  <c r="U88" i="66"/>
  <c r="V89" i="66"/>
  <c r="W90" i="66" s="1"/>
  <c r="T126" i="66"/>
  <c r="T127" i="66"/>
  <c r="T171" i="66"/>
  <c r="T150" i="48"/>
  <c r="T151" i="48" s="1"/>
  <c r="T153" i="48" s="1"/>
  <c r="BE106" i="27"/>
  <c r="BD108" i="27"/>
  <c r="U111" i="62"/>
  <c r="U117" i="62" s="1"/>
  <c r="V118" i="62" s="1"/>
  <c r="BF21" i="48"/>
  <c r="U93" i="62"/>
  <c r="U115" i="62"/>
  <c r="U113" i="62"/>
  <c r="V87" i="62" s="1"/>
  <c r="T155" i="62"/>
  <c r="T157" i="62"/>
  <c r="U110" i="48"/>
  <c r="U116" i="48" s="1"/>
  <c r="V117" i="48" s="1"/>
  <c r="BG103" i="27"/>
  <c r="U112" i="48"/>
  <c r="V87" i="48" s="1"/>
  <c r="U114" i="48"/>
  <c r="U93" i="48"/>
  <c r="U217" i="66" l="1"/>
  <c r="S124" i="63"/>
  <c r="S171" i="63" s="1"/>
  <c r="U117" i="65"/>
  <c r="V118" i="65" s="1"/>
  <c r="U106" i="66"/>
  <c r="U107" i="66" s="1"/>
  <c r="U108" i="66" s="1"/>
  <c r="V102" i="66"/>
  <c r="T115" i="70"/>
  <c r="T113" i="70"/>
  <c r="U87" i="70" s="1"/>
  <c r="U92" i="70"/>
  <c r="U93" i="70" s="1"/>
  <c r="T106" i="63"/>
  <c r="U102" i="63"/>
  <c r="T155" i="65"/>
  <c r="T157" i="65"/>
  <c r="BF21" i="70"/>
  <c r="BF21" i="66"/>
  <c r="BF21" i="65"/>
  <c r="BF21" i="63"/>
  <c r="BF21" i="62"/>
  <c r="T125" i="63"/>
  <c r="T105" i="63"/>
  <c r="T217" i="63" s="1"/>
  <c r="S128" i="70"/>
  <c r="S129" i="70" s="1"/>
  <c r="S154" i="70"/>
  <c r="U115" i="65"/>
  <c r="U93" i="65"/>
  <c r="U113" i="65"/>
  <c r="V87" i="65" s="1"/>
  <c r="T154" i="66"/>
  <c r="T128" i="66"/>
  <c r="T129" i="66" s="1"/>
  <c r="U114" i="66"/>
  <c r="V92" i="66" s="1"/>
  <c r="U110" i="66"/>
  <c r="U121" i="66"/>
  <c r="U122" i="66" s="1"/>
  <c r="S156" i="66"/>
  <c r="S159" i="66" s="1"/>
  <c r="S158" i="66"/>
  <c r="R142" i="66" s="1"/>
  <c r="T111" i="70"/>
  <c r="T152" i="48"/>
  <c r="T155" i="48" s="1"/>
  <c r="T154" i="48"/>
  <c r="S138" i="48" s="1"/>
  <c r="BE108" i="27"/>
  <c r="BF106" i="27"/>
  <c r="U124" i="62"/>
  <c r="U126" i="62" s="1"/>
  <c r="T158" i="62"/>
  <c r="S142" i="62" s="1"/>
  <c r="T156" i="62"/>
  <c r="T159" i="62" s="1"/>
  <c r="BG21" i="48"/>
  <c r="V101" i="62"/>
  <c r="V100" i="62" s="1"/>
  <c r="W89" i="62"/>
  <c r="X90" i="62" s="1"/>
  <c r="V88" i="62"/>
  <c r="V125" i="62"/>
  <c r="V105" i="62"/>
  <c r="V170" i="62" s="1"/>
  <c r="U123" i="48"/>
  <c r="U126" i="48" s="1"/>
  <c r="U127" i="48" s="1"/>
  <c r="BH103" i="27"/>
  <c r="V88" i="48"/>
  <c r="V100" i="48"/>
  <c r="V99" i="48" s="1"/>
  <c r="W89" i="48"/>
  <c r="X90" i="48" s="1"/>
  <c r="V124" i="48"/>
  <c r="V104" i="48"/>
  <c r="V166" i="48" s="1"/>
  <c r="B160" i="48" l="1"/>
  <c r="D160" i="48" s="1"/>
  <c r="D164" i="66"/>
  <c r="F164" i="66" s="1"/>
  <c r="G164" i="66" s="1"/>
  <c r="D164" i="65"/>
  <c r="F164" i="65" s="1"/>
  <c r="G164" i="65" s="1"/>
  <c r="U124" i="65"/>
  <c r="U126" i="65" s="1"/>
  <c r="S127" i="63"/>
  <c r="S154" i="63" s="1"/>
  <c r="S126" i="63"/>
  <c r="U111" i="66"/>
  <c r="U117" i="66" s="1"/>
  <c r="V118" i="66" s="1"/>
  <c r="T117" i="70"/>
  <c r="U118" i="70" s="1"/>
  <c r="S155" i="70"/>
  <c r="S157" i="70"/>
  <c r="U88" i="70"/>
  <c r="V89" i="70"/>
  <c r="W90" i="70" s="1"/>
  <c r="U101" i="70"/>
  <c r="U100" i="70" s="1"/>
  <c r="T155" i="66"/>
  <c r="T157" i="66"/>
  <c r="W89" i="65"/>
  <c r="X90" i="65" s="1"/>
  <c r="V101" i="65"/>
  <c r="V100" i="65" s="1"/>
  <c r="V88" i="65"/>
  <c r="T158" i="65"/>
  <c r="S142" i="65" s="1"/>
  <c r="T156" i="65"/>
  <c r="T159" i="65" s="1"/>
  <c r="B164" i="65" s="1"/>
  <c r="BG21" i="70"/>
  <c r="BG21" i="66"/>
  <c r="BG21" i="65"/>
  <c r="BG21" i="63"/>
  <c r="BG106" i="27" s="1"/>
  <c r="BG21" i="62"/>
  <c r="T107" i="63"/>
  <c r="T108" i="63" s="1"/>
  <c r="U93" i="66"/>
  <c r="U115" i="66"/>
  <c r="U113" i="66"/>
  <c r="V87" i="66" s="1"/>
  <c r="T170" i="63"/>
  <c r="T110" i="63"/>
  <c r="T114" i="63"/>
  <c r="T121" i="63"/>
  <c r="T122" i="63" s="1"/>
  <c r="V125" i="65"/>
  <c r="V105" i="65"/>
  <c r="V170" i="65" s="1"/>
  <c r="D164" i="62"/>
  <c r="F164" i="62" s="1"/>
  <c r="G164" i="62" s="1"/>
  <c r="U125" i="48"/>
  <c r="BF108" i="27"/>
  <c r="U167" i="48"/>
  <c r="U127" i="62"/>
  <c r="U171" i="62"/>
  <c r="V217" i="62"/>
  <c r="BH21" i="48"/>
  <c r="B164" i="62"/>
  <c r="V110" i="62"/>
  <c r="V121" i="62"/>
  <c r="V122" i="62" s="1"/>
  <c r="V114" i="62"/>
  <c r="W92" i="62" s="1"/>
  <c r="V106" i="62"/>
  <c r="V107" i="62" s="1"/>
  <c r="V108" i="62" s="1"/>
  <c r="W102" i="62"/>
  <c r="V120" i="48"/>
  <c r="V121" i="48" s="1"/>
  <c r="V109" i="48"/>
  <c r="V113" i="48"/>
  <c r="W92" i="48" s="1"/>
  <c r="U150" i="48"/>
  <c r="U151" i="48" s="1"/>
  <c r="U128" i="48"/>
  <c r="V105" i="48"/>
  <c r="V106" i="48" s="1"/>
  <c r="V107" i="48" s="1"/>
  <c r="W101" i="48"/>
  <c r="BI103" i="27"/>
  <c r="U127" i="65" l="1"/>
  <c r="U171" i="65"/>
  <c r="U124" i="66"/>
  <c r="U171" i="66" s="1"/>
  <c r="S128" i="63"/>
  <c r="S129" i="63" s="1"/>
  <c r="T124" i="70"/>
  <c r="D164" i="70" s="1"/>
  <c r="F164" i="70" s="1"/>
  <c r="G164" i="70" s="1"/>
  <c r="U92" i="63"/>
  <c r="U93" i="63" s="1"/>
  <c r="T115" i="63"/>
  <c r="T113" i="63"/>
  <c r="U87" i="63" s="1"/>
  <c r="S157" i="63"/>
  <c r="S155" i="63"/>
  <c r="T111" i="63"/>
  <c r="U125" i="70"/>
  <c r="U105" i="70"/>
  <c r="U217" i="70" s="1"/>
  <c r="BH21" i="70"/>
  <c r="BH21" i="66"/>
  <c r="BH21" i="65"/>
  <c r="BH21" i="63"/>
  <c r="BH21" i="62"/>
  <c r="T158" i="66"/>
  <c r="S142" i="66" s="1"/>
  <c r="T156" i="66"/>
  <c r="T159" i="66" s="1"/>
  <c r="B164" i="66" s="1"/>
  <c r="V217" i="65"/>
  <c r="V121" i="65"/>
  <c r="V122" i="65" s="1"/>
  <c r="V110" i="65"/>
  <c r="V114" i="65"/>
  <c r="W92" i="65" s="1"/>
  <c r="V88" i="66"/>
  <c r="V101" i="66"/>
  <c r="V100" i="66" s="1"/>
  <c r="W89" i="66"/>
  <c r="X90" i="66" s="1"/>
  <c r="U154" i="65"/>
  <c r="U128" i="65"/>
  <c r="U129" i="65" s="1"/>
  <c r="V106" i="65"/>
  <c r="V107" i="65" s="1"/>
  <c r="V108" i="65" s="1"/>
  <c r="W102" i="65"/>
  <c r="U106" i="70"/>
  <c r="V102" i="70"/>
  <c r="S158" i="70"/>
  <c r="R142" i="70" s="1"/>
  <c r="S156" i="70"/>
  <c r="S159" i="70" s="1"/>
  <c r="V125" i="66"/>
  <c r="V105" i="66"/>
  <c r="V217" i="66" s="1"/>
  <c r="BI21" i="48"/>
  <c r="BG108" i="27"/>
  <c r="BH106" i="27"/>
  <c r="U154" i="62"/>
  <c r="U155" i="62" s="1"/>
  <c r="U128" i="62"/>
  <c r="U129" i="62" s="1"/>
  <c r="V110" i="48"/>
  <c r="V116" i="48" s="1"/>
  <c r="W117" i="48" s="1"/>
  <c r="V111" i="62"/>
  <c r="V117" i="62" s="1"/>
  <c r="W118" i="62" s="1"/>
  <c r="V113" i="62"/>
  <c r="W87" i="62" s="1"/>
  <c r="V93" i="62"/>
  <c r="V115" i="62"/>
  <c r="U153" i="48"/>
  <c r="U154" i="48"/>
  <c r="T138" i="48" s="1"/>
  <c r="U152" i="48"/>
  <c r="U155" i="48" s="1"/>
  <c r="BJ103" i="27"/>
  <c r="BJ108" i="27" s="1"/>
  <c r="V112" i="48"/>
  <c r="W87" i="48" s="1"/>
  <c r="V114" i="48"/>
  <c r="V93" i="48"/>
  <c r="U126" i="66" l="1"/>
  <c r="T171" i="70"/>
  <c r="U127" i="66"/>
  <c r="U107" i="70"/>
  <c r="U108" i="70" s="1"/>
  <c r="T126" i="70"/>
  <c r="T127" i="70"/>
  <c r="T154" i="70" s="1"/>
  <c r="V111" i="65"/>
  <c r="V117" i="65" s="1"/>
  <c r="W118" i="65" s="1"/>
  <c r="V170" i="66"/>
  <c r="U155" i="65"/>
  <c r="U157" i="65"/>
  <c r="U128" i="66"/>
  <c r="U129" i="66" s="1"/>
  <c r="U154" i="66"/>
  <c r="U101" i="63"/>
  <c r="U100" i="63" s="1"/>
  <c r="U88" i="63"/>
  <c r="V89" i="63"/>
  <c r="W90" i="63" s="1"/>
  <c r="BI21" i="70"/>
  <c r="BI21" i="65"/>
  <c r="BI21" i="66"/>
  <c r="BI21" i="63"/>
  <c r="BI21" i="62"/>
  <c r="V110" i="66"/>
  <c r="V121" i="66"/>
  <c r="V122" i="66" s="1"/>
  <c r="V114" i="66"/>
  <c r="W92" i="66" s="1"/>
  <c r="T117" i="63"/>
  <c r="U118" i="63" s="1"/>
  <c r="V106" i="66"/>
  <c r="V107" i="66" s="1"/>
  <c r="V108" i="66" s="1"/>
  <c r="W102" i="66"/>
  <c r="V113" i="65"/>
  <c r="W87" i="65" s="1"/>
  <c r="V93" i="65"/>
  <c r="V115" i="65"/>
  <c r="U170" i="70"/>
  <c r="U110" i="70"/>
  <c r="U121" i="70"/>
  <c r="U122" i="70" s="1"/>
  <c r="U114" i="70"/>
  <c r="S156" i="63"/>
  <c r="S159" i="63" s="1"/>
  <c r="S158" i="63"/>
  <c r="R142" i="63" s="1"/>
  <c r="U157" i="62"/>
  <c r="BI106" i="27"/>
  <c r="BH108" i="27"/>
  <c r="V124" i="62"/>
  <c r="V127" i="62" s="1"/>
  <c r="V128" i="62" s="1"/>
  <c r="V129" i="62" s="1"/>
  <c r="V123" i="48"/>
  <c r="V126" i="48" s="1"/>
  <c r="V127" i="48" s="1"/>
  <c r="U156" i="62"/>
  <c r="U159" i="62" s="1"/>
  <c r="U158" i="62"/>
  <c r="T142" i="62" s="1"/>
  <c r="W101" i="62"/>
  <c r="W100" i="62" s="1"/>
  <c r="X89" i="62"/>
  <c r="Y90" i="62" s="1"/>
  <c r="W88" i="62"/>
  <c r="W125" i="62"/>
  <c r="W105" i="62"/>
  <c r="W170" i="62" s="1"/>
  <c r="W88" i="48"/>
  <c r="W100" i="48"/>
  <c r="W99" i="48" s="1"/>
  <c r="X89" i="48"/>
  <c r="Y90" i="48" s="1"/>
  <c r="BK103" i="27"/>
  <c r="BK108" i="27" s="1"/>
  <c r="W124" i="48"/>
  <c r="W104" i="48"/>
  <c r="W166" i="48" s="1"/>
  <c r="U111" i="70" l="1"/>
  <c r="T128" i="70"/>
  <c r="T129" i="70" s="1"/>
  <c r="V111" i="66"/>
  <c r="V117" i="66" s="1"/>
  <c r="W118" i="66" s="1"/>
  <c r="V124" i="65"/>
  <c r="V127" i="65" s="1"/>
  <c r="U117" i="70"/>
  <c r="V118" i="70" s="1"/>
  <c r="T124" i="63"/>
  <c r="D164" i="63" s="1"/>
  <c r="F164" i="63" s="1"/>
  <c r="G164" i="63" s="1"/>
  <c r="V115" i="66"/>
  <c r="V93" i="66"/>
  <c r="V113" i="66"/>
  <c r="W87" i="66" s="1"/>
  <c r="T155" i="70"/>
  <c r="T157" i="70"/>
  <c r="U155" i="66"/>
  <c r="U157" i="66"/>
  <c r="U115" i="70"/>
  <c r="U113" i="70"/>
  <c r="V87" i="70" s="1"/>
  <c r="V92" i="70"/>
  <c r="V93" i="70" s="1"/>
  <c r="U125" i="63"/>
  <c r="U105" i="63"/>
  <c r="U217" i="63" s="1"/>
  <c r="U156" i="65"/>
  <c r="U159" i="65" s="1"/>
  <c r="U158" i="65"/>
  <c r="T142" i="65" s="1"/>
  <c r="X89" i="65"/>
  <c r="Y90" i="65" s="1"/>
  <c r="W88" i="65"/>
  <c r="W101" i="65"/>
  <c r="W100" i="65" s="1"/>
  <c r="U106" i="63"/>
  <c r="V102" i="63"/>
  <c r="W125" i="65"/>
  <c r="W105" i="65"/>
  <c r="W170" i="65" s="1"/>
  <c r="BI108" i="27"/>
  <c r="V167" i="48"/>
  <c r="V125" i="48"/>
  <c r="V171" i="62"/>
  <c r="V126" i="62"/>
  <c r="W217" i="62"/>
  <c r="W114" i="62"/>
  <c r="X92" i="62" s="1"/>
  <c r="W110" i="62"/>
  <c r="W121" i="62"/>
  <c r="W122" i="62" s="1"/>
  <c r="W106" i="62"/>
  <c r="W107" i="62" s="1"/>
  <c r="W108" i="62" s="1"/>
  <c r="X102" i="62"/>
  <c r="V154" i="62"/>
  <c r="W105" i="48"/>
  <c r="W106" i="48" s="1"/>
  <c r="W107" i="48" s="1"/>
  <c r="X101" i="48"/>
  <c r="W120" i="48"/>
  <c r="W121" i="48" s="1"/>
  <c r="W109" i="48"/>
  <c r="W113" i="48"/>
  <c r="X92" i="48" s="1"/>
  <c r="BL103" i="27"/>
  <c r="BL108" i="27" s="1"/>
  <c r="V128" i="48"/>
  <c r="V150" i="48"/>
  <c r="V151" i="48" s="1"/>
  <c r="V171" i="65" l="1"/>
  <c r="V126" i="65"/>
  <c r="U124" i="70"/>
  <c r="U127" i="70" s="1"/>
  <c r="U107" i="63"/>
  <c r="U108" i="63" s="1"/>
  <c r="U170" i="63"/>
  <c r="U110" i="63"/>
  <c r="U121" i="63"/>
  <c r="U122" i="63" s="1"/>
  <c r="U114" i="63"/>
  <c r="T158" i="70"/>
  <c r="S142" i="70" s="1"/>
  <c r="T156" i="70"/>
  <c r="T159" i="70" s="1"/>
  <c r="B164" i="70" s="1"/>
  <c r="V124" i="66"/>
  <c r="T171" i="63"/>
  <c r="T127" i="63"/>
  <c r="T126" i="63"/>
  <c r="W125" i="66"/>
  <c r="W105" i="66"/>
  <c r="W170" i="66" s="1"/>
  <c r="W217" i="65"/>
  <c r="W110" i="65"/>
  <c r="W121" i="65"/>
  <c r="W122" i="65" s="1"/>
  <c r="W114" i="65"/>
  <c r="X92" i="65" s="1"/>
  <c r="W106" i="65"/>
  <c r="W107" i="65" s="1"/>
  <c r="W108" i="65" s="1"/>
  <c r="X102" i="65"/>
  <c r="V128" i="65"/>
  <c r="V129" i="65" s="1"/>
  <c r="V154" i="65"/>
  <c r="U158" i="66"/>
  <c r="T142" i="66" s="1"/>
  <c r="U156" i="66"/>
  <c r="U159" i="66" s="1"/>
  <c r="X89" i="66"/>
  <c r="Y90" i="66" s="1"/>
  <c r="W88" i="66"/>
  <c r="W101" i="66"/>
  <c r="W100" i="66" s="1"/>
  <c r="U126" i="70"/>
  <c r="V88" i="70"/>
  <c r="W89" i="70"/>
  <c r="X90" i="70" s="1"/>
  <c r="V101" i="70"/>
  <c r="V100" i="70" s="1"/>
  <c r="V125" i="70"/>
  <c r="V105" i="70"/>
  <c r="W111" i="62"/>
  <c r="W117" i="62" s="1"/>
  <c r="X118" i="62" s="1"/>
  <c r="V155" i="62"/>
  <c r="V157" i="62"/>
  <c r="W110" i="48"/>
  <c r="W116" i="48" s="1"/>
  <c r="X117" i="48" s="1"/>
  <c r="W93" i="62"/>
  <c r="W113" i="62"/>
  <c r="X87" i="62" s="1"/>
  <c r="W115" i="62"/>
  <c r="W112" i="48"/>
  <c r="X87" i="48" s="1"/>
  <c r="W93" i="48"/>
  <c r="W114" i="48"/>
  <c r="BM103" i="27"/>
  <c r="BM108" i="27" s="1"/>
  <c r="V154" i="48"/>
  <c r="U138" i="48" s="1"/>
  <c r="V153" i="48"/>
  <c r="V152" i="48"/>
  <c r="V155" i="48" s="1"/>
  <c r="U171" i="70" l="1"/>
  <c r="W111" i="65"/>
  <c r="W117" i="65" s="1"/>
  <c r="X118" i="65" s="1"/>
  <c r="U111" i="63"/>
  <c r="U117" i="63" s="1"/>
  <c r="V118" i="63" s="1"/>
  <c r="V217" i="70"/>
  <c r="V110" i="70"/>
  <c r="V121" i="70"/>
  <c r="V122" i="70" s="1"/>
  <c r="V114" i="70"/>
  <c r="W217" i="66"/>
  <c r="V92" i="63"/>
  <c r="V93" i="63" s="1"/>
  <c r="U115" i="63"/>
  <c r="U113" i="63"/>
  <c r="V87" i="63" s="1"/>
  <c r="V106" i="70"/>
  <c r="V107" i="70" s="1"/>
  <c r="V108" i="70" s="1"/>
  <c r="W102" i="70"/>
  <c r="W106" i="66"/>
  <c r="W107" i="66" s="1"/>
  <c r="W108" i="66" s="1"/>
  <c r="X102" i="66"/>
  <c r="W115" i="65"/>
  <c r="W113" i="65"/>
  <c r="X87" i="65" s="1"/>
  <c r="W93" i="65"/>
  <c r="T128" i="63"/>
  <c r="T129" i="63" s="1"/>
  <c r="T154" i="63"/>
  <c r="V126" i="66"/>
  <c r="V127" i="66"/>
  <c r="V171" i="66"/>
  <c r="V155" i="65"/>
  <c r="V157" i="65"/>
  <c r="W110" i="66"/>
  <c r="W114" i="66"/>
  <c r="X92" i="66" s="1"/>
  <c r="W121" i="66"/>
  <c r="W122" i="66" s="1"/>
  <c r="V170" i="70"/>
  <c r="U128" i="70"/>
  <c r="U129" i="70" s="1"/>
  <c r="U154" i="70"/>
  <c r="W123" i="48"/>
  <c r="W125" i="48" s="1"/>
  <c r="V158" i="62"/>
  <c r="U142" i="62" s="1"/>
  <c r="V156" i="62"/>
  <c r="V159" i="62" s="1"/>
  <c r="Y89" i="62"/>
  <c r="Z90" i="62" s="1"/>
  <c r="X101" i="62"/>
  <c r="X100" i="62" s="1"/>
  <c r="X88" i="62"/>
  <c r="W124" i="62"/>
  <c r="X125" i="62"/>
  <c r="X105" i="62"/>
  <c r="X170" i="62" s="1"/>
  <c r="X100" i="48"/>
  <c r="X99" i="48" s="1"/>
  <c r="X88" i="48"/>
  <c r="Y89" i="48"/>
  <c r="Z90" i="48" s="1"/>
  <c r="BN103" i="27"/>
  <c r="BN108" i="27" s="1"/>
  <c r="X124" i="48"/>
  <c r="X104" i="48"/>
  <c r="X166" i="48" s="1"/>
  <c r="V111" i="70" l="1"/>
  <c r="W124" i="65"/>
  <c r="W127" i="65" s="1"/>
  <c r="U124" i="63"/>
  <c r="U171" i="63" s="1"/>
  <c r="W111" i="66"/>
  <c r="W113" i="66"/>
  <c r="X87" i="66" s="1"/>
  <c r="W93" i="66"/>
  <c r="W115" i="66"/>
  <c r="V117" i="70"/>
  <c r="W118" i="70" s="1"/>
  <c r="V105" i="63"/>
  <c r="V217" i="63" s="1"/>
  <c r="V125" i="63"/>
  <c r="U155" i="70"/>
  <c r="U157" i="70"/>
  <c r="V128" i="66"/>
  <c r="V129" i="66" s="1"/>
  <c r="V154" i="66"/>
  <c r="W89" i="63"/>
  <c r="X90" i="63" s="1"/>
  <c r="V101" i="63"/>
  <c r="V100" i="63" s="1"/>
  <c r="V88" i="63"/>
  <c r="Y89" i="65"/>
  <c r="Z90" i="65" s="1"/>
  <c r="X88" i="65"/>
  <c r="X101" i="65"/>
  <c r="X100" i="65" s="1"/>
  <c r="V113" i="70"/>
  <c r="W87" i="70" s="1"/>
  <c r="W92" i="70"/>
  <c r="W93" i="70" s="1"/>
  <c r="V115" i="70"/>
  <c r="W126" i="65"/>
  <c r="W171" i="65"/>
  <c r="V158" i="65"/>
  <c r="U142" i="65" s="1"/>
  <c r="V156" i="65"/>
  <c r="V159" i="65" s="1"/>
  <c r="T157" i="63"/>
  <c r="T155" i="63"/>
  <c r="X125" i="65"/>
  <c r="X105" i="65"/>
  <c r="X217" i="65" s="1"/>
  <c r="W167" i="48"/>
  <c r="W126" i="48"/>
  <c r="W127" i="48" s="1"/>
  <c r="W128" i="48" s="1"/>
  <c r="X121" i="62"/>
  <c r="X122" i="62" s="1"/>
  <c r="X114" i="62"/>
  <c r="Y92" i="62" s="1"/>
  <c r="X110" i="62"/>
  <c r="X106" i="62"/>
  <c r="X107" i="62" s="1"/>
  <c r="X108" i="62" s="1"/>
  <c r="Y102" i="62"/>
  <c r="X217" i="62"/>
  <c r="W126" i="62"/>
  <c r="W127" i="62"/>
  <c r="W128" i="62" s="1"/>
  <c r="W129" i="62" s="1"/>
  <c r="W171" i="62"/>
  <c r="BO103" i="27"/>
  <c r="BO108" i="27" s="1"/>
  <c r="X120" i="48"/>
  <c r="X121" i="48" s="1"/>
  <c r="X109" i="48"/>
  <c r="X113" i="48"/>
  <c r="Y92" i="48" s="1"/>
  <c r="X105" i="48"/>
  <c r="X106" i="48" s="1"/>
  <c r="X107" i="48" s="1"/>
  <c r="Y101" i="48"/>
  <c r="U126" i="63" l="1"/>
  <c r="V124" i="70"/>
  <c r="V126" i="70" s="1"/>
  <c r="W117" i="66"/>
  <c r="X118" i="66" s="1"/>
  <c r="X125" i="66" s="1"/>
  <c r="U127" i="63"/>
  <c r="U154" i="63" s="1"/>
  <c r="V170" i="63"/>
  <c r="X170" i="65"/>
  <c r="W154" i="65"/>
  <c r="W128" i="65"/>
  <c r="W129" i="65" s="1"/>
  <c r="X89" i="70"/>
  <c r="Y90" i="70" s="1"/>
  <c r="W88" i="70"/>
  <c r="W101" i="70"/>
  <c r="W100" i="70" s="1"/>
  <c r="V155" i="66"/>
  <c r="V157" i="66"/>
  <c r="V127" i="70"/>
  <c r="W125" i="70"/>
  <c r="W105" i="70"/>
  <c r="X88" i="66"/>
  <c r="X101" i="66"/>
  <c r="X100" i="66" s="1"/>
  <c r="Y89" i="66"/>
  <c r="Z90" i="66" s="1"/>
  <c r="X121" i="65"/>
  <c r="X122" i="65" s="1"/>
  <c r="X114" i="65"/>
  <c r="Y92" i="65" s="1"/>
  <c r="X110" i="65"/>
  <c r="X106" i="65"/>
  <c r="X107" i="65" s="1"/>
  <c r="X108" i="65" s="1"/>
  <c r="Y102" i="65"/>
  <c r="V106" i="63"/>
  <c r="V107" i="63" s="1"/>
  <c r="V108" i="63" s="1"/>
  <c r="W102" i="63"/>
  <c r="T156" i="63"/>
  <c r="T159" i="63" s="1"/>
  <c r="B164" i="63" s="1"/>
  <c r="T158" i="63"/>
  <c r="S142" i="63" s="1"/>
  <c r="U158" i="70"/>
  <c r="T142" i="70" s="1"/>
  <c r="U156" i="70"/>
  <c r="U159" i="70" s="1"/>
  <c r="V110" i="63"/>
  <c r="V114" i="63"/>
  <c r="V121" i="63"/>
  <c r="V122" i="63" s="1"/>
  <c r="W150" i="48"/>
  <c r="W151" i="48" s="1"/>
  <c r="W152" i="48" s="1"/>
  <c r="W155" i="48" s="1"/>
  <c r="X111" i="62"/>
  <c r="X117" i="62" s="1"/>
  <c r="X124" i="62" s="1"/>
  <c r="X110" i="48"/>
  <c r="X116" i="48" s="1"/>
  <c r="Y117" i="48" s="1"/>
  <c r="X115" i="62"/>
  <c r="X113" i="62"/>
  <c r="Y87" i="62" s="1"/>
  <c r="X93" i="62"/>
  <c r="W154" i="62"/>
  <c r="BP103" i="27"/>
  <c r="BP108" i="27" s="1"/>
  <c r="X93" i="48"/>
  <c r="X114" i="48"/>
  <c r="X112" i="48"/>
  <c r="Y87" i="48" s="1"/>
  <c r="V171" i="70" l="1"/>
  <c r="X111" i="65"/>
  <c r="X105" i="66"/>
  <c r="X170" i="66" s="1"/>
  <c r="W124" i="66"/>
  <c r="U128" i="63"/>
  <c r="U129" i="63" s="1"/>
  <c r="X117" i="65"/>
  <c r="Y118" i="65" s="1"/>
  <c r="W170" i="70"/>
  <c r="W110" i="70"/>
  <c r="W121" i="70"/>
  <c r="W122" i="70" s="1"/>
  <c r="W114" i="70"/>
  <c r="U155" i="63"/>
  <c r="U157" i="63"/>
  <c r="W217" i="70"/>
  <c r="V158" i="66"/>
  <c r="U142" i="66" s="1"/>
  <c r="V156" i="66"/>
  <c r="V159" i="66" s="1"/>
  <c r="V111" i="63"/>
  <c r="X115" i="65"/>
  <c r="X113" i="65"/>
  <c r="Y87" i="65" s="1"/>
  <c r="X93" i="65"/>
  <c r="X106" i="66"/>
  <c r="Y102" i="66"/>
  <c r="W106" i="70"/>
  <c r="W107" i="70" s="1"/>
  <c r="W108" i="70" s="1"/>
  <c r="X102" i="70"/>
  <c r="W157" i="65"/>
  <c r="W155" i="65"/>
  <c r="W92" i="63"/>
  <c r="W93" i="63" s="1"/>
  <c r="V115" i="63"/>
  <c r="V113" i="63"/>
  <c r="W87" i="63" s="1"/>
  <c r="V128" i="70"/>
  <c r="V129" i="70" s="1"/>
  <c r="V154" i="70"/>
  <c r="W154" i="48"/>
  <c r="V138" i="48" s="1"/>
  <c r="W153" i="48"/>
  <c r="Y118" i="62"/>
  <c r="Y125" i="62" s="1"/>
  <c r="W157" i="62"/>
  <c r="W155" i="62"/>
  <c r="Y88" i="62"/>
  <c r="Y101" i="62"/>
  <c r="Y100" i="62" s="1"/>
  <c r="Z89" i="62"/>
  <c r="AA90" i="62" s="1"/>
  <c r="X126" i="62"/>
  <c r="X127" i="62"/>
  <c r="X128" i="62" s="1"/>
  <c r="X129" i="62" s="1"/>
  <c r="X171" i="62"/>
  <c r="X123" i="48"/>
  <c r="X125" i="48" s="1"/>
  <c r="BQ103" i="27"/>
  <c r="BQ108" i="27" s="1"/>
  <c r="Y100" i="48"/>
  <c r="Y99" i="48" s="1"/>
  <c r="Y88" i="48"/>
  <c r="Z89" i="48"/>
  <c r="AA90" i="48" s="1"/>
  <c r="Y124" i="48"/>
  <c r="Y104" i="48"/>
  <c r="Y166" i="48" s="1"/>
  <c r="X107" i="66" l="1"/>
  <c r="X108" i="66" s="1"/>
  <c r="W111" i="70"/>
  <c r="X110" i="66"/>
  <c r="X111" i="66" s="1"/>
  <c r="X117" i="66" s="1"/>
  <c r="Y118" i="66" s="1"/>
  <c r="X121" i="66"/>
  <c r="X122" i="66" s="1"/>
  <c r="X114" i="66"/>
  <c r="X217" i="66"/>
  <c r="W126" i="66"/>
  <c r="W171" i="66"/>
  <c r="W127" i="66"/>
  <c r="V155" i="70"/>
  <c r="V157" i="70"/>
  <c r="W117" i="70"/>
  <c r="X118" i="70" s="1"/>
  <c r="V117" i="63"/>
  <c r="W118" i="63" s="1"/>
  <c r="U156" i="63"/>
  <c r="U159" i="63" s="1"/>
  <c r="U158" i="63"/>
  <c r="T142" i="63" s="1"/>
  <c r="X89" i="63"/>
  <c r="Y90" i="63" s="1"/>
  <c r="W88" i="63"/>
  <c r="W101" i="63"/>
  <c r="W100" i="63" s="1"/>
  <c r="W158" i="65"/>
  <c r="V142" i="65" s="1"/>
  <c r="W156" i="65"/>
  <c r="W159" i="65" s="1"/>
  <c r="W115" i="70"/>
  <c r="W113" i="70"/>
  <c r="X87" i="70" s="1"/>
  <c r="X92" i="70"/>
  <c r="X93" i="70" s="1"/>
  <c r="X124" i="65"/>
  <c r="Y101" i="65"/>
  <c r="Y100" i="65" s="1"/>
  <c r="Y88" i="65"/>
  <c r="Z89" i="65"/>
  <c r="AA90" i="65" s="1"/>
  <c r="Y125" i="65"/>
  <c r="Y105" i="65"/>
  <c r="X167" i="48"/>
  <c r="X126" i="48"/>
  <c r="X127" i="48" s="1"/>
  <c r="X128" i="48" s="1"/>
  <c r="Y105" i="62"/>
  <c r="Y217" i="62" s="1"/>
  <c r="W156" i="62"/>
  <c r="W159" i="62" s="1"/>
  <c r="W158" i="62"/>
  <c r="V142" i="62" s="1"/>
  <c r="Y106" i="62"/>
  <c r="Z102" i="62"/>
  <c r="X154" i="62"/>
  <c r="Y105" i="48"/>
  <c r="Y106" i="48" s="1"/>
  <c r="Y107" i="48" s="1"/>
  <c r="Z101" i="48"/>
  <c r="BR103" i="27"/>
  <c r="BR108" i="27" s="1"/>
  <c r="Y109" i="48"/>
  <c r="Y120" i="48"/>
  <c r="Y121" i="48" s="1"/>
  <c r="Y113" i="48"/>
  <c r="Z92" i="48" s="1"/>
  <c r="X115" i="66" l="1"/>
  <c r="Y92" i="66"/>
  <c r="X113" i="66"/>
  <c r="Y87" i="66" s="1"/>
  <c r="Y101" i="66" s="1"/>
  <c r="Y100" i="66" s="1"/>
  <c r="X93" i="66"/>
  <c r="W128" i="66"/>
  <c r="W129" i="66" s="1"/>
  <c r="W154" i="66"/>
  <c r="X124" i="66"/>
  <c r="X126" i="66" s="1"/>
  <c r="V124" i="63"/>
  <c r="V127" i="63" s="1"/>
  <c r="Y110" i="65"/>
  <c r="Y114" i="65"/>
  <c r="Z92" i="65" s="1"/>
  <c r="Y121" i="65"/>
  <c r="Y122" i="65" s="1"/>
  <c r="W106" i="63"/>
  <c r="X102" i="63"/>
  <c r="X125" i="70"/>
  <c r="X105" i="70"/>
  <c r="X126" i="65"/>
  <c r="X127" i="65"/>
  <c r="X171" i="65"/>
  <c r="Y170" i="65"/>
  <c r="W125" i="63"/>
  <c r="W105" i="63"/>
  <c r="W217" i="63" s="1"/>
  <c r="V156" i="70"/>
  <c r="V159" i="70" s="1"/>
  <c r="V158" i="70"/>
  <c r="U142" i="70" s="1"/>
  <c r="Y217" i="65"/>
  <c r="Y106" i="65"/>
  <c r="Y107" i="65" s="1"/>
  <c r="Y108" i="65" s="1"/>
  <c r="Y111" i="65" s="1"/>
  <c r="Z102" i="65"/>
  <c r="X88" i="70"/>
  <c r="Y89" i="70"/>
  <c r="Z90" i="70" s="1"/>
  <c r="X101" i="70"/>
  <c r="X100" i="70" s="1"/>
  <c r="W124" i="70"/>
  <c r="Y125" i="66"/>
  <c r="Y105" i="66"/>
  <c r="X150" i="48"/>
  <c r="X151" i="48" s="1"/>
  <c r="X153" i="48" s="1"/>
  <c r="Y110" i="48"/>
  <c r="Y116" i="48" s="1"/>
  <c r="Z117" i="48" s="1"/>
  <c r="Y121" i="62"/>
  <c r="Y122" i="62" s="1"/>
  <c r="Y114" i="62"/>
  <c r="Y170" i="62"/>
  <c r="Y110" i="62"/>
  <c r="Y107" i="62"/>
  <c r="Y108" i="62" s="1"/>
  <c r="X157" i="62"/>
  <c r="X155" i="62"/>
  <c r="Y93" i="48"/>
  <c r="Y114" i="48"/>
  <c r="Y112" i="48"/>
  <c r="Z87" i="48" s="1"/>
  <c r="BS103" i="27"/>
  <c r="BS108" i="27" s="1"/>
  <c r="Y88" i="66" l="1"/>
  <c r="Z89" i="66"/>
  <c r="AA90" i="66" s="1"/>
  <c r="X127" i="66"/>
  <c r="X154" i="66" s="1"/>
  <c r="X171" i="66"/>
  <c r="W157" i="66"/>
  <c r="W155" i="66"/>
  <c r="V171" i="63"/>
  <c r="V126" i="63"/>
  <c r="Y117" i="65"/>
  <c r="Z118" i="65" s="1"/>
  <c r="Y217" i="66"/>
  <c r="Y110" i="66"/>
  <c r="Y121" i="66"/>
  <c r="Y122" i="66" s="1"/>
  <c r="Y114" i="66"/>
  <c r="Z92" i="66" s="1"/>
  <c r="W127" i="70"/>
  <c r="W126" i="70"/>
  <c r="W171" i="70"/>
  <c r="X128" i="65"/>
  <c r="X129" i="65" s="1"/>
  <c r="X154" i="65"/>
  <c r="X217" i="70"/>
  <c r="X110" i="70"/>
  <c r="X121" i="70"/>
  <c r="X122" i="70" s="1"/>
  <c r="X114" i="70"/>
  <c r="W107" i="63"/>
  <c r="W108" i="63" s="1"/>
  <c r="Y115" i="65"/>
  <c r="Y113" i="65"/>
  <c r="Z87" i="65" s="1"/>
  <c r="Y93" i="65"/>
  <c r="X106" i="70"/>
  <c r="X107" i="70" s="1"/>
  <c r="X108" i="70" s="1"/>
  <c r="Y102" i="70"/>
  <c r="Y106" i="66"/>
  <c r="Y107" i="66" s="1"/>
  <c r="Y108" i="66" s="1"/>
  <c r="Z102" i="66"/>
  <c r="X128" i="66"/>
  <c r="X129" i="66" s="1"/>
  <c r="W170" i="63"/>
  <c r="W121" i="63"/>
  <c r="W122" i="63" s="1"/>
  <c r="W114" i="63"/>
  <c r="W110" i="63"/>
  <c r="X170" i="70"/>
  <c r="Y170" i="66"/>
  <c r="V128" i="63"/>
  <c r="V129" i="63" s="1"/>
  <c r="V154" i="63"/>
  <c r="X152" i="48"/>
  <c r="X155" i="48" s="1"/>
  <c r="X154" i="48"/>
  <c r="W138" i="48" s="1"/>
  <c r="Y115" i="62"/>
  <c r="Z92" i="62"/>
  <c r="Y93" i="62"/>
  <c r="Y113" i="62"/>
  <c r="Z87" i="62" s="1"/>
  <c r="AA89" i="62" s="1"/>
  <c r="AB90" i="62" s="1"/>
  <c r="Y111" i="62"/>
  <c r="Y117" i="62" s="1"/>
  <c r="Z118" i="62" s="1"/>
  <c r="Z105" i="62" s="1"/>
  <c r="Z217" i="62" s="1"/>
  <c r="X158" i="62"/>
  <c r="W142" i="62" s="1"/>
  <c r="X156" i="62"/>
  <c r="X159" i="62" s="1"/>
  <c r="BT103" i="27"/>
  <c r="BT108" i="27" s="1"/>
  <c r="Z124" i="48"/>
  <c r="Z104" i="48"/>
  <c r="Z166" i="48" s="1"/>
  <c r="Z88" i="48"/>
  <c r="Z100" i="48"/>
  <c r="Z99" i="48" s="1"/>
  <c r="AA89" i="48"/>
  <c r="AB90" i="48" s="1"/>
  <c r="Y123" i="48"/>
  <c r="Y111" i="66" l="1"/>
  <c r="W158" i="66"/>
  <c r="V142" i="66" s="1"/>
  <c r="W156" i="66"/>
  <c r="W159" i="66" s="1"/>
  <c r="X111" i="70"/>
  <c r="X117" i="70" s="1"/>
  <c r="Y118" i="70" s="1"/>
  <c r="Y124" i="65"/>
  <c r="Y171" i="65" s="1"/>
  <c r="Y117" i="66"/>
  <c r="Z118" i="66" s="1"/>
  <c r="V157" i="63"/>
  <c r="V155" i="63"/>
  <c r="X113" i="70"/>
  <c r="Y87" i="70" s="1"/>
  <c r="X115" i="70"/>
  <c r="Y92" i="70"/>
  <c r="Y93" i="70" s="1"/>
  <c r="X157" i="65"/>
  <c r="X155" i="65"/>
  <c r="X155" i="66"/>
  <c r="X157" i="66"/>
  <c r="Z88" i="65"/>
  <c r="Z101" i="65"/>
  <c r="Z100" i="65" s="1"/>
  <c r="AA89" i="65"/>
  <c r="AB90" i="65" s="1"/>
  <c r="W128" i="70"/>
  <c r="W129" i="70" s="1"/>
  <c r="W154" i="70"/>
  <c r="X92" i="63"/>
  <c r="X93" i="63" s="1"/>
  <c r="W113" i="63"/>
  <c r="X87" i="63" s="1"/>
  <c r="W115" i="63"/>
  <c r="Y126" i="65"/>
  <c r="W111" i="63"/>
  <c r="Y115" i="66"/>
  <c r="Y113" i="66"/>
  <c r="Z87" i="66" s="1"/>
  <c r="Y93" i="66"/>
  <c r="Z125" i="65"/>
  <c r="Z105" i="65"/>
  <c r="Z217" i="65" s="1"/>
  <c r="Z88" i="62"/>
  <c r="Z125" i="62"/>
  <c r="Z101" i="62"/>
  <c r="Z100" i="62" s="1"/>
  <c r="Z106" i="62" s="1"/>
  <c r="Z107" i="62" s="1"/>
  <c r="Z108" i="62" s="1"/>
  <c r="Y124" i="62"/>
  <c r="Y171" i="62" s="1"/>
  <c r="Z170" i="62"/>
  <c r="Z114" i="62"/>
  <c r="AA92" i="62" s="1"/>
  <c r="Z110" i="62"/>
  <c r="Z121" i="62"/>
  <c r="Z122" i="62" s="1"/>
  <c r="Y125" i="48"/>
  <c r="Y126" i="48"/>
  <c r="Y127" i="48" s="1"/>
  <c r="Y167" i="48"/>
  <c r="Z109" i="48"/>
  <c r="Z120" i="48"/>
  <c r="Z121" i="48" s="1"/>
  <c r="Z113" i="48"/>
  <c r="AA92" i="48" s="1"/>
  <c r="BU103" i="27"/>
  <c r="BU108" i="27" s="1"/>
  <c r="Z105" i="48"/>
  <c r="Z106" i="48" s="1"/>
  <c r="Z107" i="48" s="1"/>
  <c r="AA101" i="48"/>
  <c r="Y127" i="65" l="1"/>
  <c r="Y124" i="66"/>
  <c r="Z170" i="65"/>
  <c r="X124" i="70"/>
  <c r="X127" i="70" s="1"/>
  <c r="Z121" i="65"/>
  <c r="Z122" i="65" s="1"/>
  <c r="Z110" i="65"/>
  <c r="Z114" i="65"/>
  <c r="AA92" i="65" s="1"/>
  <c r="W117" i="63"/>
  <c r="X118" i="63" s="1"/>
  <c r="V156" i="63"/>
  <c r="V159" i="63" s="1"/>
  <c r="V158" i="63"/>
  <c r="U142" i="63" s="1"/>
  <c r="X88" i="63"/>
  <c r="Y89" i="63"/>
  <c r="Z90" i="63" s="1"/>
  <c r="X101" i="63"/>
  <c r="X100" i="63" s="1"/>
  <c r="Z88" i="66"/>
  <c r="Z101" i="66"/>
  <c r="Z100" i="66" s="1"/>
  <c r="AA89" i="66"/>
  <c r="AB90" i="66" s="1"/>
  <c r="Y125" i="70"/>
  <c r="Y105" i="70"/>
  <c r="Y154" i="65"/>
  <c r="Y128" i="65"/>
  <c r="Y129" i="65" s="1"/>
  <c r="X158" i="66"/>
  <c r="W142" i="66" s="1"/>
  <c r="X156" i="66"/>
  <c r="X159" i="66" s="1"/>
  <c r="Y126" i="66"/>
  <c r="Y127" i="66"/>
  <c r="Y171" i="66"/>
  <c r="W155" i="70"/>
  <c r="W157" i="70"/>
  <c r="Z106" i="65"/>
  <c r="Z107" i="65" s="1"/>
  <c r="Z108" i="65" s="1"/>
  <c r="AA102" i="65"/>
  <c r="X156" i="65"/>
  <c r="X159" i="65" s="1"/>
  <c r="X158" i="65"/>
  <c r="W142" i="65" s="1"/>
  <c r="Z89" i="70"/>
  <c r="AA90" i="70" s="1"/>
  <c r="Y88" i="70"/>
  <c r="Y101" i="70"/>
  <c r="Y100" i="70" s="1"/>
  <c r="Z125" i="66"/>
  <c r="Z105" i="66"/>
  <c r="Z170" i="66" s="1"/>
  <c r="AA102" i="62"/>
  <c r="Y127" i="62"/>
  <c r="Y128" i="62" s="1"/>
  <c r="Y129" i="62" s="1"/>
  <c r="Y126" i="62"/>
  <c r="Z111" i="62"/>
  <c r="Z117" i="62" s="1"/>
  <c r="AA118" i="62" s="1"/>
  <c r="Z110" i="48"/>
  <c r="Z116" i="48" s="1"/>
  <c r="AA117" i="48" s="1"/>
  <c r="Z115" i="62"/>
  <c r="Z93" i="62"/>
  <c r="Z113" i="62"/>
  <c r="AA87" i="62" s="1"/>
  <c r="Z112" i="48"/>
  <c r="AA87" i="48" s="1"/>
  <c r="Z114" i="48"/>
  <c r="Z93" i="48"/>
  <c r="BV103" i="27"/>
  <c r="BV108" i="27" s="1"/>
  <c r="Y150" i="48"/>
  <c r="Y151" i="48" s="1"/>
  <c r="Y128" i="48"/>
  <c r="Z217" i="66" l="1"/>
  <c r="X171" i="70"/>
  <c r="X126" i="70"/>
  <c r="Z111" i="65"/>
  <c r="Z117" i="65" s="1"/>
  <c r="AA118" i="65" s="1"/>
  <c r="Y106" i="70"/>
  <c r="Y107" i="70" s="1"/>
  <c r="Y108" i="70" s="1"/>
  <c r="Z102" i="70"/>
  <c r="Y157" i="65"/>
  <c r="Y155" i="65"/>
  <c r="X106" i="63"/>
  <c r="Y102" i="63"/>
  <c r="W124" i="63"/>
  <c r="W158" i="70"/>
  <c r="V142" i="70" s="1"/>
  <c r="W156" i="70"/>
  <c r="W159" i="70" s="1"/>
  <c r="Y170" i="70"/>
  <c r="Y110" i="70"/>
  <c r="Y121" i="70"/>
  <c r="Y122" i="70" s="1"/>
  <c r="Y114" i="70"/>
  <c r="X128" i="70"/>
  <c r="X129" i="70" s="1"/>
  <c r="X154" i="70"/>
  <c r="X125" i="63"/>
  <c r="X105" i="63"/>
  <c r="X217" i="63" s="1"/>
  <c r="Z93" i="65"/>
  <c r="Z113" i="65"/>
  <c r="AA87" i="65" s="1"/>
  <c r="Z115" i="65"/>
  <c r="Y217" i="70"/>
  <c r="Z106" i="66"/>
  <c r="Z107" i="66" s="1"/>
  <c r="Z108" i="66" s="1"/>
  <c r="AA102" i="66"/>
  <c r="Z121" i="66"/>
  <c r="Z122" i="66" s="1"/>
  <c r="Z114" i="66"/>
  <c r="AA92" i="66" s="1"/>
  <c r="Z110" i="66"/>
  <c r="Y128" i="66"/>
  <c r="Y129" i="66" s="1"/>
  <c r="Y154" i="66"/>
  <c r="Y154" i="62"/>
  <c r="Z124" i="62"/>
  <c r="Z126" i="62" s="1"/>
  <c r="AB89" i="62"/>
  <c r="AC90" i="62" s="1"/>
  <c r="AA88" i="62"/>
  <c r="AA101" i="62"/>
  <c r="AA100" i="62" s="1"/>
  <c r="Z123" i="48"/>
  <c r="Z125" i="48" s="1"/>
  <c r="AA125" i="62"/>
  <c r="AA105" i="62"/>
  <c r="Y154" i="48"/>
  <c r="X138" i="48" s="1"/>
  <c r="Y153" i="48"/>
  <c r="Y152" i="48"/>
  <c r="Y155" i="48" s="1"/>
  <c r="BW103" i="27"/>
  <c r="BW108" i="27" s="1"/>
  <c r="AA100" i="48"/>
  <c r="AA99" i="48" s="1"/>
  <c r="AA88" i="48"/>
  <c r="AB89" i="48"/>
  <c r="AC90" i="48" s="1"/>
  <c r="AA124" i="48"/>
  <c r="AA104" i="48"/>
  <c r="Z124" i="65" l="1"/>
  <c r="X107" i="63"/>
  <c r="X108" i="63" s="1"/>
  <c r="Z111" i="66"/>
  <c r="Z117" i="66" s="1"/>
  <c r="AA118" i="66" s="1"/>
  <c r="AB89" i="65"/>
  <c r="AC90" i="65" s="1"/>
  <c r="AA88" i="65"/>
  <c r="AA101" i="65"/>
  <c r="AA100" i="65" s="1"/>
  <c r="Z115" i="66"/>
  <c r="Z93" i="66"/>
  <c r="Z113" i="66"/>
  <c r="AA87" i="66" s="1"/>
  <c r="X155" i="70"/>
  <c r="X157" i="70"/>
  <c r="Y111" i="70"/>
  <c r="Y156" i="65"/>
  <c r="Y159" i="65" s="1"/>
  <c r="Y158" i="65"/>
  <c r="X142" i="65" s="1"/>
  <c r="Z127" i="65"/>
  <c r="Z126" i="65"/>
  <c r="Z171" i="65"/>
  <c r="Y155" i="66"/>
  <c r="Y157" i="66"/>
  <c r="X170" i="63"/>
  <c r="X114" i="63"/>
  <c r="X110" i="63"/>
  <c r="X121" i="63"/>
  <c r="X122" i="63" s="1"/>
  <c r="Y115" i="70"/>
  <c r="Y113" i="70"/>
  <c r="Z87" i="70" s="1"/>
  <c r="Z92" i="70"/>
  <c r="Z93" i="70" s="1"/>
  <c r="W127" i="63"/>
  <c r="W126" i="63"/>
  <c r="W171" i="63"/>
  <c r="AA125" i="65"/>
  <c r="AA105" i="65"/>
  <c r="AA170" i="65" s="1"/>
  <c r="Z167" i="48"/>
  <c r="Y155" i="62"/>
  <c r="Y157" i="62"/>
  <c r="Z171" i="62"/>
  <c r="Z127" i="62"/>
  <c r="AA114" i="62"/>
  <c r="AB92" i="62" s="1"/>
  <c r="AA110" i="62"/>
  <c r="AA121" i="62"/>
  <c r="AA122" i="62" s="1"/>
  <c r="AA217" i="62"/>
  <c r="AA106" i="62"/>
  <c r="AA107" i="62" s="1"/>
  <c r="AA108" i="62" s="1"/>
  <c r="AB102" i="62"/>
  <c r="Z126" i="48"/>
  <c r="AA170" i="62"/>
  <c r="AA109" i="48"/>
  <c r="AA120" i="48"/>
  <c r="AA121" i="48" s="1"/>
  <c r="AA113" i="48"/>
  <c r="AB92" i="48" s="1"/>
  <c r="AA105" i="48"/>
  <c r="AA106" i="48" s="1"/>
  <c r="AA107" i="48" s="1"/>
  <c r="AB101" i="48"/>
  <c r="AA166" i="48"/>
  <c r="BX103" i="27"/>
  <c r="BX108" i="27" s="1"/>
  <c r="X111" i="63" l="1"/>
  <c r="X117" i="63" s="1"/>
  <c r="Y118" i="63" s="1"/>
  <c r="Z124" i="66"/>
  <c r="Z127" i="66" s="1"/>
  <c r="W128" i="63"/>
  <c r="W129" i="63" s="1"/>
  <c r="W154" i="63"/>
  <c r="Y117" i="70"/>
  <c r="Z118" i="70" s="1"/>
  <c r="AA88" i="66"/>
  <c r="AA101" i="66"/>
  <c r="AA100" i="66" s="1"/>
  <c r="AB89" i="66"/>
  <c r="AC90" i="66" s="1"/>
  <c r="AA121" i="65"/>
  <c r="AA122" i="65" s="1"/>
  <c r="AA114" i="65"/>
  <c r="AB92" i="65" s="1"/>
  <c r="AA110" i="65"/>
  <c r="Z128" i="65"/>
  <c r="Z129" i="65" s="1"/>
  <c r="Z154" i="65"/>
  <c r="Z88" i="70"/>
  <c r="AA89" i="70"/>
  <c r="AB90" i="70" s="1"/>
  <c r="Z101" i="70"/>
  <c r="Z100" i="70" s="1"/>
  <c r="X113" i="63"/>
  <c r="Y87" i="63" s="1"/>
  <c r="X115" i="63"/>
  <c r="Y92" i="63"/>
  <c r="Y93" i="63" s="1"/>
  <c r="Y156" i="66"/>
  <c r="Y159" i="66" s="1"/>
  <c r="Y158" i="66"/>
  <c r="X142" i="66" s="1"/>
  <c r="Z126" i="66"/>
  <c r="AA217" i="65"/>
  <c r="X158" i="70"/>
  <c r="W142" i="70" s="1"/>
  <c r="X156" i="70"/>
  <c r="X159" i="70" s="1"/>
  <c r="AA106" i="65"/>
  <c r="AA107" i="65" s="1"/>
  <c r="AA108" i="65" s="1"/>
  <c r="AB102" i="65"/>
  <c r="AA125" i="66"/>
  <c r="AA105" i="66"/>
  <c r="Z154" i="62"/>
  <c r="Z157" i="62" s="1"/>
  <c r="Z128" i="62"/>
  <c r="Z129" i="62" s="1"/>
  <c r="Z150" i="48"/>
  <c r="Z151" i="48" s="1"/>
  <c r="Z154" i="48" s="1"/>
  <c r="Y138" i="48" s="1"/>
  <c r="Z127" i="48"/>
  <c r="Z128" i="48" s="1"/>
  <c r="AA110" i="48"/>
  <c r="AA116" i="48" s="1"/>
  <c r="AB117" i="48" s="1"/>
  <c r="Y158" i="62"/>
  <c r="X142" i="62" s="1"/>
  <c r="Y156" i="62"/>
  <c r="Y159" i="62" s="1"/>
  <c r="AA111" i="62"/>
  <c r="AA117" i="62" s="1"/>
  <c r="AB118" i="62" s="1"/>
  <c r="AA93" i="62"/>
  <c r="AA113" i="62"/>
  <c r="AB87" i="62" s="1"/>
  <c r="AA115" i="62"/>
  <c r="BY103" i="27"/>
  <c r="BY108" i="27" s="1"/>
  <c r="AA114" i="48"/>
  <c r="AA93" i="48"/>
  <c r="AA112" i="48"/>
  <c r="AB87" i="48" s="1"/>
  <c r="AA111" i="65" l="1"/>
  <c r="Z171" i="66"/>
  <c r="X124" i="63"/>
  <c r="AA117" i="65"/>
  <c r="AB118" i="65" s="1"/>
  <c r="AA110" i="66"/>
  <c r="AA121" i="66"/>
  <c r="AA122" i="66" s="1"/>
  <c r="AA114" i="66"/>
  <c r="AB92" i="66" s="1"/>
  <c r="AA106" i="66"/>
  <c r="AA107" i="66" s="1"/>
  <c r="AA108" i="66" s="1"/>
  <c r="AB102" i="66"/>
  <c r="W155" i="63"/>
  <c r="W157" i="63"/>
  <c r="Z128" i="66"/>
  <c r="Z129" i="66" s="1"/>
  <c r="Z154" i="66"/>
  <c r="AA217" i="66"/>
  <c r="Z89" i="63"/>
  <c r="AA90" i="63" s="1"/>
  <c r="Y88" i="63"/>
  <c r="Y101" i="63"/>
  <c r="Y100" i="63" s="1"/>
  <c r="Z155" i="65"/>
  <c r="Z157" i="65"/>
  <c r="Y124" i="70"/>
  <c r="X126" i="63"/>
  <c r="X127" i="63"/>
  <c r="X171" i="63"/>
  <c r="AA170" i="66"/>
  <c r="Z106" i="70"/>
  <c r="AA102" i="70"/>
  <c r="AA113" i="65"/>
  <c r="AB87" i="65" s="1"/>
  <c r="AA93" i="65"/>
  <c r="AA115" i="65"/>
  <c r="Z125" i="70"/>
  <c r="Z105" i="70"/>
  <c r="Y125" i="63"/>
  <c r="Y105" i="63"/>
  <c r="Y217" i="63" s="1"/>
  <c r="Z155" i="62"/>
  <c r="Z156" i="62" s="1"/>
  <c r="Z159" i="62" s="1"/>
  <c r="Z153" i="48"/>
  <c r="Z152" i="48"/>
  <c r="Z155" i="48" s="1"/>
  <c r="AA124" i="62"/>
  <c r="AA127" i="62" s="1"/>
  <c r="AA128" i="62" s="1"/>
  <c r="AA129" i="62" s="1"/>
  <c r="AC89" i="62"/>
  <c r="AD90" i="62" s="1"/>
  <c r="AB88" i="62"/>
  <c r="AB101" i="62"/>
  <c r="AB100" i="62" s="1"/>
  <c r="AA123" i="48"/>
  <c r="AA125" i="48" s="1"/>
  <c r="AB125" i="62"/>
  <c r="AB105" i="62"/>
  <c r="AB217" i="62" s="1"/>
  <c r="AB100" i="48"/>
  <c r="AB99" i="48" s="1"/>
  <c r="AB88" i="48"/>
  <c r="AC89" i="48"/>
  <c r="AD90" i="48" s="1"/>
  <c r="BZ103" i="27"/>
  <c r="BZ108" i="27" s="1"/>
  <c r="AB124" i="48"/>
  <c r="AB104" i="48"/>
  <c r="AB166" i="48" s="1"/>
  <c r="AA111" i="66" l="1"/>
  <c r="AA117" i="66" s="1"/>
  <c r="AB118" i="66" s="1"/>
  <c r="AA124" i="65"/>
  <c r="AA127" i="65" s="1"/>
  <c r="Y170" i="63"/>
  <c r="Z217" i="70"/>
  <c r="Z110" i="70"/>
  <c r="Z121" i="70"/>
  <c r="Z122" i="70" s="1"/>
  <c r="Z114" i="70"/>
  <c r="Y106" i="63"/>
  <c r="Y107" i="63" s="1"/>
  <c r="Y108" i="63" s="1"/>
  <c r="Z102" i="63"/>
  <c r="Z155" i="66"/>
  <c r="Z157" i="66"/>
  <c r="W158" i="63"/>
  <c r="V142" i="63" s="1"/>
  <c r="W156" i="63"/>
  <c r="W159" i="63" s="1"/>
  <c r="Z170" i="70"/>
  <c r="AB101" i="65"/>
  <c r="AB100" i="65" s="1"/>
  <c r="AC89" i="65"/>
  <c r="AD90" i="65" s="1"/>
  <c r="AB88" i="65"/>
  <c r="Y127" i="70"/>
  <c r="Y126" i="70"/>
  <c r="Y171" i="70"/>
  <c r="Y110" i="63"/>
  <c r="Y121" i="63"/>
  <c r="Y122" i="63" s="1"/>
  <c r="Y114" i="63"/>
  <c r="AA126" i="65"/>
  <c r="AA171" i="65"/>
  <c r="Z107" i="70"/>
  <c r="Z108" i="70" s="1"/>
  <c r="X128" i="63"/>
  <c r="X129" i="63" s="1"/>
  <c r="X154" i="63"/>
  <c r="Z158" i="65"/>
  <c r="Y142" i="65" s="1"/>
  <c r="Z156" i="65"/>
  <c r="Z159" i="65" s="1"/>
  <c r="AA113" i="66"/>
  <c r="AB87" i="66" s="1"/>
  <c r="AA115" i="66"/>
  <c r="AA93" i="66"/>
  <c r="AB125" i="65"/>
  <c r="AB105" i="65"/>
  <c r="AB170" i="65" s="1"/>
  <c r="Z158" i="62"/>
  <c r="Y142" i="62" s="1"/>
  <c r="AA167" i="48"/>
  <c r="AA126" i="62"/>
  <c r="AA171" i="62"/>
  <c r="AA126" i="48"/>
  <c r="AB106" i="62"/>
  <c r="AB107" i="62" s="1"/>
  <c r="AB108" i="62" s="1"/>
  <c r="AC102" i="62"/>
  <c r="AA154" i="62"/>
  <c r="AB110" i="62"/>
  <c r="AB121" i="62"/>
  <c r="AB122" i="62" s="1"/>
  <c r="AB114" i="62"/>
  <c r="AC92" i="62" s="1"/>
  <c r="AB170" i="62"/>
  <c r="CA103" i="27"/>
  <c r="CA108" i="27" s="1"/>
  <c r="AB109" i="48"/>
  <c r="AB120" i="48"/>
  <c r="AB121" i="48" s="1"/>
  <c r="AB113" i="48"/>
  <c r="AC92" i="48" s="1"/>
  <c r="AB105" i="48"/>
  <c r="AB106" i="48" s="1"/>
  <c r="AB107" i="48" s="1"/>
  <c r="AC101" i="48"/>
  <c r="Z111" i="70" l="1"/>
  <c r="Z117" i="70" s="1"/>
  <c r="AA118" i="70" s="1"/>
  <c r="AA124" i="66"/>
  <c r="AB88" i="66"/>
  <c r="AC89" i="66"/>
  <c r="AD90" i="66" s="1"/>
  <c r="AB101" i="66"/>
  <c r="AB100" i="66" s="1"/>
  <c r="AA128" i="65"/>
  <c r="AA129" i="65" s="1"/>
  <c r="AA154" i="65"/>
  <c r="Z92" i="63"/>
  <c r="Z93" i="63" s="1"/>
  <c r="Y115" i="63"/>
  <c r="Y113" i="63"/>
  <c r="Z87" i="63" s="1"/>
  <c r="Y111" i="63"/>
  <c r="AB217" i="65"/>
  <c r="AB114" i="65"/>
  <c r="AC92" i="65" s="1"/>
  <c r="AB121" i="65"/>
  <c r="AB122" i="65" s="1"/>
  <c r="AB110" i="65"/>
  <c r="Y128" i="70"/>
  <c r="Y129" i="70" s="1"/>
  <c r="Y154" i="70"/>
  <c r="AB106" i="65"/>
  <c r="AB107" i="65" s="1"/>
  <c r="AB108" i="65" s="1"/>
  <c r="AC102" i="65"/>
  <c r="Z113" i="70"/>
  <c r="AA87" i="70" s="1"/>
  <c r="AA92" i="70"/>
  <c r="AA93" i="70" s="1"/>
  <c r="Z115" i="70"/>
  <c r="AA126" i="66"/>
  <c r="AA127" i="66"/>
  <c r="AA171" i="66"/>
  <c r="X155" i="63"/>
  <c r="X157" i="63"/>
  <c r="Z156" i="66"/>
  <c r="Z159" i="66" s="1"/>
  <c r="Z158" i="66"/>
  <c r="Y142" i="66" s="1"/>
  <c r="AB125" i="66"/>
  <c r="AB105" i="66"/>
  <c r="AB217" i="66" s="1"/>
  <c r="AA127" i="48"/>
  <c r="AA128" i="48" s="1"/>
  <c r="AA150" i="48"/>
  <c r="AA151" i="48" s="1"/>
  <c r="AA153" i="48" s="1"/>
  <c r="AB111" i="62"/>
  <c r="AB117" i="62" s="1"/>
  <c r="AC118" i="62" s="1"/>
  <c r="AB93" i="62"/>
  <c r="AB113" i="62"/>
  <c r="AC87" i="62" s="1"/>
  <c r="AB115" i="62"/>
  <c r="AA155" i="62"/>
  <c r="AA157" i="62"/>
  <c r="AB110" i="48"/>
  <c r="AB116" i="48" s="1"/>
  <c r="AC117" i="48" s="1"/>
  <c r="CB103" i="27"/>
  <c r="CB108" i="27" s="1"/>
  <c r="AB114" i="48"/>
  <c r="AB112" i="48"/>
  <c r="AC87" i="48" s="1"/>
  <c r="AB93" i="48"/>
  <c r="AB111" i="65" l="1"/>
  <c r="AB170" i="66"/>
  <c r="AB117" i="65"/>
  <c r="AC118" i="65" s="1"/>
  <c r="AB110" i="66"/>
  <c r="AB121" i="66"/>
  <c r="AB122" i="66" s="1"/>
  <c r="AB114" i="66"/>
  <c r="AC92" i="66" s="1"/>
  <c r="X158" i="63"/>
  <c r="W142" i="63" s="1"/>
  <c r="X156" i="63"/>
  <c r="X159" i="63" s="1"/>
  <c r="AB115" i="65"/>
  <c r="AB93" i="65"/>
  <c r="AB113" i="65"/>
  <c r="AC87" i="65" s="1"/>
  <c r="AA125" i="70"/>
  <c r="AA105" i="70"/>
  <c r="AB106" i="66"/>
  <c r="AB107" i="66" s="1"/>
  <c r="AB108" i="66" s="1"/>
  <c r="AC102" i="66"/>
  <c r="AA128" i="66"/>
  <c r="AA129" i="66" s="1"/>
  <c r="AA154" i="66"/>
  <c r="AB89" i="70"/>
  <c r="AC90" i="70" s="1"/>
  <c r="AA88" i="70"/>
  <c r="AA101" i="70"/>
  <c r="AA100" i="70" s="1"/>
  <c r="Y155" i="70"/>
  <c r="Y157" i="70"/>
  <c r="Y117" i="63"/>
  <c r="Z118" i="63" s="1"/>
  <c r="AA157" i="65"/>
  <c r="AA155" i="65"/>
  <c r="Z124" i="70"/>
  <c r="AA89" i="63"/>
  <c r="AB90" i="63" s="1"/>
  <c r="Z88" i="63"/>
  <c r="Z101" i="63"/>
  <c r="Z100" i="63" s="1"/>
  <c r="AA152" i="48"/>
  <c r="AA155" i="48" s="1"/>
  <c r="AA154" i="48"/>
  <c r="Z138" i="48" s="1"/>
  <c r="AB124" i="62"/>
  <c r="AB127" i="62" s="1"/>
  <c r="AB128" i="62" s="1"/>
  <c r="AB129" i="62" s="1"/>
  <c r="AA156" i="62"/>
  <c r="AA159" i="62" s="1"/>
  <c r="AA158" i="62"/>
  <c r="Z142" i="62" s="1"/>
  <c r="AD89" i="62"/>
  <c r="AE90" i="62" s="1"/>
  <c r="AC88" i="62"/>
  <c r="AC101" i="62"/>
  <c r="AC100" i="62" s="1"/>
  <c r="AC125" i="62"/>
  <c r="AC105" i="62"/>
  <c r="AC170" i="62" s="1"/>
  <c r="AB123" i="48"/>
  <c r="AB126" i="48" s="1"/>
  <c r="AB127" i="48" s="1"/>
  <c r="CC103" i="27"/>
  <c r="CC108" i="27" s="1"/>
  <c r="AC100" i="48"/>
  <c r="AC99" i="48" s="1"/>
  <c r="AC88" i="48"/>
  <c r="AD89" i="48"/>
  <c r="AE90" i="48" s="1"/>
  <c r="AC124" i="48"/>
  <c r="AC104" i="48"/>
  <c r="AC166" i="48" s="1"/>
  <c r="AB111" i="66" l="1"/>
  <c r="AB117" i="66" s="1"/>
  <c r="AC118" i="66" s="1"/>
  <c r="AB124" i="65"/>
  <c r="AB171" i="65" s="1"/>
  <c r="Y124" i="63"/>
  <c r="Y126" i="63" s="1"/>
  <c r="Z106" i="63"/>
  <c r="AA102" i="63"/>
  <c r="Z125" i="63"/>
  <c r="Z105" i="63"/>
  <c r="Z170" i="63" s="1"/>
  <c r="AA217" i="70"/>
  <c r="AA110" i="70"/>
  <c r="AA121" i="70"/>
  <c r="AA122" i="70" s="1"/>
  <c r="AA114" i="70"/>
  <c r="AA158" i="65"/>
  <c r="Z142" i="65" s="1"/>
  <c r="AA156" i="65"/>
  <c r="AA159" i="65" s="1"/>
  <c r="AA170" i="70"/>
  <c r="Y158" i="70"/>
  <c r="X142" i="70" s="1"/>
  <c r="Y156" i="70"/>
  <c r="Y159" i="70" s="1"/>
  <c r="AA157" i="66"/>
  <c r="AA155" i="66"/>
  <c r="Z127" i="70"/>
  <c r="Z126" i="70"/>
  <c r="Z171" i="70"/>
  <c r="AA106" i="70"/>
  <c r="AA107" i="70" s="1"/>
  <c r="AA108" i="70" s="1"/>
  <c r="AA111" i="70" s="1"/>
  <c r="AB102" i="70"/>
  <c r="AC101" i="65"/>
  <c r="AC100" i="65" s="1"/>
  <c r="AC88" i="65"/>
  <c r="AD89" i="65"/>
  <c r="AE90" i="65" s="1"/>
  <c r="AB115" i="66"/>
  <c r="AB93" i="66"/>
  <c r="AB113" i="66"/>
  <c r="AC87" i="66" s="1"/>
  <c r="AC125" i="65"/>
  <c r="AC105" i="65"/>
  <c r="AB171" i="62"/>
  <c r="AB126" i="62"/>
  <c r="AC217" i="62"/>
  <c r="AB125" i="48"/>
  <c r="AB167" i="48"/>
  <c r="AC106" i="62"/>
  <c r="AC107" i="62" s="1"/>
  <c r="AC108" i="62" s="1"/>
  <c r="AD102" i="62"/>
  <c r="AB154" i="62"/>
  <c r="AC110" i="62"/>
  <c r="AC121" i="62"/>
  <c r="AC122" i="62" s="1"/>
  <c r="AC114" i="62"/>
  <c r="AD92" i="62" s="1"/>
  <c r="AC105" i="48"/>
  <c r="AC106" i="48" s="1"/>
  <c r="AC107" i="48" s="1"/>
  <c r="AD101" i="48"/>
  <c r="CD103" i="27"/>
  <c r="CD108" i="27" s="1"/>
  <c r="AC120" i="48"/>
  <c r="AC121" i="48" s="1"/>
  <c r="AC109" i="48"/>
  <c r="AC113" i="48"/>
  <c r="AD92" i="48" s="1"/>
  <c r="AB128" i="48"/>
  <c r="AB150" i="48"/>
  <c r="AB151" i="48" s="1"/>
  <c r="AB127" i="65" l="1"/>
  <c r="AB126" i="65"/>
  <c r="Y171" i="63"/>
  <c r="Y127" i="63"/>
  <c r="AB124" i="66"/>
  <c r="AB126" i="66" s="1"/>
  <c r="Z217" i="63"/>
  <c r="Z107" i="63"/>
  <c r="Z108" i="63" s="1"/>
  <c r="AC110" i="65"/>
  <c r="AC121" i="65"/>
  <c r="AC122" i="65" s="1"/>
  <c r="AC114" i="65"/>
  <c r="AD92" i="65" s="1"/>
  <c r="Y128" i="63"/>
  <c r="Y129" i="63" s="1"/>
  <c r="Y154" i="63"/>
  <c r="AA158" i="66"/>
  <c r="Z142" i="66" s="1"/>
  <c r="AA156" i="66"/>
  <c r="AA159" i="66" s="1"/>
  <c r="AA113" i="70"/>
  <c r="AB87" i="70" s="1"/>
  <c r="AB92" i="70"/>
  <c r="AB93" i="70" s="1"/>
  <c r="AA115" i="70"/>
  <c r="AC88" i="66"/>
  <c r="AD89" i="66"/>
  <c r="AE90" i="66" s="1"/>
  <c r="AC101" i="66"/>
  <c r="AC100" i="66" s="1"/>
  <c r="AA117" i="70"/>
  <c r="AB118" i="70" s="1"/>
  <c r="AB154" i="65"/>
  <c r="AB128" i="65"/>
  <c r="AB129" i="65" s="1"/>
  <c r="AC217" i="65"/>
  <c r="Z114" i="63"/>
  <c r="Z121" i="63"/>
  <c r="Z122" i="63" s="1"/>
  <c r="Z110" i="63"/>
  <c r="Z111" i="63" s="1"/>
  <c r="AB127" i="66"/>
  <c r="AC170" i="65"/>
  <c r="AC106" i="65"/>
  <c r="AC107" i="65" s="1"/>
  <c r="AC108" i="65" s="1"/>
  <c r="AC111" i="65" s="1"/>
  <c r="AD102" i="65"/>
  <c r="Z128" i="70"/>
  <c r="Z129" i="70" s="1"/>
  <c r="Z154" i="70"/>
  <c r="AC125" i="66"/>
  <c r="AC105" i="66"/>
  <c r="AC170" i="66" s="1"/>
  <c r="AC111" i="62"/>
  <c r="AC117" i="62" s="1"/>
  <c r="AD118" i="62" s="1"/>
  <c r="AC93" i="62"/>
  <c r="AC115" i="62"/>
  <c r="AC113" i="62"/>
  <c r="AD87" i="62" s="1"/>
  <c r="AB155" i="62"/>
  <c r="AB157" i="62"/>
  <c r="AC110" i="48"/>
  <c r="AC116" i="48" s="1"/>
  <c r="AD117" i="48" s="1"/>
  <c r="CE103" i="27"/>
  <c r="CE108" i="27" s="1"/>
  <c r="AC112" i="48"/>
  <c r="AD87" i="48" s="1"/>
  <c r="AC114" i="48"/>
  <c r="AC93" i="48"/>
  <c r="AB154" i="48"/>
  <c r="AA138" i="48" s="1"/>
  <c r="AB152" i="48"/>
  <c r="AB155" i="48" s="1"/>
  <c r="AB153" i="48"/>
  <c r="AB171" i="66" l="1"/>
  <c r="Z117" i="63"/>
  <c r="AA118" i="63" s="1"/>
  <c r="AC117" i="65"/>
  <c r="AD118" i="65" s="1"/>
  <c r="AB125" i="70"/>
  <c r="AB105" i="70"/>
  <c r="AB101" i="70"/>
  <c r="AB100" i="70" s="1"/>
  <c r="AB88" i="70"/>
  <c r="AC89" i="70"/>
  <c r="AD90" i="70" s="1"/>
  <c r="AC93" i="65"/>
  <c r="AC113" i="65"/>
  <c r="AD87" i="65" s="1"/>
  <c r="AC115" i="65"/>
  <c r="AC114" i="66"/>
  <c r="AD92" i="66" s="1"/>
  <c r="AC110" i="66"/>
  <c r="AC121" i="66"/>
  <c r="AC122" i="66" s="1"/>
  <c r="AB154" i="66"/>
  <c r="AB128" i="66"/>
  <c r="AB129" i="66" s="1"/>
  <c r="Z113" i="63"/>
  <c r="AA87" i="63" s="1"/>
  <c r="Z115" i="63"/>
  <c r="AA92" i="63"/>
  <c r="AA93" i="63" s="1"/>
  <c r="AB155" i="65"/>
  <c r="AB157" i="65"/>
  <c r="AC106" i="66"/>
  <c r="AC107" i="66" s="1"/>
  <c r="AC108" i="66" s="1"/>
  <c r="AD102" i="66"/>
  <c r="AC217" i="66"/>
  <c r="Z155" i="70"/>
  <c r="Z157" i="70"/>
  <c r="AA124" i="70"/>
  <c r="Y155" i="63"/>
  <c r="Y157" i="63"/>
  <c r="AC124" i="62"/>
  <c r="AC126" i="62" s="1"/>
  <c r="AD101" i="62"/>
  <c r="AD100" i="62" s="1"/>
  <c r="AD88" i="62"/>
  <c r="AE89" i="62"/>
  <c r="AF90" i="62" s="1"/>
  <c r="AB158" i="62"/>
  <c r="AA142" i="62" s="1"/>
  <c r="AB156" i="62"/>
  <c r="AB159" i="62" s="1"/>
  <c r="AD125" i="62"/>
  <c r="AD105" i="62"/>
  <c r="AC123" i="48"/>
  <c r="AC167" i="48" s="1"/>
  <c r="AD100" i="48"/>
  <c r="AD99" i="48" s="1"/>
  <c r="AD88" i="48"/>
  <c r="AE89" i="48"/>
  <c r="AF90" i="48" s="1"/>
  <c r="CF103" i="27"/>
  <c r="AD124" i="48"/>
  <c r="AD104" i="48"/>
  <c r="AD166" i="48" s="1"/>
  <c r="AC111" i="66" l="1"/>
  <c r="AC117" i="66" s="1"/>
  <c r="AD118" i="66" s="1"/>
  <c r="Z124" i="63"/>
  <c r="Z171" i="63" s="1"/>
  <c r="Y158" i="63"/>
  <c r="X142" i="63" s="1"/>
  <c r="Y156" i="63"/>
  <c r="Y159" i="63" s="1"/>
  <c r="AA88" i="63"/>
  <c r="AB89" i="63"/>
  <c r="AC90" i="63" s="1"/>
  <c r="AA101" i="63"/>
  <c r="AA100" i="63" s="1"/>
  <c r="AE89" i="65"/>
  <c r="AF90" i="65" s="1"/>
  <c r="AD88" i="65"/>
  <c r="AD101" i="65"/>
  <c r="AD100" i="65" s="1"/>
  <c r="AB106" i="70"/>
  <c r="AB107" i="70" s="1"/>
  <c r="AB108" i="70" s="1"/>
  <c r="AC102" i="70"/>
  <c r="AC124" i="65"/>
  <c r="AA127" i="70"/>
  <c r="AA126" i="70"/>
  <c r="AA171" i="70"/>
  <c r="AB156" i="65"/>
  <c r="AB159" i="65" s="1"/>
  <c r="AB158" i="65"/>
  <c r="AA142" i="65" s="1"/>
  <c r="AC93" i="66"/>
  <c r="AC113" i="66"/>
  <c r="AD87" i="66" s="1"/>
  <c r="AC115" i="66"/>
  <c r="AB170" i="70"/>
  <c r="AB110" i="70"/>
  <c r="AB121" i="70"/>
  <c r="AB122" i="70" s="1"/>
  <c r="AB114" i="70"/>
  <c r="AD125" i="65"/>
  <c r="AD105" i="65"/>
  <c r="AB155" i="66"/>
  <c r="AB157" i="66"/>
  <c r="AB217" i="70"/>
  <c r="Z158" i="70"/>
  <c r="Y142" i="70" s="1"/>
  <c r="Z156" i="70"/>
  <c r="Z159" i="70" s="1"/>
  <c r="AA105" i="63"/>
  <c r="AA217" i="63" s="1"/>
  <c r="AA125" i="63"/>
  <c r="AC126" i="48"/>
  <c r="AC127" i="48" s="1"/>
  <c r="AC128" i="48" s="1"/>
  <c r="AC125" i="48"/>
  <c r="AC171" i="62"/>
  <c r="AC127" i="62"/>
  <c r="AC128" i="62" s="1"/>
  <c r="AC129" i="62" s="1"/>
  <c r="AD110" i="62"/>
  <c r="AD121" i="62"/>
  <c r="AD122" i="62" s="1"/>
  <c r="AD114" i="62"/>
  <c r="AE92" i="62" s="1"/>
  <c r="AD170" i="62"/>
  <c r="AD217" i="62"/>
  <c r="CF108" i="27"/>
  <c r="CG103" i="27"/>
  <c r="AD106" i="62"/>
  <c r="AD107" i="62" s="1"/>
  <c r="AD108" i="62" s="1"/>
  <c r="AE102" i="62"/>
  <c r="AD105" i="48"/>
  <c r="AD106" i="48" s="1"/>
  <c r="AD107" i="48" s="1"/>
  <c r="AE101" i="48"/>
  <c r="AD109" i="48"/>
  <c r="AD120" i="48"/>
  <c r="AD121" i="48" s="1"/>
  <c r="AD113" i="48"/>
  <c r="AE92" i="48" s="1"/>
  <c r="Z127" i="63" l="1"/>
  <c r="Z128" i="63" s="1"/>
  <c r="Z129" i="63" s="1"/>
  <c r="Z126" i="63"/>
  <c r="AC124" i="66"/>
  <c r="AB111" i="70"/>
  <c r="AB117" i="70" s="1"/>
  <c r="AC118" i="70" s="1"/>
  <c r="AB158" i="66"/>
  <c r="AA142" i="66" s="1"/>
  <c r="AB156" i="66"/>
  <c r="AB159" i="66" s="1"/>
  <c r="AD217" i="65"/>
  <c r="AD114" i="65"/>
  <c r="AE92" i="65" s="1"/>
  <c r="AD121" i="65"/>
  <c r="AD122" i="65" s="1"/>
  <c r="AD110" i="65"/>
  <c r="AB115" i="70"/>
  <c r="AB113" i="70"/>
  <c r="AC87" i="70" s="1"/>
  <c r="AC92" i="70"/>
  <c r="AC93" i="70" s="1"/>
  <c r="AA128" i="70"/>
  <c r="AA129" i="70" s="1"/>
  <c r="AA154" i="70"/>
  <c r="AA106" i="63"/>
  <c r="AA107" i="63" s="1"/>
  <c r="AA108" i="63" s="1"/>
  <c r="AB102" i="63"/>
  <c r="AD101" i="66"/>
  <c r="AD100" i="66" s="1"/>
  <c r="AD88" i="66"/>
  <c r="AE89" i="66"/>
  <c r="AF90" i="66" s="1"/>
  <c r="AC126" i="65"/>
  <c r="AC127" i="65"/>
  <c r="AC171" i="65"/>
  <c r="AD106" i="65"/>
  <c r="AD107" i="65" s="1"/>
  <c r="AD108" i="65" s="1"/>
  <c r="AE102" i="65"/>
  <c r="AC127" i="66"/>
  <c r="AC126" i="66"/>
  <c r="AC171" i="66"/>
  <c r="AA170" i="63"/>
  <c r="AA121" i="63"/>
  <c r="AA122" i="63" s="1"/>
  <c r="AA114" i="63"/>
  <c r="AA110" i="63"/>
  <c r="AD170" i="65"/>
  <c r="AD125" i="66"/>
  <c r="AD105" i="66"/>
  <c r="AD217" i="66" s="1"/>
  <c r="AC150" i="48"/>
  <c r="AC151" i="48" s="1"/>
  <c r="AC152" i="48" s="1"/>
  <c r="AC155" i="48" s="1"/>
  <c r="AD110" i="48"/>
  <c r="AD116" i="48" s="1"/>
  <c r="AE117" i="48" s="1"/>
  <c r="AC154" i="62"/>
  <c r="AC157" i="62" s="1"/>
  <c r="AD111" i="62"/>
  <c r="AD117" i="62" s="1"/>
  <c r="AE118" i="62" s="1"/>
  <c r="AD93" i="62"/>
  <c r="AD113" i="62"/>
  <c r="AE87" i="62" s="1"/>
  <c r="AD115" i="62"/>
  <c r="CH103" i="27"/>
  <c r="CG108" i="27"/>
  <c r="AD114" i="48"/>
  <c r="AD112" i="48"/>
  <c r="AE87" i="48" s="1"/>
  <c r="AD93" i="48"/>
  <c r="Z154" i="63" l="1"/>
  <c r="Z157" i="63" s="1"/>
  <c r="AB124" i="70"/>
  <c r="AB126" i="70" s="1"/>
  <c r="AD111" i="65"/>
  <c r="AD117" i="65" s="1"/>
  <c r="AE118" i="65" s="1"/>
  <c r="AD170" i="66"/>
  <c r="AC128" i="66"/>
  <c r="AC129" i="66" s="1"/>
  <c r="AC154" i="66"/>
  <c r="AA111" i="63"/>
  <c r="AC88" i="70"/>
  <c r="AD89" i="70"/>
  <c r="AE90" i="70" s="1"/>
  <c r="AC101" i="70"/>
  <c r="AC100" i="70" s="1"/>
  <c r="AB127" i="70"/>
  <c r="AC128" i="65"/>
  <c r="AC129" i="65" s="1"/>
  <c r="AC154" i="65"/>
  <c r="AA155" i="70"/>
  <c r="AA157" i="70"/>
  <c r="AC125" i="70"/>
  <c r="AC105" i="70"/>
  <c r="AC217" i="70" s="1"/>
  <c r="AD110" i="66"/>
  <c r="AD114" i="66"/>
  <c r="AE92" i="66" s="1"/>
  <c r="AD121" i="66"/>
  <c r="AD122" i="66" s="1"/>
  <c r="AB92" i="63"/>
  <c r="AB93" i="63" s="1"/>
  <c r="AA115" i="63"/>
  <c r="AA113" i="63"/>
  <c r="AB87" i="63" s="1"/>
  <c r="AD106" i="66"/>
  <c r="AD107" i="66" s="1"/>
  <c r="AD108" i="66" s="1"/>
  <c r="AD111" i="66" s="1"/>
  <c r="AE102" i="66"/>
  <c r="AD115" i="65"/>
  <c r="AD113" i="65"/>
  <c r="AE87" i="65" s="1"/>
  <c r="AD93" i="65"/>
  <c r="Z155" i="63"/>
  <c r="AC153" i="48"/>
  <c r="AC154" i="48"/>
  <c r="AB138" i="48" s="1"/>
  <c r="AC155" i="62"/>
  <c r="AC156" i="62" s="1"/>
  <c r="AC159" i="62" s="1"/>
  <c r="AD124" i="62"/>
  <c r="AD126" i="62" s="1"/>
  <c r="AD123" i="48"/>
  <c r="AD126" i="48" s="1"/>
  <c r="AD127" i="48" s="1"/>
  <c r="CH108" i="27"/>
  <c r="CI103" i="27"/>
  <c r="AE101" i="62"/>
  <c r="AE100" i="62" s="1"/>
  <c r="AF89" i="62"/>
  <c r="AG90" i="62" s="1"/>
  <c r="AE88" i="62"/>
  <c r="AE125" i="62"/>
  <c r="AE105" i="62"/>
  <c r="AE217" i="62" s="1"/>
  <c r="AE88" i="48"/>
  <c r="AE100" i="48"/>
  <c r="AE99" i="48" s="1"/>
  <c r="AF89" i="48"/>
  <c r="AG90" i="48" s="1"/>
  <c r="AE124" i="48"/>
  <c r="AE104" i="48"/>
  <c r="AE166" i="48" s="1"/>
  <c r="AB171" i="70" l="1"/>
  <c r="AD124" i="65"/>
  <c r="AD117" i="66"/>
  <c r="AE118" i="66" s="1"/>
  <c r="AC155" i="65"/>
  <c r="AC157" i="65"/>
  <c r="AE101" i="65"/>
  <c r="AE100" i="65" s="1"/>
  <c r="AE88" i="65"/>
  <c r="AF89" i="65"/>
  <c r="AG90" i="65" s="1"/>
  <c r="AD113" i="66"/>
  <c r="AE87" i="66" s="1"/>
  <c r="AD115" i="66"/>
  <c r="AD93" i="66"/>
  <c r="AB128" i="70"/>
  <c r="AB129" i="70" s="1"/>
  <c r="AB154" i="70"/>
  <c r="AA117" i="63"/>
  <c r="AB118" i="63" s="1"/>
  <c r="AC89" i="63"/>
  <c r="AD90" i="63" s="1"/>
  <c r="AB88" i="63"/>
  <c r="AB101" i="63"/>
  <c r="AB100" i="63" s="1"/>
  <c r="AC106" i="70"/>
  <c r="AC107" i="70" s="1"/>
  <c r="AC108" i="70" s="1"/>
  <c r="AD102" i="70"/>
  <c r="AC157" i="66"/>
  <c r="AC155" i="66"/>
  <c r="AE125" i="65"/>
  <c r="AE105" i="65"/>
  <c r="Z158" i="63"/>
  <c r="Y142" i="63" s="1"/>
  <c r="Z156" i="63"/>
  <c r="Z159" i="63" s="1"/>
  <c r="AC170" i="70"/>
  <c r="AC110" i="70"/>
  <c r="AC121" i="70"/>
  <c r="AC122" i="70" s="1"/>
  <c r="AC114" i="70"/>
  <c r="AA156" i="70"/>
  <c r="AA159" i="70" s="1"/>
  <c r="AA158" i="70"/>
  <c r="Z142" i="70" s="1"/>
  <c r="AD126" i="65"/>
  <c r="AD127" i="65"/>
  <c r="AD171" i="65"/>
  <c r="AD125" i="48"/>
  <c r="AD167" i="48"/>
  <c r="AC158" i="62"/>
  <c r="AB142" i="62" s="1"/>
  <c r="AD171" i="62"/>
  <c r="AD127" i="62"/>
  <c r="AD128" i="62" s="1"/>
  <c r="AD129" i="62" s="1"/>
  <c r="AE110" i="62"/>
  <c r="AE114" i="62"/>
  <c r="AF92" i="62" s="1"/>
  <c r="AE121" i="62"/>
  <c r="AE122" i="62" s="1"/>
  <c r="AE106" i="62"/>
  <c r="AE107" i="62" s="1"/>
  <c r="AE108" i="62" s="1"/>
  <c r="AF102" i="62"/>
  <c r="CI108" i="27"/>
  <c r="CJ103" i="27"/>
  <c r="AE170" i="62"/>
  <c r="AD128" i="48"/>
  <c r="AD150" i="48"/>
  <c r="AD151" i="48" s="1"/>
  <c r="AE105" i="48"/>
  <c r="AE106" i="48" s="1"/>
  <c r="AE107" i="48" s="1"/>
  <c r="AF101" i="48"/>
  <c r="AE109" i="48"/>
  <c r="AE113" i="48"/>
  <c r="AF92" i="48" s="1"/>
  <c r="AE120" i="48"/>
  <c r="AE121" i="48" s="1"/>
  <c r="AD124" i="66" l="1"/>
  <c r="AD126" i="66" s="1"/>
  <c r="AC111" i="70"/>
  <c r="AA124" i="63"/>
  <c r="AE217" i="65"/>
  <c r="AE114" i="65"/>
  <c r="AF92" i="65" s="1"/>
  <c r="AE110" i="65"/>
  <c r="AE121" i="65"/>
  <c r="AE122" i="65" s="1"/>
  <c r="AC158" i="66"/>
  <c r="AB142" i="66" s="1"/>
  <c r="AC156" i="66"/>
  <c r="AC159" i="66" s="1"/>
  <c r="AB106" i="63"/>
  <c r="AC102" i="63"/>
  <c r="AB125" i="63"/>
  <c r="AB105" i="63"/>
  <c r="AB217" i="63" s="1"/>
  <c r="AC158" i="65"/>
  <c r="AB142" i="65" s="1"/>
  <c r="AC156" i="65"/>
  <c r="AC159" i="65" s="1"/>
  <c r="AD128" i="65"/>
  <c r="AD129" i="65" s="1"/>
  <c r="AD154" i="65"/>
  <c r="AC113" i="70"/>
  <c r="AD87" i="70" s="1"/>
  <c r="AD92" i="70"/>
  <c r="AD93" i="70" s="1"/>
  <c r="AC115" i="70"/>
  <c r="AB155" i="70"/>
  <c r="AB157" i="70"/>
  <c r="AD171" i="66"/>
  <c r="AE170" i="65"/>
  <c r="AE88" i="66"/>
  <c r="AE101" i="66"/>
  <c r="AE100" i="66" s="1"/>
  <c r="AF89" i="66"/>
  <c r="AG90" i="66" s="1"/>
  <c r="AE106" i="65"/>
  <c r="AE107" i="65" s="1"/>
  <c r="AE108" i="65" s="1"/>
  <c r="AE111" i="65" s="1"/>
  <c r="AF102" i="65"/>
  <c r="AE125" i="66"/>
  <c r="AE105" i="66"/>
  <c r="AE170" i="66" s="1"/>
  <c r="AD154" i="62"/>
  <c r="AD155" i="62" s="1"/>
  <c r="AE111" i="62"/>
  <c r="AE117" i="62" s="1"/>
  <c r="AF118" i="62" s="1"/>
  <c r="AE115" i="62"/>
  <c r="AE113" i="62"/>
  <c r="AF87" i="62" s="1"/>
  <c r="AE93" i="62"/>
  <c r="AE110" i="48"/>
  <c r="AE116" i="48" s="1"/>
  <c r="CJ108" i="27"/>
  <c r="CK103" i="27"/>
  <c r="AE114" i="48"/>
  <c r="AE112" i="48"/>
  <c r="AF87" i="48" s="1"/>
  <c r="AE93" i="48"/>
  <c r="AD152" i="48"/>
  <c r="AD155" i="48" s="1"/>
  <c r="AD153" i="48"/>
  <c r="AD154" i="48"/>
  <c r="AC138" i="48" s="1"/>
  <c r="AD127" i="66" l="1"/>
  <c r="AE217" i="66"/>
  <c r="AB107" i="63"/>
  <c r="AB108" i="63" s="1"/>
  <c r="AE117" i="65"/>
  <c r="AF118" i="65" s="1"/>
  <c r="AE106" i="66"/>
  <c r="AE107" i="66" s="1"/>
  <c r="AE108" i="66" s="1"/>
  <c r="AF102" i="66"/>
  <c r="AB158" i="70"/>
  <c r="AA142" i="70" s="1"/>
  <c r="AB156" i="70"/>
  <c r="AB159" i="70" s="1"/>
  <c r="AD157" i="65"/>
  <c r="AD155" i="65"/>
  <c r="AD128" i="66"/>
  <c r="AD129" i="66" s="1"/>
  <c r="AD154" i="66"/>
  <c r="AB170" i="63"/>
  <c r="AB110" i="63"/>
  <c r="AB114" i="63"/>
  <c r="AB121" i="63"/>
  <c r="AB122" i="63" s="1"/>
  <c r="AA126" i="63"/>
  <c r="AA127" i="63"/>
  <c r="AA171" i="63"/>
  <c r="AE121" i="66"/>
  <c r="AE122" i="66" s="1"/>
  <c r="AE114" i="66"/>
  <c r="AF92" i="66" s="1"/>
  <c r="AE110" i="66"/>
  <c r="AC117" i="70"/>
  <c r="AD118" i="70" s="1"/>
  <c r="AE89" i="70"/>
  <c r="AF90" i="70" s="1"/>
  <c r="AD88" i="70"/>
  <c r="AD101" i="70"/>
  <c r="AD100" i="70" s="1"/>
  <c r="AE93" i="65"/>
  <c r="AE115" i="65"/>
  <c r="AE113" i="65"/>
  <c r="AF87" i="65" s="1"/>
  <c r="AD157" i="62"/>
  <c r="AE124" i="62"/>
  <c r="AE127" i="62" s="1"/>
  <c r="AE128" i="62" s="1"/>
  <c r="AE129" i="62" s="1"/>
  <c r="AF117" i="48"/>
  <c r="AF124" i="48" s="1"/>
  <c r="AE123" i="48"/>
  <c r="AE167" i="48" s="1"/>
  <c r="CK108" i="27"/>
  <c r="CL103" i="27"/>
  <c r="AG89" i="62"/>
  <c r="AH90" i="62" s="1"/>
  <c r="AF88" i="62"/>
  <c r="AF101" i="62"/>
  <c r="AF100" i="62" s="1"/>
  <c r="AD156" i="62"/>
  <c r="AD159" i="62" s="1"/>
  <c r="AD158" i="62"/>
  <c r="AC142" i="62" s="1"/>
  <c r="AF125" i="62"/>
  <c r="AF105" i="62"/>
  <c r="AF217" i="62" s="1"/>
  <c r="AF100" i="48"/>
  <c r="AF99" i="48" s="1"/>
  <c r="AF88" i="48"/>
  <c r="AG89" i="48"/>
  <c r="AH90" i="48" s="1"/>
  <c r="AB111" i="63" l="1"/>
  <c r="AB117" i="63" s="1"/>
  <c r="AC118" i="63" s="1"/>
  <c r="AD125" i="70"/>
  <c r="AD105" i="70"/>
  <c r="AD170" i="70" s="1"/>
  <c r="AD157" i="66"/>
  <c r="AD155" i="66"/>
  <c r="AE115" i="66"/>
  <c r="AE93" i="66"/>
  <c r="AE113" i="66"/>
  <c r="AF87" i="66" s="1"/>
  <c r="AA128" i="63"/>
  <c r="AA129" i="63" s="1"/>
  <c r="AA154" i="63"/>
  <c r="AB115" i="63"/>
  <c r="AC92" i="63"/>
  <c r="AC93" i="63" s="1"/>
  <c r="AB113" i="63"/>
  <c r="AC87" i="63" s="1"/>
  <c r="AE124" i="65"/>
  <c r="AG89" i="65"/>
  <c r="AH90" i="65" s="1"/>
  <c r="AF101" i="65"/>
  <c r="AF100" i="65" s="1"/>
  <c r="AF88" i="65"/>
  <c r="AD106" i="70"/>
  <c r="AE102" i="70"/>
  <c r="AC124" i="70"/>
  <c r="AE111" i="66"/>
  <c r="AD156" i="65"/>
  <c r="AD159" i="65" s="1"/>
  <c r="AD158" i="65"/>
  <c r="AC142" i="65" s="1"/>
  <c r="AF125" i="65"/>
  <c r="AF105" i="65"/>
  <c r="AF170" i="65" s="1"/>
  <c r="AE126" i="48"/>
  <c r="AE127" i="48" s="1"/>
  <c r="AE128" i="48" s="1"/>
  <c r="AE125" i="48"/>
  <c r="AF104" i="48"/>
  <c r="AF166" i="48" s="1"/>
  <c r="AE126" i="62"/>
  <c r="AE171" i="62"/>
  <c r="AE154" i="62"/>
  <c r="CL108" i="27"/>
  <c r="CM103" i="27"/>
  <c r="AF114" i="62"/>
  <c r="AG92" i="62" s="1"/>
  <c r="AF110" i="62"/>
  <c r="AF121" i="62"/>
  <c r="AF122" i="62" s="1"/>
  <c r="AF170" i="62"/>
  <c r="AF106" i="62"/>
  <c r="AF107" i="62" s="1"/>
  <c r="AF108" i="62" s="1"/>
  <c r="AG102" i="62"/>
  <c r="AF105" i="48"/>
  <c r="AG101" i="48"/>
  <c r="AD107" i="70" l="1"/>
  <c r="AD108" i="70" s="1"/>
  <c r="AB124" i="63"/>
  <c r="AB127" i="63" s="1"/>
  <c r="AE117" i="66"/>
  <c r="AF118" i="66" s="1"/>
  <c r="AE127" i="65"/>
  <c r="AE126" i="65"/>
  <c r="AE171" i="65"/>
  <c r="AA157" i="63"/>
  <c r="AA155" i="63"/>
  <c r="AF217" i="65"/>
  <c r="AF121" i="65"/>
  <c r="AF122" i="65" s="1"/>
  <c r="AF110" i="65"/>
  <c r="AF114" i="65"/>
  <c r="AG92" i="65" s="1"/>
  <c r="AC126" i="70"/>
  <c r="AC127" i="70"/>
  <c r="AC171" i="70"/>
  <c r="AD89" i="63"/>
  <c r="AE90" i="63" s="1"/>
  <c r="AC101" i="63"/>
  <c r="AC100" i="63" s="1"/>
  <c r="AC88" i="63"/>
  <c r="AD156" i="66"/>
  <c r="AD159" i="66" s="1"/>
  <c r="AD158" i="66"/>
  <c r="AC142" i="66" s="1"/>
  <c r="AF106" i="65"/>
  <c r="AF107" i="65" s="1"/>
  <c r="AF108" i="65" s="1"/>
  <c r="AG102" i="65"/>
  <c r="AF101" i="66"/>
  <c r="AF100" i="66" s="1"/>
  <c r="AG89" i="66"/>
  <c r="AH90" i="66" s="1"/>
  <c r="AF88" i="66"/>
  <c r="AD217" i="70"/>
  <c r="AD110" i="70"/>
  <c r="AD111" i="70" s="1"/>
  <c r="AD121" i="70"/>
  <c r="AD122" i="70" s="1"/>
  <c r="AD114" i="70"/>
  <c r="AC125" i="63"/>
  <c r="AC105" i="63"/>
  <c r="AC170" i="63" s="1"/>
  <c r="AE150" i="48"/>
  <c r="AE151" i="48" s="1"/>
  <c r="AE153" i="48" s="1"/>
  <c r="AF113" i="48"/>
  <c r="AG92" i="48" s="1"/>
  <c r="AF106" i="48"/>
  <c r="AF107" i="48" s="1"/>
  <c r="AF109" i="48"/>
  <c r="AF120" i="48"/>
  <c r="AF121" i="48" s="1"/>
  <c r="AF111" i="62"/>
  <c r="AF117" i="62" s="1"/>
  <c r="AG118" i="62" s="1"/>
  <c r="CM108" i="27"/>
  <c r="CN103" i="27"/>
  <c r="AE157" i="62"/>
  <c r="AE155" i="62"/>
  <c r="AF93" i="62"/>
  <c r="AF113" i="62"/>
  <c r="AG87" i="62" s="1"/>
  <c r="AF115" i="62"/>
  <c r="AF93" i="48"/>
  <c r="AE124" i="66" l="1"/>
  <c r="AE126" i="66" s="1"/>
  <c r="AF111" i="65"/>
  <c r="AF117" i="65" s="1"/>
  <c r="AG118" i="65" s="1"/>
  <c r="AB171" i="63"/>
  <c r="AB126" i="63"/>
  <c r="AB154" i="63"/>
  <c r="AB128" i="63"/>
  <c r="AB129" i="63" s="1"/>
  <c r="AF106" i="66"/>
  <c r="AG102" i="66"/>
  <c r="AC128" i="70"/>
  <c r="AC129" i="70" s="1"/>
  <c r="AC154" i="70"/>
  <c r="AA158" i="63"/>
  <c r="Z142" i="63" s="1"/>
  <c r="AA156" i="63"/>
  <c r="AA159" i="63" s="1"/>
  <c r="AE154" i="65"/>
  <c r="AE128" i="65"/>
  <c r="AE129" i="65" s="1"/>
  <c r="AD113" i="70"/>
  <c r="AE87" i="70" s="1"/>
  <c r="AE92" i="70"/>
  <c r="AE93" i="70" s="1"/>
  <c r="AD115" i="70"/>
  <c r="AD117" i="70"/>
  <c r="AE118" i="70" s="1"/>
  <c r="AC106" i="63"/>
  <c r="AC107" i="63" s="1"/>
  <c r="AC108" i="63" s="1"/>
  <c r="AD102" i="63"/>
  <c r="AE127" i="66"/>
  <c r="AF125" i="66"/>
  <c r="AF105" i="66"/>
  <c r="AF217" i="66" s="1"/>
  <c r="AC217" i="63"/>
  <c r="AC121" i="63"/>
  <c r="AC122" i="63" s="1"/>
  <c r="AC114" i="63"/>
  <c r="AC110" i="63"/>
  <c r="AF115" i="65"/>
  <c r="AF93" i="65"/>
  <c r="AF113" i="65"/>
  <c r="AG87" i="65" s="1"/>
  <c r="AE152" i="48"/>
  <c r="AE155" i="48" s="1"/>
  <c r="AE154" i="48"/>
  <c r="AD138" i="48" s="1"/>
  <c r="AF114" i="48"/>
  <c r="AF112" i="48"/>
  <c r="AG87" i="48" s="1"/>
  <c r="AH89" i="48" s="1"/>
  <c r="AI90" i="48" s="1"/>
  <c r="AF110" i="48"/>
  <c r="AF116" i="48" s="1"/>
  <c r="AG117" i="48" s="1"/>
  <c r="AG124" i="48" s="1"/>
  <c r="AF124" i="62"/>
  <c r="AF171" i="62" s="1"/>
  <c r="AG101" i="62"/>
  <c r="AG100" i="62" s="1"/>
  <c r="AG88" i="62"/>
  <c r="AH89" i="62"/>
  <c r="AI90" i="62" s="1"/>
  <c r="AE158" i="62"/>
  <c r="AD142" i="62" s="1"/>
  <c r="AE156" i="62"/>
  <c r="AE159" i="62" s="1"/>
  <c r="CN108" i="27"/>
  <c r="CO103" i="27"/>
  <c r="AG105" i="62"/>
  <c r="AG125" i="62"/>
  <c r="AE171" i="66" l="1"/>
  <c r="AF124" i="65"/>
  <c r="AD124" i="70"/>
  <c r="AD171" i="70" s="1"/>
  <c r="AC113" i="63"/>
  <c r="AD87" i="63" s="1"/>
  <c r="AC115" i="63"/>
  <c r="AD92" i="63"/>
  <c r="AD93" i="63" s="1"/>
  <c r="AC111" i="63"/>
  <c r="AE157" i="65"/>
  <c r="AE155" i="65"/>
  <c r="AF170" i="66"/>
  <c r="AB155" i="63"/>
  <c r="AB157" i="63"/>
  <c r="AE128" i="66"/>
  <c r="AE129" i="66" s="1"/>
  <c r="AE154" i="66"/>
  <c r="AD127" i="70"/>
  <c r="AE101" i="70"/>
  <c r="AE100" i="70" s="1"/>
  <c r="AF89" i="70"/>
  <c r="AG90" i="70" s="1"/>
  <c r="AE88" i="70"/>
  <c r="AG125" i="65"/>
  <c r="AG105" i="65"/>
  <c r="AG217" i="65" s="1"/>
  <c r="AG101" i="65"/>
  <c r="AG100" i="65" s="1"/>
  <c r="AG88" i="65"/>
  <c r="AH89" i="65"/>
  <c r="AI90" i="65" s="1"/>
  <c r="AF107" i="66"/>
  <c r="AF108" i="66" s="1"/>
  <c r="AF121" i="66"/>
  <c r="AF122" i="66" s="1"/>
  <c r="AF110" i="66"/>
  <c r="AF114" i="66"/>
  <c r="AG92" i="66" s="1"/>
  <c r="AE125" i="70"/>
  <c r="AE105" i="70"/>
  <c r="AE217" i="70" s="1"/>
  <c r="AC155" i="70"/>
  <c r="AC157" i="70"/>
  <c r="AF127" i="65"/>
  <c r="AF126" i="65"/>
  <c r="AF171" i="65"/>
  <c r="AG88" i="48"/>
  <c r="AG100" i="48"/>
  <c r="AG99" i="48" s="1"/>
  <c r="AG105" i="48" s="1"/>
  <c r="AG104" i="48"/>
  <c r="AG166" i="48" s="1"/>
  <c r="AF123" i="48"/>
  <c r="AF126" i="48" s="1"/>
  <c r="AF126" i="62"/>
  <c r="AF127" i="62"/>
  <c r="AG110" i="62"/>
  <c r="AG121" i="62"/>
  <c r="AG122" i="62" s="1"/>
  <c r="AG114" i="62"/>
  <c r="AH92" i="62" s="1"/>
  <c r="AG170" i="62"/>
  <c r="CO108" i="27"/>
  <c r="CP103" i="27"/>
  <c r="AG217" i="62"/>
  <c r="AG106" i="62"/>
  <c r="AG107" i="62" s="1"/>
  <c r="AG108" i="62" s="1"/>
  <c r="AH102" i="62"/>
  <c r="AD126" i="70" l="1"/>
  <c r="AF111" i="66"/>
  <c r="AE170" i="70"/>
  <c r="AE110" i="70"/>
  <c r="AE121" i="70"/>
  <c r="AE122" i="70" s="1"/>
  <c r="AE114" i="70"/>
  <c r="AE106" i="70"/>
  <c r="AE107" i="70" s="1"/>
  <c r="AE108" i="70" s="1"/>
  <c r="AF102" i="70"/>
  <c r="AE155" i="66"/>
  <c r="AE157" i="66"/>
  <c r="AC117" i="63"/>
  <c r="AD118" i="63" s="1"/>
  <c r="AF128" i="65"/>
  <c r="AF129" i="65" s="1"/>
  <c r="AF154" i="65"/>
  <c r="AF117" i="66"/>
  <c r="AG118" i="66" s="1"/>
  <c r="AG106" i="65"/>
  <c r="AG107" i="65" s="1"/>
  <c r="AG108" i="65" s="1"/>
  <c r="AH102" i="65"/>
  <c r="AF113" i="66"/>
  <c r="AG87" i="66" s="1"/>
  <c r="AF93" i="66"/>
  <c r="AF115" i="66"/>
  <c r="AG170" i="65"/>
  <c r="AG114" i="65"/>
  <c r="AH92" i="65" s="1"/>
  <c r="AG110" i="65"/>
  <c r="AG121" i="65"/>
  <c r="AG122" i="65" s="1"/>
  <c r="AE158" i="65"/>
  <c r="AD142" i="65" s="1"/>
  <c r="AE156" i="65"/>
  <c r="AE159" i="65" s="1"/>
  <c r="AC156" i="70"/>
  <c r="AC159" i="70" s="1"/>
  <c r="AC158" i="70"/>
  <c r="AB142" i="70" s="1"/>
  <c r="AD128" i="70"/>
  <c r="AD129" i="70" s="1"/>
  <c r="AD154" i="70"/>
  <c r="AB156" i="63"/>
  <c r="AB159" i="63" s="1"/>
  <c r="AB158" i="63"/>
  <c r="AA142" i="63" s="1"/>
  <c r="AD101" i="63"/>
  <c r="AD100" i="63" s="1"/>
  <c r="AE89" i="63"/>
  <c r="AF90" i="63" s="1"/>
  <c r="AD88" i="63"/>
  <c r="AH101" i="48"/>
  <c r="AG120" i="48"/>
  <c r="AG121" i="48" s="1"/>
  <c r="AG109" i="48"/>
  <c r="AG113" i="48"/>
  <c r="AH92" i="48" s="1"/>
  <c r="AG106" i="48"/>
  <c r="AG107" i="48" s="1"/>
  <c r="AF167" i="48"/>
  <c r="AF154" i="62"/>
  <c r="AF155" i="62" s="1"/>
  <c r="AF128" i="62"/>
  <c r="AF129" i="62" s="1"/>
  <c r="AF150" i="48"/>
  <c r="AF151" i="48" s="1"/>
  <c r="AF154" i="48" s="1"/>
  <c r="AE138" i="48" s="1"/>
  <c r="AF127" i="48"/>
  <c r="AF128" i="48" s="1"/>
  <c r="AF125" i="48"/>
  <c r="AG111" i="62"/>
  <c r="AG117" i="62" s="1"/>
  <c r="CP108" i="27"/>
  <c r="CQ103" i="27"/>
  <c r="AG93" i="62"/>
  <c r="AG115" i="62"/>
  <c r="AG113" i="62"/>
  <c r="AH87" i="62" s="1"/>
  <c r="AG93" i="48"/>
  <c r="AG111" i="65" l="1"/>
  <c r="AE111" i="70"/>
  <c r="AG117" i="65"/>
  <c r="AH118" i="65" s="1"/>
  <c r="AH89" i="66"/>
  <c r="AI90" i="66" s="1"/>
  <c r="AG101" i="66"/>
  <c r="AG100" i="66" s="1"/>
  <c r="AG88" i="66"/>
  <c r="AF157" i="65"/>
  <c r="AF155" i="65"/>
  <c r="AE115" i="70"/>
  <c r="AE113" i="70"/>
  <c r="AF87" i="70" s="1"/>
  <c r="AF92" i="70"/>
  <c r="AF93" i="70" s="1"/>
  <c r="AE156" i="66"/>
  <c r="AE159" i="66" s="1"/>
  <c r="AE158" i="66"/>
  <c r="AD142" i="66" s="1"/>
  <c r="AD155" i="70"/>
  <c r="AD157" i="70"/>
  <c r="AF124" i="66"/>
  <c r="AC124" i="63"/>
  <c r="AD106" i="63"/>
  <c r="AE102" i="63"/>
  <c r="AG115" i="65"/>
  <c r="AG93" i="65"/>
  <c r="AG113" i="65"/>
  <c r="AH87" i="65" s="1"/>
  <c r="AG125" i="66"/>
  <c r="AG105" i="66"/>
  <c r="AG170" i="66" s="1"/>
  <c r="AD125" i="63"/>
  <c r="AD105" i="63"/>
  <c r="AD217" i="63" s="1"/>
  <c r="AE117" i="70"/>
  <c r="AF118" i="70" s="1"/>
  <c r="AG112" i="48"/>
  <c r="AH87" i="48" s="1"/>
  <c r="AI89" i="48" s="1"/>
  <c r="AJ90" i="48" s="1"/>
  <c r="AG110" i="48"/>
  <c r="AG116" i="48" s="1"/>
  <c r="AH117" i="48" s="1"/>
  <c r="AH124" i="48" s="1"/>
  <c r="AG114" i="48"/>
  <c r="AF152" i="48"/>
  <c r="AF155" i="48" s="1"/>
  <c r="AF153" i="48"/>
  <c r="AF157" i="62"/>
  <c r="AH118" i="62"/>
  <c r="AH105" i="62" s="1"/>
  <c r="AG124" i="62"/>
  <c r="AG171" i="62" s="1"/>
  <c r="AF158" i="62"/>
  <c r="AE142" i="62" s="1"/>
  <c r="AF156" i="62"/>
  <c r="AF159" i="62" s="1"/>
  <c r="AH88" i="62"/>
  <c r="AH101" i="62"/>
  <c r="AH100" i="62" s="1"/>
  <c r="AI89" i="62"/>
  <c r="AJ90" i="62" s="1"/>
  <c r="CQ108" i="27"/>
  <c r="CR103" i="27"/>
  <c r="AG217" i="66" l="1"/>
  <c r="AG124" i="65"/>
  <c r="AE124" i="70"/>
  <c r="AE127" i="70" s="1"/>
  <c r="AF127" i="66"/>
  <c r="AF126" i="66"/>
  <c r="AF171" i="66"/>
  <c r="AF158" i="65"/>
  <c r="AE142" i="65" s="1"/>
  <c r="AF156" i="65"/>
  <c r="AF159" i="65" s="1"/>
  <c r="AG106" i="66"/>
  <c r="AH102" i="66"/>
  <c r="AD170" i="63"/>
  <c r="AD114" i="63"/>
  <c r="AD110" i="63"/>
  <c r="AD121" i="63"/>
  <c r="AD122" i="63" s="1"/>
  <c r="AI89" i="65"/>
  <c r="AJ90" i="65" s="1"/>
  <c r="AH88" i="65"/>
  <c r="AH101" i="65"/>
  <c r="AH100" i="65" s="1"/>
  <c r="AD107" i="63"/>
  <c r="AD108" i="63" s="1"/>
  <c r="AE126" i="70"/>
  <c r="AD158" i="70"/>
  <c r="AC142" i="70" s="1"/>
  <c r="AD156" i="70"/>
  <c r="AD159" i="70" s="1"/>
  <c r="AF101" i="70"/>
  <c r="AF100" i="70" s="1"/>
  <c r="AF88" i="70"/>
  <c r="AG89" i="70"/>
  <c r="AH90" i="70" s="1"/>
  <c r="AG127" i="65"/>
  <c r="AG126" i="65"/>
  <c r="AG171" i="65"/>
  <c r="AF125" i="70"/>
  <c r="AF105" i="70"/>
  <c r="AF217" i="70" s="1"/>
  <c r="AG114" i="66"/>
  <c r="AH92" i="66" s="1"/>
  <c r="AG110" i="66"/>
  <c r="AG121" i="66"/>
  <c r="AG122" i="66" s="1"/>
  <c r="AG107" i="66"/>
  <c r="AG108" i="66" s="1"/>
  <c r="AC171" i="63"/>
  <c r="AC126" i="63"/>
  <c r="AC127" i="63"/>
  <c r="AH125" i="65"/>
  <c r="AH105" i="65"/>
  <c r="AH170" i="65" s="1"/>
  <c r="AH100" i="48"/>
  <c r="AH99" i="48" s="1"/>
  <c r="AI101" i="48" s="1"/>
  <c r="AH88" i="48"/>
  <c r="AG123" i="48"/>
  <c r="AG126" i="48" s="1"/>
  <c r="AG127" i="48" s="1"/>
  <c r="AH104" i="48"/>
  <c r="AH166" i="48" s="1"/>
  <c r="AH125" i="62"/>
  <c r="AG126" i="62"/>
  <c r="AG127" i="62"/>
  <c r="AG128" i="62" s="1"/>
  <c r="AG129" i="62" s="1"/>
  <c r="AH121" i="62"/>
  <c r="AH122" i="62" s="1"/>
  <c r="AH114" i="62"/>
  <c r="AI92" i="62" s="1"/>
  <c r="AH110" i="62"/>
  <c r="AH217" i="62"/>
  <c r="CR108" i="27"/>
  <c r="CS103" i="27"/>
  <c r="AH106" i="62"/>
  <c r="AH107" i="62" s="1"/>
  <c r="AH108" i="62" s="1"/>
  <c r="AI102" i="62"/>
  <c r="AH170" i="62"/>
  <c r="AE171" i="70" l="1"/>
  <c r="AD111" i="63"/>
  <c r="AG111" i="66"/>
  <c r="AG128" i="65"/>
  <c r="AG129" i="65" s="1"/>
  <c r="AG154" i="65"/>
  <c r="AD113" i="63"/>
  <c r="AE87" i="63" s="1"/>
  <c r="AE92" i="63"/>
  <c r="AE93" i="63" s="1"/>
  <c r="AD115" i="63"/>
  <c r="AH110" i="65"/>
  <c r="AH121" i="65"/>
  <c r="AH122" i="65" s="1"/>
  <c r="AH114" i="65"/>
  <c r="AI92" i="65" s="1"/>
  <c r="AD117" i="63"/>
  <c r="AE118" i="63" s="1"/>
  <c r="AC128" i="63"/>
  <c r="AC129" i="63" s="1"/>
  <c r="AC154" i="63"/>
  <c r="AG93" i="66"/>
  <c r="AG115" i="66"/>
  <c r="AG113" i="66"/>
  <c r="AH87" i="66" s="1"/>
  <c r="AF128" i="66"/>
  <c r="AF129" i="66" s="1"/>
  <c r="AF154" i="66"/>
  <c r="AH217" i="65"/>
  <c r="AF170" i="70"/>
  <c r="AF110" i="70"/>
  <c r="AF121" i="70"/>
  <c r="AF122" i="70" s="1"/>
  <c r="AF114" i="70"/>
  <c r="AF106" i="70"/>
  <c r="AF107" i="70" s="1"/>
  <c r="AF108" i="70" s="1"/>
  <c r="AG102" i="70"/>
  <c r="AE128" i="70"/>
  <c r="AE129" i="70" s="1"/>
  <c r="AE154" i="70"/>
  <c r="AH106" i="65"/>
  <c r="AH107" i="65" s="1"/>
  <c r="AH108" i="65" s="1"/>
  <c r="AH111" i="65" s="1"/>
  <c r="AI102" i="65"/>
  <c r="AG125" i="48"/>
  <c r="AG167" i="48"/>
  <c r="AH105" i="48"/>
  <c r="AH106" i="48" s="1"/>
  <c r="AH107" i="48" s="1"/>
  <c r="AH109" i="48"/>
  <c r="AH120" i="48"/>
  <c r="AH121" i="48" s="1"/>
  <c r="AH113" i="48"/>
  <c r="AI92" i="48" s="1"/>
  <c r="AH111" i="62"/>
  <c r="AH117" i="62" s="1"/>
  <c r="AI118" i="62" s="1"/>
  <c r="AG154" i="62"/>
  <c r="AG157" i="62" s="1"/>
  <c r="AH113" i="62"/>
  <c r="AI87" i="62" s="1"/>
  <c r="AH93" i="62"/>
  <c r="AH115" i="62"/>
  <c r="CS108" i="27"/>
  <c r="CT103" i="27"/>
  <c r="AG128" i="48"/>
  <c r="AG150" i="48"/>
  <c r="AG151" i="48" s="1"/>
  <c r="AH93" i="48"/>
  <c r="AG117" i="66" l="1"/>
  <c r="AH118" i="66" s="1"/>
  <c r="AH117" i="65"/>
  <c r="AI118" i="65" s="1"/>
  <c r="AF155" i="66"/>
  <c r="AF157" i="66"/>
  <c r="AD124" i="63"/>
  <c r="AG157" i="65"/>
  <c r="AG155" i="65"/>
  <c r="AE125" i="63"/>
  <c r="AE105" i="63"/>
  <c r="AE170" i="63" s="1"/>
  <c r="AF111" i="70"/>
  <c r="AC155" i="63"/>
  <c r="AC157" i="63"/>
  <c r="AH93" i="65"/>
  <c r="AH113" i="65"/>
  <c r="AI87" i="65" s="1"/>
  <c r="AH115" i="65"/>
  <c r="AE155" i="70"/>
  <c r="AE157" i="70"/>
  <c r="AF115" i="70"/>
  <c r="AF113" i="70"/>
  <c r="AG87" i="70" s="1"/>
  <c r="AG92" i="70"/>
  <c r="AG93" i="70" s="1"/>
  <c r="AI89" i="66"/>
  <c r="AJ90" i="66" s="1"/>
  <c r="AH88" i="66"/>
  <c r="AH101" i="66"/>
  <c r="AH100" i="66" s="1"/>
  <c r="AE88" i="63"/>
  <c r="AF89" i="63"/>
  <c r="AG90" i="63" s="1"/>
  <c r="AE101" i="63"/>
  <c r="AE100" i="63" s="1"/>
  <c r="AH125" i="66"/>
  <c r="AH105" i="66"/>
  <c r="AH217" i="66" s="1"/>
  <c r="AH110" i="48"/>
  <c r="AH116" i="48" s="1"/>
  <c r="AI117" i="48" s="1"/>
  <c r="AI104" i="48" s="1"/>
  <c r="AI166" i="48" s="1"/>
  <c r="AH114" i="48"/>
  <c r="AH112" i="48"/>
  <c r="AI87" i="48" s="1"/>
  <c r="AI88" i="48" s="1"/>
  <c r="AG155" i="62"/>
  <c r="AG156" i="62" s="1"/>
  <c r="AG159" i="62" s="1"/>
  <c r="AH124" i="62"/>
  <c r="AH126" i="62" s="1"/>
  <c r="AI88" i="62"/>
  <c r="AI101" i="62"/>
  <c r="AI100" i="62" s="1"/>
  <c r="AJ89" i="62"/>
  <c r="AK90" i="62" s="1"/>
  <c r="CT108" i="27"/>
  <c r="CU103" i="27"/>
  <c r="AI125" i="62"/>
  <c r="AI105" i="62"/>
  <c r="AI217" i="62" s="1"/>
  <c r="AG153" i="48"/>
  <c r="AG154" i="48"/>
  <c r="AF138" i="48" s="1"/>
  <c r="AG152" i="48"/>
  <c r="AG155" i="48" s="1"/>
  <c r="AG124" i="66" l="1"/>
  <c r="AH124" i="65"/>
  <c r="AH126" i="65" s="1"/>
  <c r="AH170" i="66"/>
  <c r="AG158" i="65"/>
  <c r="AF142" i="65" s="1"/>
  <c r="AG156" i="65"/>
  <c r="AG159" i="65" s="1"/>
  <c r="AF158" i="66"/>
  <c r="AE142" i="66" s="1"/>
  <c r="AF156" i="66"/>
  <c r="AF159" i="66" s="1"/>
  <c r="AE217" i="63"/>
  <c r="AE110" i="63"/>
  <c r="AE114" i="63"/>
  <c r="AE121" i="63"/>
  <c r="AE122" i="63" s="1"/>
  <c r="AH114" i="66"/>
  <c r="AI92" i="66" s="1"/>
  <c r="AH110" i="66"/>
  <c r="AH121" i="66"/>
  <c r="AH122" i="66" s="1"/>
  <c r="AE156" i="70"/>
  <c r="AE159" i="70" s="1"/>
  <c r="AE158" i="70"/>
  <c r="AD142" i="70" s="1"/>
  <c r="AC158" i="63"/>
  <c r="AB142" i="63" s="1"/>
  <c r="AC156" i="63"/>
  <c r="AC159" i="63" s="1"/>
  <c r="AD171" i="63"/>
  <c r="AD126" i="63"/>
  <c r="AD127" i="63"/>
  <c r="AH171" i="65"/>
  <c r="AE106" i="63"/>
  <c r="AE107" i="63" s="1"/>
  <c r="AE108" i="63" s="1"/>
  <c r="AF102" i="63"/>
  <c r="AH106" i="66"/>
  <c r="AH107" i="66" s="1"/>
  <c r="AH108" i="66" s="1"/>
  <c r="AH111" i="66" s="1"/>
  <c r="AI102" i="66"/>
  <c r="AH89" i="70"/>
  <c r="AI90" i="70" s="1"/>
  <c r="AG101" i="70"/>
  <c r="AG100" i="70" s="1"/>
  <c r="AG88" i="70"/>
  <c r="AI88" i="65"/>
  <c r="AI101" i="65"/>
  <c r="AI100" i="65" s="1"/>
  <c r="AJ89" i="65"/>
  <c r="AK90" i="65" s="1"/>
  <c r="AF117" i="70"/>
  <c r="AG118" i="70" s="1"/>
  <c r="AI125" i="65"/>
  <c r="AI105" i="65"/>
  <c r="AI217" i="65" s="1"/>
  <c r="AI124" i="48"/>
  <c r="AH123" i="48"/>
  <c r="AH167" i="48" s="1"/>
  <c r="AJ89" i="48"/>
  <c r="AK90" i="48" s="1"/>
  <c r="AI100" i="48"/>
  <c r="AI99" i="48" s="1"/>
  <c r="AI105" i="48" s="1"/>
  <c r="AI106" i="48" s="1"/>
  <c r="AI107" i="48" s="1"/>
  <c r="AH127" i="62"/>
  <c r="AG158" i="62"/>
  <c r="AF142" i="62" s="1"/>
  <c r="AH171" i="62"/>
  <c r="AI106" i="62"/>
  <c r="AI107" i="62" s="1"/>
  <c r="AI108" i="62" s="1"/>
  <c r="AJ102" i="62"/>
  <c r="CU108" i="27"/>
  <c r="CV103" i="27"/>
  <c r="AI170" i="62"/>
  <c r="AI114" i="62"/>
  <c r="AJ92" i="62" s="1"/>
  <c r="AI121" i="62"/>
  <c r="AI122" i="62" s="1"/>
  <c r="AI110" i="62"/>
  <c r="AI120" i="48"/>
  <c r="AI121" i="48" s="1"/>
  <c r="AI113" i="48"/>
  <c r="AJ92" i="48" s="1"/>
  <c r="AI109" i="48"/>
  <c r="AE111" i="63" l="1"/>
  <c r="AE117" i="63" s="1"/>
  <c r="AF118" i="63" s="1"/>
  <c r="AG127" i="66"/>
  <c r="AG126" i="66"/>
  <c r="AG171" i="66"/>
  <c r="AH127" i="65"/>
  <c r="AH128" i="65" s="1"/>
  <c r="AH129" i="65" s="1"/>
  <c r="AH117" i="66"/>
  <c r="AI118" i="66" s="1"/>
  <c r="AI170" i="65"/>
  <c r="AG125" i="70"/>
  <c r="AG105" i="70"/>
  <c r="AD128" i="63"/>
  <c r="AD129" i="63" s="1"/>
  <c r="AD154" i="63"/>
  <c r="AH113" i="66"/>
  <c r="AI87" i="66" s="1"/>
  <c r="AH93" i="66"/>
  <c r="AH115" i="66"/>
  <c r="AI114" i="65"/>
  <c r="AJ92" i="65" s="1"/>
  <c r="AI121" i="65"/>
  <c r="AI122" i="65" s="1"/>
  <c r="AI110" i="65"/>
  <c r="AG106" i="70"/>
  <c r="AH102" i="70"/>
  <c r="AH154" i="65"/>
  <c r="AF124" i="70"/>
  <c r="AI106" i="65"/>
  <c r="AI107" i="65" s="1"/>
  <c r="AI108" i="65" s="1"/>
  <c r="AI111" i="65" s="1"/>
  <c r="AI117" i="65" s="1"/>
  <c r="AJ102" i="65"/>
  <c r="AF92" i="63"/>
  <c r="AF93" i="63" s="1"/>
  <c r="AE113" i="63"/>
  <c r="AF87" i="63" s="1"/>
  <c r="AE115" i="63"/>
  <c r="AH126" i="48"/>
  <c r="AH127" i="48" s="1"/>
  <c r="AH128" i="48" s="1"/>
  <c r="AH125" i="48"/>
  <c r="AJ101" i="48"/>
  <c r="AH154" i="62"/>
  <c r="AH157" i="62" s="1"/>
  <c r="AH128" i="62"/>
  <c r="AH129" i="62" s="1"/>
  <c r="CV108" i="27"/>
  <c r="CW103" i="27"/>
  <c r="AI111" i="62"/>
  <c r="AI117" i="62" s="1"/>
  <c r="AI93" i="62"/>
  <c r="AI115" i="62"/>
  <c r="AI113" i="62"/>
  <c r="AJ87" i="62" s="1"/>
  <c r="AI110" i="48"/>
  <c r="AI116" i="48" s="1"/>
  <c r="AJ117" i="48" s="1"/>
  <c r="AI112" i="48"/>
  <c r="AJ87" i="48" s="1"/>
  <c r="AI93" i="48"/>
  <c r="AI114" i="48"/>
  <c r="AG107" i="70" l="1"/>
  <c r="AG108" i="70" s="1"/>
  <c r="AH124" i="66"/>
  <c r="AH126" i="66" s="1"/>
  <c r="AG154" i="66"/>
  <c r="AG128" i="66"/>
  <c r="AG129" i="66" s="1"/>
  <c r="AI124" i="65"/>
  <c r="AJ118" i="65"/>
  <c r="AD157" i="63"/>
  <c r="AD155" i="63"/>
  <c r="AF101" i="63"/>
  <c r="AF100" i="63" s="1"/>
  <c r="AF88" i="63"/>
  <c r="AG89" i="63"/>
  <c r="AH90" i="63" s="1"/>
  <c r="AG110" i="70"/>
  <c r="AG121" i="70"/>
  <c r="AG122" i="70" s="1"/>
  <c r="AG114" i="70"/>
  <c r="AE124" i="63"/>
  <c r="AG217" i="70"/>
  <c r="AF126" i="70"/>
  <c r="AF127" i="70"/>
  <c r="AF171" i="70"/>
  <c r="AH157" i="65"/>
  <c r="AH155" i="65"/>
  <c r="AI115" i="65"/>
  <c r="AI113" i="65"/>
  <c r="AJ87" i="65" s="1"/>
  <c r="AI93" i="65"/>
  <c r="AI88" i="66"/>
  <c r="AI101" i="66"/>
  <c r="AI100" i="66" s="1"/>
  <c r="AJ89" i="66"/>
  <c r="AK90" i="66" s="1"/>
  <c r="AF105" i="63"/>
  <c r="AF170" i="63" s="1"/>
  <c r="AF125" i="63"/>
  <c r="AG170" i="70"/>
  <c r="AI125" i="66"/>
  <c r="AI105" i="66"/>
  <c r="AI170" i="66" s="1"/>
  <c r="AH150" i="48"/>
  <c r="AH151" i="48" s="1"/>
  <c r="AH153" i="48" s="1"/>
  <c r="AH155" i="62"/>
  <c r="AH156" i="62" s="1"/>
  <c r="AH159" i="62" s="1"/>
  <c r="AI124" i="62"/>
  <c r="AJ118" i="62"/>
  <c r="CW108" i="27"/>
  <c r="CX103" i="27"/>
  <c r="AK89" i="62"/>
  <c r="AL90" i="62" s="1"/>
  <c r="AJ101" i="62"/>
  <c r="AJ100" i="62" s="1"/>
  <c r="AJ88" i="62"/>
  <c r="AI123" i="48"/>
  <c r="AI126" i="48" s="1"/>
  <c r="AI127" i="48" s="1"/>
  <c r="AJ124" i="48"/>
  <c r="AJ104" i="48"/>
  <c r="AJ166" i="48" s="1"/>
  <c r="AJ100" i="48"/>
  <c r="AJ99" i="48" s="1"/>
  <c r="AJ88" i="48"/>
  <c r="AK89" i="48"/>
  <c r="AL90" i="48" s="1"/>
  <c r="AG111" i="70" l="1"/>
  <c r="AH171" i="66"/>
  <c r="AH127" i="66"/>
  <c r="AG157" i="66"/>
  <c r="AG155" i="66"/>
  <c r="AG117" i="70"/>
  <c r="AH118" i="70" s="1"/>
  <c r="AI217" i="66"/>
  <c r="AJ88" i="65"/>
  <c r="AK89" i="65"/>
  <c r="AL90" i="65" s="1"/>
  <c r="AJ101" i="65"/>
  <c r="AJ100" i="65" s="1"/>
  <c r="AH128" i="66"/>
  <c r="AH129" i="66" s="1"/>
  <c r="AH154" i="66"/>
  <c r="AG115" i="70"/>
  <c r="AH92" i="70"/>
  <c r="AH93" i="70" s="1"/>
  <c r="AG113" i="70"/>
  <c r="AH87" i="70" s="1"/>
  <c r="AD156" i="63"/>
  <c r="AD159" i="63" s="1"/>
  <c r="AD158" i="63"/>
  <c r="AC142" i="63" s="1"/>
  <c r="AI106" i="66"/>
  <c r="AI107" i="66" s="1"/>
  <c r="AI108" i="66" s="1"/>
  <c r="AJ102" i="66"/>
  <c r="AF128" i="70"/>
  <c r="AF129" i="70" s="1"/>
  <c r="AF154" i="70"/>
  <c r="AI121" i="66"/>
  <c r="AI122" i="66" s="1"/>
  <c r="AI110" i="66"/>
  <c r="AI114" i="66"/>
  <c r="AJ92" i="66" s="1"/>
  <c r="AF217" i="63"/>
  <c r="AF121" i="63"/>
  <c r="AF122" i="63" s="1"/>
  <c r="AF110" i="63"/>
  <c r="AF114" i="63"/>
  <c r="AH158" i="65"/>
  <c r="AG142" i="65" s="1"/>
  <c r="AH156" i="65"/>
  <c r="AH159" i="65" s="1"/>
  <c r="AF106" i="63"/>
  <c r="AF107" i="63" s="1"/>
  <c r="AF108" i="63" s="1"/>
  <c r="AF111" i="63" s="1"/>
  <c r="AG102" i="63"/>
  <c r="AJ125" i="65"/>
  <c r="AJ105" i="65"/>
  <c r="AJ217" i="65" s="1"/>
  <c r="AE127" i="63"/>
  <c r="AE126" i="63"/>
  <c r="AE171" i="63"/>
  <c r="AI127" i="65"/>
  <c r="AI126" i="65"/>
  <c r="AI171" i="65"/>
  <c r="AH154" i="48"/>
  <c r="AG138" i="48" s="1"/>
  <c r="AH152" i="48"/>
  <c r="AH155" i="48" s="1"/>
  <c r="AH158" i="62"/>
  <c r="AG142" i="62" s="1"/>
  <c r="AI125" i="48"/>
  <c r="AJ125" i="62"/>
  <c r="AJ105" i="62"/>
  <c r="AJ170" i="62" s="1"/>
  <c r="AI167" i="48"/>
  <c r="AJ106" i="62"/>
  <c r="AK102" i="62"/>
  <c r="AI126" i="62"/>
  <c r="AI127" i="62"/>
  <c r="AI128" i="62" s="1"/>
  <c r="AI129" i="62" s="1"/>
  <c r="AI171" i="62"/>
  <c r="CX108" i="27"/>
  <c r="CY103" i="27"/>
  <c r="AJ120" i="48"/>
  <c r="AJ121" i="48" s="1"/>
  <c r="AJ109" i="48"/>
  <c r="AJ113" i="48"/>
  <c r="AK92" i="48" s="1"/>
  <c r="AJ105" i="48"/>
  <c r="AJ106" i="48" s="1"/>
  <c r="AJ107" i="48" s="1"/>
  <c r="AK101" i="48"/>
  <c r="AI128" i="48"/>
  <c r="AI150" i="48"/>
  <c r="AI151" i="48" s="1"/>
  <c r="AI111" i="66" l="1"/>
  <c r="AG124" i="70"/>
  <c r="AG127" i="70" s="1"/>
  <c r="AG156" i="66"/>
  <c r="AG159" i="66" s="1"/>
  <c r="AG158" i="66"/>
  <c r="AF142" i="66" s="1"/>
  <c r="AI117" i="66"/>
  <c r="AJ118" i="66" s="1"/>
  <c r="AF117" i="63"/>
  <c r="AG118" i="63" s="1"/>
  <c r="AH101" i="70"/>
  <c r="AH100" i="70" s="1"/>
  <c r="AI89" i="70"/>
  <c r="AJ90" i="70" s="1"/>
  <c r="AH88" i="70"/>
  <c r="AF155" i="70"/>
  <c r="AF157" i="70"/>
  <c r="AI128" i="65"/>
  <c r="AI129" i="65" s="1"/>
  <c r="AI154" i="65"/>
  <c r="AE128" i="63"/>
  <c r="AE129" i="63" s="1"/>
  <c r="AE154" i="63"/>
  <c r="AI115" i="66"/>
  <c r="AI113" i="66"/>
  <c r="AJ87" i="66" s="1"/>
  <c r="AI93" i="66"/>
  <c r="AJ106" i="65"/>
  <c r="AJ107" i="65" s="1"/>
  <c r="AJ108" i="65" s="1"/>
  <c r="AK102" i="65"/>
  <c r="AG126" i="70"/>
  <c r="AJ170" i="65"/>
  <c r="AJ114" i="65"/>
  <c r="AK92" i="65" s="1"/>
  <c r="AJ110" i="65"/>
  <c r="AJ121" i="65"/>
  <c r="AJ122" i="65" s="1"/>
  <c r="AF115" i="63"/>
  <c r="AG92" i="63"/>
  <c r="AG93" i="63" s="1"/>
  <c r="AF113" i="63"/>
  <c r="AG87" i="63" s="1"/>
  <c r="AH155" i="66"/>
  <c r="AH157" i="66"/>
  <c r="AH125" i="70"/>
  <c r="AH105" i="70"/>
  <c r="AJ110" i="48"/>
  <c r="AJ116" i="48" s="1"/>
  <c r="AK117" i="48" s="1"/>
  <c r="AJ217" i="62"/>
  <c r="AI154" i="62"/>
  <c r="CY108" i="27"/>
  <c r="CZ103" i="27"/>
  <c r="AJ121" i="62"/>
  <c r="AJ122" i="62" s="1"/>
  <c r="AJ107" i="62"/>
  <c r="AJ108" i="62" s="1"/>
  <c r="AJ110" i="62"/>
  <c r="AJ114" i="62"/>
  <c r="AK92" i="62" s="1"/>
  <c r="AI154" i="48"/>
  <c r="AH138" i="48" s="1"/>
  <c r="AI152" i="48"/>
  <c r="AI155" i="48" s="1"/>
  <c r="AI153" i="48"/>
  <c r="AJ114" i="48"/>
  <c r="AJ93" i="48"/>
  <c r="AJ112" i="48"/>
  <c r="AK87" i="48" s="1"/>
  <c r="AG171" i="70" l="1"/>
  <c r="AI124" i="66"/>
  <c r="AI126" i="66" s="1"/>
  <c r="AJ111" i="65"/>
  <c r="AJ117" i="65" s="1"/>
  <c r="AK118" i="65" s="1"/>
  <c r="AF124" i="63"/>
  <c r="AF171" i="63" s="1"/>
  <c r="AJ88" i="66"/>
  <c r="AJ101" i="66"/>
  <c r="AJ100" i="66" s="1"/>
  <c r="AK89" i="66"/>
  <c r="AL90" i="66" s="1"/>
  <c r="AF158" i="70"/>
  <c r="AE142" i="70" s="1"/>
  <c r="AF156" i="70"/>
  <c r="AF159" i="70" s="1"/>
  <c r="AH217" i="70"/>
  <c r="AH110" i="70"/>
  <c r="AH121" i="70"/>
  <c r="AH122" i="70" s="1"/>
  <c r="AH114" i="70"/>
  <c r="AH156" i="66"/>
  <c r="AH159" i="66" s="1"/>
  <c r="AH158" i="66"/>
  <c r="AG142" i="66" s="1"/>
  <c r="AI157" i="65"/>
  <c r="AI155" i="65"/>
  <c r="AG125" i="63"/>
  <c r="AG105" i="63"/>
  <c r="AH170" i="70"/>
  <c r="AJ113" i="65"/>
  <c r="AK87" i="65" s="1"/>
  <c r="AJ93" i="65"/>
  <c r="AJ115" i="65"/>
  <c r="AI171" i="66"/>
  <c r="AG101" i="63"/>
  <c r="AG100" i="63" s="1"/>
  <c r="AG88" i="63"/>
  <c r="AH89" i="63"/>
  <c r="AI90" i="63" s="1"/>
  <c r="AG128" i="70"/>
  <c r="AG129" i="70" s="1"/>
  <c r="AG154" i="70"/>
  <c r="AE155" i="63"/>
  <c r="AE157" i="63"/>
  <c r="AH106" i="70"/>
  <c r="AH107" i="70" s="1"/>
  <c r="AH108" i="70" s="1"/>
  <c r="AI102" i="70"/>
  <c r="AJ125" i="66"/>
  <c r="AJ105" i="66"/>
  <c r="AJ217" i="66" s="1"/>
  <c r="AJ111" i="62"/>
  <c r="AJ117" i="62" s="1"/>
  <c r="AK118" i="62" s="1"/>
  <c r="AJ113" i="62"/>
  <c r="AK87" i="62" s="1"/>
  <c r="AJ93" i="62"/>
  <c r="AJ115" i="62"/>
  <c r="AI155" i="62"/>
  <c r="AI157" i="62"/>
  <c r="CZ108" i="27"/>
  <c r="DA103" i="27"/>
  <c r="AL89" i="48"/>
  <c r="AM90" i="48" s="1"/>
  <c r="AK88" i="48"/>
  <c r="AK100" i="48"/>
  <c r="AK99" i="48" s="1"/>
  <c r="AK124" i="48"/>
  <c r="AK104" i="48"/>
  <c r="AK166" i="48" s="1"/>
  <c r="AJ123" i="48"/>
  <c r="AH111" i="70" l="1"/>
  <c r="AI127" i="66"/>
  <c r="AJ170" i="66"/>
  <c r="AJ124" i="65"/>
  <c r="AJ126" i="65" s="1"/>
  <c r="AF127" i="63"/>
  <c r="AF126" i="63"/>
  <c r="AH117" i="70"/>
  <c r="AI118" i="70" s="1"/>
  <c r="AL89" i="65"/>
  <c r="AM90" i="65" s="1"/>
  <c r="AK88" i="65"/>
  <c r="AK101" i="65"/>
  <c r="AK100" i="65" s="1"/>
  <c r="AG110" i="63"/>
  <c r="AG121" i="63"/>
  <c r="AG122" i="63" s="1"/>
  <c r="AG114" i="63"/>
  <c r="AG106" i="63"/>
  <c r="AG107" i="63" s="1"/>
  <c r="AG108" i="63" s="1"/>
  <c r="AH102" i="63"/>
  <c r="AI154" i="66"/>
  <c r="AI128" i="66"/>
  <c r="AI129" i="66" s="1"/>
  <c r="AJ106" i="66"/>
  <c r="AJ107" i="66" s="1"/>
  <c r="AJ108" i="66" s="1"/>
  <c r="AK102" i="66"/>
  <c r="AJ114" i="66"/>
  <c r="AK92" i="66" s="1"/>
  <c r="AJ110" i="66"/>
  <c r="AJ121" i="66"/>
  <c r="AJ122" i="66" s="1"/>
  <c r="AE158" i="63"/>
  <c r="AD142" i="63" s="1"/>
  <c r="AE156" i="63"/>
  <c r="AE159" i="63" s="1"/>
  <c r="AK125" i="65"/>
  <c r="AK105" i="65"/>
  <c r="AG170" i="63"/>
  <c r="AI158" i="65"/>
  <c r="AH142" i="65" s="1"/>
  <c r="AI156" i="65"/>
  <c r="AI159" i="65" s="1"/>
  <c r="AH115" i="70"/>
  <c r="AH113" i="70"/>
  <c r="AI87" i="70" s="1"/>
  <c r="AI92" i="70"/>
  <c r="AI93" i="70" s="1"/>
  <c r="AF128" i="63"/>
  <c r="AF129" i="63" s="1"/>
  <c r="AF154" i="63"/>
  <c r="AG155" i="70"/>
  <c r="AG157" i="70"/>
  <c r="AG217" i="63"/>
  <c r="AJ124" i="62"/>
  <c r="AJ126" i="62" s="1"/>
  <c r="AK88" i="62"/>
  <c r="AK101" i="62"/>
  <c r="AK100" i="62" s="1"/>
  <c r="AL89" i="62"/>
  <c r="AM90" i="62" s="1"/>
  <c r="AI158" i="62"/>
  <c r="AH142" i="62" s="1"/>
  <c r="AI156" i="62"/>
  <c r="AI159" i="62" s="1"/>
  <c r="DA108" i="27"/>
  <c r="DB103" i="27"/>
  <c r="AK125" i="62"/>
  <c r="AK105" i="62"/>
  <c r="AK170" i="62" s="1"/>
  <c r="AK105" i="48"/>
  <c r="AK106" i="48" s="1"/>
  <c r="AK107" i="48" s="1"/>
  <c r="AL101" i="48"/>
  <c r="AJ125" i="48"/>
  <c r="AJ126" i="48"/>
  <c r="AJ127" i="48" s="1"/>
  <c r="AJ167" i="48"/>
  <c r="AK113" i="48"/>
  <c r="AL92" i="48" s="1"/>
  <c r="AK109" i="48"/>
  <c r="AK120" i="48"/>
  <c r="AK121" i="48" s="1"/>
  <c r="AJ171" i="65" l="1"/>
  <c r="AJ127" i="65"/>
  <c r="AJ154" i="65" s="1"/>
  <c r="AJ111" i="66"/>
  <c r="AJ117" i="66" s="1"/>
  <c r="AK118" i="66" s="1"/>
  <c r="AH124" i="70"/>
  <c r="AH127" i="70" s="1"/>
  <c r="AG111" i="63"/>
  <c r="AG117" i="63" s="1"/>
  <c r="AH118" i="63" s="1"/>
  <c r="AF157" i="63"/>
  <c r="AF155" i="63"/>
  <c r="AK217" i="65"/>
  <c r="AK114" i="65"/>
  <c r="AL92" i="65" s="1"/>
  <c r="AK110" i="65"/>
  <c r="AK121" i="65"/>
  <c r="AK122" i="65" s="1"/>
  <c r="AI157" i="66"/>
  <c r="AI155" i="66"/>
  <c r="AG156" i="70"/>
  <c r="AG159" i="70" s="1"/>
  <c r="AG158" i="70"/>
  <c r="AF142" i="70" s="1"/>
  <c r="AK170" i="65"/>
  <c r="AJ128" i="65"/>
  <c r="AJ129" i="65" s="1"/>
  <c r="AI101" i="70"/>
  <c r="AI100" i="70" s="1"/>
  <c r="AJ89" i="70"/>
  <c r="AK90" i="70" s="1"/>
  <c r="AI88" i="70"/>
  <c r="AJ113" i="66"/>
  <c r="AK87" i="66" s="1"/>
  <c r="AJ93" i="66"/>
  <c r="AJ115" i="66"/>
  <c r="AH92" i="63"/>
  <c r="AH93" i="63" s="1"/>
  <c r="AG113" i="63"/>
  <c r="AH87" i="63" s="1"/>
  <c r="AG115" i="63"/>
  <c r="AK106" i="65"/>
  <c r="AK107" i="65" s="1"/>
  <c r="AK108" i="65" s="1"/>
  <c r="AK111" i="65" s="1"/>
  <c r="AL102" i="65"/>
  <c r="AI125" i="70"/>
  <c r="AI105" i="70"/>
  <c r="AJ127" i="62"/>
  <c r="AJ171" i="62"/>
  <c r="AK106" i="62"/>
  <c r="AK107" i="62" s="1"/>
  <c r="AK108" i="62" s="1"/>
  <c r="AL102" i="62"/>
  <c r="AK217" i="62"/>
  <c r="AK110" i="62"/>
  <c r="AK121" i="62"/>
  <c r="AK122" i="62" s="1"/>
  <c r="AK114" i="62"/>
  <c r="AL92" i="62" s="1"/>
  <c r="DB108" i="27"/>
  <c r="DC103" i="27"/>
  <c r="AK110" i="48"/>
  <c r="AK116" i="48" s="1"/>
  <c r="AL117" i="48" s="1"/>
  <c r="AK93" i="48"/>
  <c r="AK112" i="48"/>
  <c r="AL87" i="48" s="1"/>
  <c r="AK114" i="48"/>
  <c r="AJ128" i="48"/>
  <c r="AJ150" i="48"/>
  <c r="AJ151" i="48" s="1"/>
  <c r="AH171" i="70" l="1"/>
  <c r="AH126" i="70"/>
  <c r="AJ124" i="66"/>
  <c r="AJ171" i="66" s="1"/>
  <c r="AK117" i="65"/>
  <c r="AL118" i="65" s="1"/>
  <c r="AI217" i="70"/>
  <c r="AI110" i="70"/>
  <c r="AI121" i="70"/>
  <c r="AI122" i="70" s="1"/>
  <c r="AI114" i="70"/>
  <c r="AJ157" i="65"/>
  <c r="AJ155" i="65"/>
  <c r="AK113" i="65"/>
  <c r="AL87" i="65" s="1"/>
  <c r="AK115" i="65"/>
  <c r="AK93" i="65"/>
  <c r="AI170" i="70"/>
  <c r="AG124" i="63"/>
  <c r="AK101" i="66"/>
  <c r="AK100" i="66" s="1"/>
  <c r="AK88" i="66"/>
  <c r="AL89" i="66"/>
  <c r="AM90" i="66" s="1"/>
  <c r="AI156" i="66"/>
  <c r="AI159" i="66" s="1"/>
  <c r="AI158" i="66"/>
  <c r="AH142" i="66" s="1"/>
  <c r="AH125" i="63"/>
  <c r="AH105" i="63"/>
  <c r="AH170" i="63" s="1"/>
  <c r="AJ127" i="66"/>
  <c r="AH128" i="70"/>
  <c r="AH129" i="70" s="1"/>
  <c r="AH154" i="70"/>
  <c r="AF158" i="63"/>
  <c r="AE142" i="63" s="1"/>
  <c r="AF156" i="63"/>
  <c r="AF159" i="63" s="1"/>
  <c r="AI89" i="63"/>
  <c r="AJ90" i="63" s="1"/>
  <c r="AH88" i="63"/>
  <c r="AH101" i="63"/>
  <c r="AH100" i="63" s="1"/>
  <c r="AK125" i="66"/>
  <c r="AK105" i="66"/>
  <c r="AK170" i="66" s="1"/>
  <c r="AI106" i="70"/>
  <c r="AI107" i="70" s="1"/>
  <c r="AI108" i="70" s="1"/>
  <c r="AJ102" i="70"/>
  <c r="AJ154" i="62"/>
  <c r="AJ155" i="62" s="1"/>
  <c r="AJ128" i="62"/>
  <c r="AJ129" i="62" s="1"/>
  <c r="AK111" i="62"/>
  <c r="AK117" i="62" s="1"/>
  <c r="AK124" i="62" s="1"/>
  <c r="AK115" i="62"/>
  <c r="AK113" i="62"/>
  <c r="AL87" i="62" s="1"/>
  <c r="AK93" i="62"/>
  <c r="DC108" i="27"/>
  <c r="DD103" i="27"/>
  <c r="AM89" i="48"/>
  <c r="AN90" i="48" s="1"/>
  <c r="AL88" i="48"/>
  <c r="AL100" i="48"/>
  <c r="AL99" i="48" s="1"/>
  <c r="AL124" i="48"/>
  <c r="AL104" i="48"/>
  <c r="AL166" i="48" s="1"/>
  <c r="AJ153" i="48"/>
  <c r="AJ154" i="48"/>
  <c r="AI138" i="48" s="1"/>
  <c r="AJ152" i="48"/>
  <c r="AJ155" i="48" s="1"/>
  <c r="AK123" i="48"/>
  <c r="AJ126" i="66" l="1"/>
  <c r="AI111" i="70"/>
  <c r="AI117" i="70" s="1"/>
  <c r="AJ118" i="70" s="1"/>
  <c r="AK124" i="65"/>
  <c r="AK171" i="65" s="1"/>
  <c r="AH155" i="70"/>
  <c r="AH157" i="70"/>
  <c r="AJ128" i="66"/>
  <c r="AJ129" i="66" s="1"/>
  <c r="AJ154" i="66"/>
  <c r="AJ156" i="65"/>
  <c r="AJ159" i="65" s="1"/>
  <c r="AJ158" i="65"/>
  <c r="AI142" i="65" s="1"/>
  <c r="AK114" i="66"/>
  <c r="AL92" i="66" s="1"/>
  <c r="AK110" i="66"/>
  <c r="AK121" i="66"/>
  <c r="AK122" i="66" s="1"/>
  <c r="AH106" i="63"/>
  <c r="AH107" i="63" s="1"/>
  <c r="AH108" i="63" s="1"/>
  <c r="AI102" i="63"/>
  <c r="AH217" i="63"/>
  <c r="AH110" i="63"/>
  <c r="AH121" i="63"/>
  <c r="AH122" i="63" s="1"/>
  <c r="AH114" i="63"/>
  <c r="AK106" i="66"/>
  <c r="AK107" i="66" s="1"/>
  <c r="AK108" i="66" s="1"/>
  <c r="AK111" i="66" s="1"/>
  <c r="AL102" i="66"/>
  <c r="AI115" i="70"/>
  <c r="AI113" i="70"/>
  <c r="AJ87" i="70" s="1"/>
  <c r="AJ92" i="70"/>
  <c r="AJ93" i="70" s="1"/>
  <c r="AK217" i="66"/>
  <c r="AG126" i="63"/>
  <c r="AG127" i="63"/>
  <c r="AG171" i="63"/>
  <c r="AM89" i="65"/>
  <c r="AN90" i="65" s="1"/>
  <c r="AL88" i="65"/>
  <c r="AL101" i="65"/>
  <c r="AL100" i="65" s="1"/>
  <c r="AL125" i="65"/>
  <c r="AL105" i="65"/>
  <c r="AL217" i="65" s="1"/>
  <c r="AJ157" i="62"/>
  <c r="AL118" i="62"/>
  <c r="AL125" i="62" s="1"/>
  <c r="AJ156" i="62"/>
  <c r="AJ159" i="62" s="1"/>
  <c r="AJ158" i="62"/>
  <c r="AI142" i="62" s="1"/>
  <c r="AM89" i="62"/>
  <c r="AN90" i="62" s="1"/>
  <c r="AL88" i="62"/>
  <c r="AL101" i="62"/>
  <c r="AL100" i="62" s="1"/>
  <c r="DD108" i="27"/>
  <c r="DE103" i="27"/>
  <c r="AK126" i="62"/>
  <c r="AK127" i="62"/>
  <c r="AK128" i="62" s="1"/>
  <c r="AK129" i="62" s="1"/>
  <c r="AK171" i="62"/>
  <c r="AK125" i="48"/>
  <c r="AK126" i="48"/>
  <c r="AK127" i="48" s="1"/>
  <c r="AK167" i="48"/>
  <c r="AL120" i="48"/>
  <c r="AL121" i="48" s="1"/>
  <c r="AL109" i="48"/>
  <c r="AL113" i="48"/>
  <c r="AM92" i="48" s="1"/>
  <c r="AL105" i="48"/>
  <c r="AL106" i="48" s="1"/>
  <c r="AL107" i="48" s="1"/>
  <c r="AM101" i="48"/>
  <c r="AK127" i="65" l="1"/>
  <c r="AK126" i="65"/>
  <c r="AI124" i="70"/>
  <c r="AI171" i="70" s="1"/>
  <c r="AH111" i="63"/>
  <c r="AH117" i="63" s="1"/>
  <c r="AI118" i="63" s="1"/>
  <c r="AK117" i="66"/>
  <c r="AL118" i="66" s="1"/>
  <c r="AK154" i="65"/>
  <c r="AK128" i="65"/>
  <c r="AK129" i="65" s="1"/>
  <c r="AI92" i="63"/>
  <c r="AI93" i="63" s="1"/>
  <c r="AH113" i="63"/>
  <c r="AI87" i="63" s="1"/>
  <c r="AH115" i="63"/>
  <c r="AH158" i="70"/>
  <c r="AG142" i="70" s="1"/>
  <c r="AH156" i="70"/>
  <c r="AH159" i="70" s="1"/>
  <c r="AL170" i="65"/>
  <c r="AL114" i="65"/>
  <c r="AM92" i="65" s="1"/>
  <c r="AL110" i="65"/>
  <c r="AL121" i="65"/>
  <c r="AL122" i="65" s="1"/>
  <c r="AJ157" i="66"/>
  <c r="AJ155" i="66"/>
  <c r="AI127" i="70"/>
  <c r="AL106" i="65"/>
  <c r="AL107" i="65" s="1"/>
  <c r="AL108" i="65" s="1"/>
  <c r="AM102" i="65"/>
  <c r="AG128" i="63"/>
  <c r="AG129" i="63" s="1"/>
  <c r="AG154" i="63"/>
  <c r="AK89" i="70"/>
  <c r="AL90" i="70" s="1"/>
  <c r="AJ101" i="70"/>
  <c r="AJ100" i="70" s="1"/>
  <c r="AJ88" i="70"/>
  <c r="AK93" i="66"/>
  <c r="AK115" i="66"/>
  <c r="AK113" i="66"/>
  <c r="AL87" i="66" s="1"/>
  <c r="AJ125" i="70"/>
  <c r="AJ105" i="70"/>
  <c r="AL105" i="62"/>
  <c r="AL217" i="62" s="1"/>
  <c r="AL110" i="48"/>
  <c r="AL116" i="48" s="1"/>
  <c r="AM117" i="48" s="1"/>
  <c r="AK154" i="62"/>
  <c r="DE108" i="27"/>
  <c r="DF103" i="27"/>
  <c r="AL106" i="62"/>
  <c r="AM102" i="62"/>
  <c r="AL114" i="48"/>
  <c r="AL112" i="48"/>
  <c r="AM87" i="48" s="1"/>
  <c r="AL93" i="48"/>
  <c r="AK150" i="48"/>
  <c r="AK151" i="48" s="1"/>
  <c r="AK128" i="48"/>
  <c r="AI126" i="70" l="1"/>
  <c r="AL111" i="65"/>
  <c r="AL117" i="65" s="1"/>
  <c r="AM118" i="65" s="1"/>
  <c r="AK124" i="66"/>
  <c r="AK127" i="66" s="1"/>
  <c r="AH124" i="63"/>
  <c r="AH126" i="63" s="1"/>
  <c r="AL101" i="66"/>
  <c r="AL100" i="66" s="1"/>
  <c r="AM89" i="66"/>
  <c r="AN90" i="66" s="1"/>
  <c r="AL88" i="66"/>
  <c r="AJ106" i="70"/>
  <c r="AJ107" i="70" s="1"/>
  <c r="AJ108" i="70" s="1"/>
  <c r="AK102" i="70"/>
  <c r="AI88" i="63"/>
  <c r="AJ89" i="63"/>
  <c r="AK90" i="63" s="1"/>
  <c r="AI101" i="63"/>
  <c r="AI100" i="63" s="1"/>
  <c r="AJ170" i="70"/>
  <c r="AJ110" i="70"/>
  <c r="AJ121" i="70"/>
  <c r="AJ122" i="70" s="1"/>
  <c r="AJ114" i="70"/>
  <c r="AI128" i="70"/>
  <c r="AI129" i="70" s="1"/>
  <c r="AI154" i="70"/>
  <c r="AI125" i="63"/>
  <c r="AI105" i="63"/>
  <c r="AI170" i="63" s="1"/>
  <c r="AL115" i="65"/>
  <c r="AL113" i="65"/>
  <c r="AM87" i="65" s="1"/>
  <c r="AL93" i="65"/>
  <c r="AK155" i="65"/>
  <c r="AK157" i="65"/>
  <c r="AJ217" i="70"/>
  <c r="AG155" i="63"/>
  <c r="AG157" i="63"/>
  <c r="AJ158" i="66"/>
  <c r="AI142" i="66" s="1"/>
  <c r="AJ156" i="66"/>
  <c r="AJ159" i="66" s="1"/>
  <c r="AK126" i="66"/>
  <c r="AL125" i="66"/>
  <c r="AL105" i="66"/>
  <c r="AL121" i="62"/>
  <c r="AL122" i="62" s="1"/>
  <c r="AL107" i="62"/>
  <c r="AL108" i="62" s="1"/>
  <c r="AL170" i="62"/>
  <c r="AL110" i="62"/>
  <c r="AL114" i="62"/>
  <c r="AK157" i="62"/>
  <c r="AK155" i="62"/>
  <c r="DF108" i="27"/>
  <c r="DG103" i="27"/>
  <c r="AK152" i="48"/>
  <c r="AK155" i="48" s="1"/>
  <c r="AK154" i="48"/>
  <c r="AJ138" i="48" s="1"/>
  <c r="AK153" i="48"/>
  <c r="AM124" i="48"/>
  <c r="AM104" i="48"/>
  <c r="AM166" i="48" s="1"/>
  <c r="AM88" i="48"/>
  <c r="AN89" i="48"/>
  <c r="AO90" i="48" s="1"/>
  <c r="AM100" i="48"/>
  <c r="AM99" i="48" s="1"/>
  <c r="AL123" i="48"/>
  <c r="AK171" i="66" l="1"/>
  <c r="AH171" i="63"/>
  <c r="AL124" i="65"/>
  <c r="AL126" i="65" s="1"/>
  <c r="AH127" i="63"/>
  <c r="AH154" i="63" s="1"/>
  <c r="AJ111" i="70"/>
  <c r="AL110" i="66"/>
  <c r="AL114" i="66"/>
  <c r="AM92" i="66" s="1"/>
  <c r="AL121" i="66"/>
  <c r="AL122" i="66" s="1"/>
  <c r="AK128" i="66"/>
  <c r="AK129" i="66" s="1"/>
  <c r="AK154" i="66"/>
  <c r="AG158" i="63"/>
  <c r="AF142" i="63" s="1"/>
  <c r="AG156" i="63"/>
  <c r="AG159" i="63" s="1"/>
  <c r="AM101" i="65"/>
  <c r="AM100" i="65" s="1"/>
  <c r="AM88" i="65"/>
  <c r="AN89" i="65"/>
  <c r="AO90" i="65" s="1"/>
  <c r="AI114" i="63"/>
  <c r="AI121" i="63"/>
  <c r="AI122" i="63" s="1"/>
  <c r="AI110" i="63"/>
  <c r="AJ113" i="70"/>
  <c r="AK87" i="70" s="1"/>
  <c r="AK92" i="70"/>
  <c r="AK93" i="70" s="1"/>
  <c r="AJ115" i="70"/>
  <c r="AI106" i="63"/>
  <c r="AI107" i="63" s="1"/>
  <c r="AI108" i="63" s="1"/>
  <c r="AI111" i="63" s="1"/>
  <c r="AJ102" i="63"/>
  <c r="AJ117" i="70"/>
  <c r="AK118" i="70" s="1"/>
  <c r="AL106" i="66"/>
  <c r="AL107" i="66" s="1"/>
  <c r="AL108" i="66" s="1"/>
  <c r="AM102" i="66"/>
  <c r="AL170" i="66"/>
  <c r="AL217" i="66"/>
  <c r="AK156" i="65"/>
  <c r="AK159" i="65" s="1"/>
  <c r="AK158" i="65"/>
  <c r="AJ142" i="65" s="1"/>
  <c r="AI217" i="63"/>
  <c r="AI155" i="70"/>
  <c r="AI157" i="70"/>
  <c r="AM125" i="65"/>
  <c r="AM105" i="65"/>
  <c r="AM217" i="65" s="1"/>
  <c r="AL115" i="62"/>
  <c r="AM92" i="62"/>
  <c r="AL111" i="62"/>
  <c r="AL117" i="62" s="1"/>
  <c r="AM118" i="62" s="1"/>
  <c r="AM125" i="62" s="1"/>
  <c r="AL113" i="62"/>
  <c r="AM87" i="62" s="1"/>
  <c r="AN89" i="62" s="1"/>
  <c r="AO90" i="62" s="1"/>
  <c r="AL93" i="62"/>
  <c r="DG108" i="27"/>
  <c r="DH103" i="27"/>
  <c r="AK156" i="62"/>
  <c r="AK159" i="62" s="1"/>
  <c r="AK158" i="62"/>
  <c r="AJ142" i="62" s="1"/>
  <c r="AM105" i="48"/>
  <c r="AM106" i="48" s="1"/>
  <c r="AM107" i="48" s="1"/>
  <c r="AN101" i="48"/>
  <c r="AL125" i="48"/>
  <c r="AL126" i="48"/>
  <c r="AL127" i="48" s="1"/>
  <c r="AL167" i="48"/>
  <c r="AM109" i="48"/>
  <c r="AM120" i="48"/>
  <c r="AM121" i="48" s="1"/>
  <c r="AM113" i="48"/>
  <c r="AN92" i="48" s="1"/>
  <c r="AL127" i="65" l="1"/>
  <c r="AL171" i="65"/>
  <c r="AL111" i="66"/>
  <c r="AL117" i="66" s="1"/>
  <c r="AM118" i="66" s="1"/>
  <c r="AJ124" i="70"/>
  <c r="AJ127" i="70" s="1"/>
  <c r="AH128" i="63"/>
  <c r="AH129" i="63" s="1"/>
  <c r="AM170" i="65"/>
  <c r="AI158" i="70"/>
  <c r="AH142" i="70" s="1"/>
  <c r="AI156" i="70"/>
  <c r="AI159" i="70" s="1"/>
  <c r="AI117" i="63"/>
  <c r="AJ118" i="63" s="1"/>
  <c r="AK155" i="66"/>
  <c r="AK157" i="66"/>
  <c r="AJ171" i="70"/>
  <c r="AH155" i="63"/>
  <c r="AH157" i="63"/>
  <c r="AM121" i="65"/>
  <c r="AM122" i="65" s="1"/>
  <c r="AM114" i="65"/>
  <c r="AN92" i="65" s="1"/>
  <c r="AM110" i="65"/>
  <c r="AK125" i="70"/>
  <c r="AK105" i="70"/>
  <c r="AK217" i="70" s="1"/>
  <c r="AI113" i="63"/>
  <c r="AJ87" i="63" s="1"/>
  <c r="AJ92" i="63"/>
  <c r="AJ93" i="63" s="1"/>
  <c r="AI115" i="63"/>
  <c r="AM106" i="65"/>
  <c r="AM107" i="65" s="1"/>
  <c r="AM108" i="65" s="1"/>
  <c r="AM111" i="65" s="1"/>
  <c r="AN102" i="65"/>
  <c r="AL113" i="66"/>
  <c r="AM87" i="66" s="1"/>
  <c r="AL93" i="66"/>
  <c r="AL115" i="66"/>
  <c r="AL128" i="65"/>
  <c r="AL129" i="65" s="1"/>
  <c r="AL154" i="65"/>
  <c r="AK101" i="70"/>
  <c r="AK100" i="70" s="1"/>
  <c r="AK88" i="70"/>
  <c r="AL89" i="70"/>
  <c r="AM90" i="70" s="1"/>
  <c r="AM105" i="62"/>
  <c r="AM110" i="62" s="1"/>
  <c r="AL124" i="62"/>
  <c r="AL171" i="62" s="1"/>
  <c r="AM88" i="62"/>
  <c r="AM101" i="62"/>
  <c r="AM100" i="62" s="1"/>
  <c r="AN102" i="62" s="1"/>
  <c r="AM110" i="48"/>
  <c r="AM116" i="48" s="1"/>
  <c r="AN117" i="48" s="1"/>
  <c r="DH108" i="27"/>
  <c r="DI103" i="27"/>
  <c r="AM114" i="48"/>
  <c r="AM112" i="48"/>
  <c r="AN87" i="48" s="1"/>
  <c r="AM93" i="48"/>
  <c r="AL128" i="48"/>
  <c r="AL150" i="48"/>
  <c r="AL151" i="48" s="1"/>
  <c r="AL124" i="66" l="1"/>
  <c r="AJ126" i="70"/>
  <c r="AI124" i="63"/>
  <c r="AI171" i="63" s="1"/>
  <c r="AM117" i="65"/>
  <c r="AN118" i="65" s="1"/>
  <c r="AL157" i="65"/>
  <c r="AL155" i="65"/>
  <c r="AM101" i="66"/>
  <c r="AM100" i="66" s="1"/>
  <c r="AM88" i="66"/>
  <c r="AN89" i="66"/>
  <c r="AO90" i="66" s="1"/>
  <c r="AK170" i="70"/>
  <c r="AM113" i="65"/>
  <c r="AN87" i="65" s="1"/>
  <c r="AM93" i="65"/>
  <c r="AM115" i="65"/>
  <c r="AK156" i="66"/>
  <c r="AK159" i="66" s="1"/>
  <c r="AK158" i="66"/>
  <c r="AJ142" i="66" s="1"/>
  <c r="AK106" i="70"/>
  <c r="AK107" i="70" s="1"/>
  <c r="AK108" i="70" s="1"/>
  <c r="AL102" i="70"/>
  <c r="AJ88" i="63"/>
  <c r="AK89" i="63"/>
  <c r="AL90" i="63" s="1"/>
  <c r="AJ101" i="63"/>
  <c r="AJ100" i="63" s="1"/>
  <c r="AJ128" i="70"/>
  <c r="AJ129" i="70" s="1"/>
  <c r="AJ154" i="70"/>
  <c r="AJ125" i="63"/>
  <c r="AJ105" i="63"/>
  <c r="AJ217" i="63" s="1"/>
  <c r="AL127" i="66"/>
  <c r="AL126" i="66"/>
  <c r="AL171" i="66"/>
  <c r="AK110" i="70"/>
  <c r="AK121" i="70"/>
  <c r="AK122" i="70" s="1"/>
  <c r="AK114" i="70"/>
  <c r="AH158" i="63"/>
  <c r="AG142" i="63" s="1"/>
  <c r="AH156" i="63"/>
  <c r="AH159" i="63" s="1"/>
  <c r="AM125" i="66"/>
  <c r="AM105" i="66"/>
  <c r="AM170" i="66" s="1"/>
  <c r="AL127" i="62"/>
  <c r="AL128" i="62" s="1"/>
  <c r="AL129" i="62" s="1"/>
  <c r="AL126" i="62"/>
  <c r="AM121" i="62"/>
  <c r="AM122" i="62" s="1"/>
  <c r="AM170" i="62"/>
  <c r="AM114" i="62"/>
  <c r="AM217" i="62"/>
  <c r="AM106" i="62"/>
  <c r="AM107" i="62" s="1"/>
  <c r="AM108" i="62" s="1"/>
  <c r="AM111" i="62" s="1"/>
  <c r="AM117" i="62" s="1"/>
  <c r="AM124" i="62" s="1"/>
  <c r="DI108" i="27"/>
  <c r="DJ103" i="27"/>
  <c r="AN100" i="48"/>
  <c r="AN99" i="48" s="1"/>
  <c r="AN88" i="48"/>
  <c r="AO89" i="48"/>
  <c r="AP90" i="48" s="1"/>
  <c r="AL153" i="48"/>
  <c r="AL154" i="48"/>
  <c r="AK138" i="48" s="1"/>
  <c r="AL152" i="48"/>
  <c r="AL155" i="48" s="1"/>
  <c r="AN124" i="48"/>
  <c r="AN104" i="48"/>
  <c r="AM123" i="48"/>
  <c r="AI126" i="63" l="1"/>
  <c r="AM124" i="65"/>
  <c r="AI127" i="63"/>
  <c r="AI154" i="63" s="1"/>
  <c r="AM217" i="66"/>
  <c r="AJ170" i="63"/>
  <c r="AJ114" i="63"/>
  <c r="AJ121" i="63"/>
  <c r="AJ122" i="63" s="1"/>
  <c r="AJ110" i="63"/>
  <c r="AL156" i="65"/>
  <c r="AL159" i="65" s="1"/>
  <c r="AL158" i="65"/>
  <c r="AK142" i="65" s="1"/>
  <c r="AK113" i="70"/>
  <c r="AL87" i="70" s="1"/>
  <c r="AK115" i="70"/>
  <c r="AL92" i="70"/>
  <c r="AL93" i="70" s="1"/>
  <c r="AJ106" i="63"/>
  <c r="AJ107" i="63" s="1"/>
  <c r="AJ108" i="63" s="1"/>
  <c r="AK102" i="63"/>
  <c r="AK111" i="70"/>
  <c r="AM114" i="66"/>
  <c r="AN92" i="66" s="1"/>
  <c r="AM121" i="66"/>
  <c r="AM122" i="66" s="1"/>
  <c r="AM110" i="66"/>
  <c r="AL128" i="66"/>
  <c r="AL129" i="66" s="1"/>
  <c r="AL154" i="66"/>
  <c r="AJ155" i="70"/>
  <c r="AJ157" i="70"/>
  <c r="AN88" i="65"/>
  <c r="AO89" i="65"/>
  <c r="AP90" i="65" s="1"/>
  <c r="AN101" i="65"/>
  <c r="AN100" i="65" s="1"/>
  <c r="AM127" i="65"/>
  <c r="AM126" i="65"/>
  <c r="AM171" i="65"/>
  <c r="AI128" i="63"/>
  <c r="AI129" i="63" s="1"/>
  <c r="AM106" i="66"/>
  <c r="AM107" i="66" s="1"/>
  <c r="AM108" i="66" s="1"/>
  <c r="AN102" i="66"/>
  <c r="AN125" i="65"/>
  <c r="AN105" i="65"/>
  <c r="AN170" i="65" s="1"/>
  <c r="AM113" i="62"/>
  <c r="AN87" i="62" s="1"/>
  <c r="AO89" i="62" s="1"/>
  <c r="AP90" i="62" s="1"/>
  <c r="AN92" i="62"/>
  <c r="AL154" i="62"/>
  <c r="AL155" i="62" s="1"/>
  <c r="AL158" i="62" s="1"/>
  <c r="AK142" i="62" s="1"/>
  <c r="AM115" i="62"/>
  <c r="AM93" i="62"/>
  <c r="AN118" i="62"/>
  <c r="AN105" i="62" s="1"/>
  <c r="AN170" i="62" s="1"/>
  <c r="DJ108" i="27"/>
  <c r="DK103" i="27"/>
  <c r="AM127" i="62"/>
  <c r="AM128" i="62" s="1"/>
  <c r="AM129" i="62" s="1"/>
  <c r="AM126" i="62"/>
  <c r="AM171" i="62"/>
  <c r="AN109" i="48"/>
  <c r="AN113" i="48"/>
  <c r="AO92" i="48" s="1"/>
  <c r="AN120" i="48"/>
  <c r="AN121" i="48" s="1"/>
  <c r="AN166" i="48"/>
  <c r="AM125" i="48"/>
  <c r="AM126" i="48"/>
  <c r="AM127" i="48" s="1"/>
  <c r="AM167" i="48"/>
  <c r="AN105" i="48"/>
  <c r="AN106" i="48" s="1"/>
  <c r="AN107" i="48" s="1"/>
  <c r="AO101" i="48"/>
  <c r="AJ111" i="63" l="1"/>
  <c r="AJ117" i="63" s="1"/>
  <c r="AK118" i="63" s="1"/>
  <c r="AN217" i="65"/>
  <c r="AM111" i="66"/>
  <c r="AM117" i="66" s="1"/>
  <c r="AN118" i="66" s="1"/>
  <c r="AM154" i="65"/>
  <c r="AM128" i="65"/>
  <c r="AM129" i="65" s="1"/>
  <c r="AL101" i="70"/>
  <c r="AL100" i="70" s="1"/>
  <c r="AM89" i="70"/>
  <c r="AN90" i="70" s="1"/>
  <c r="AL88" i="70"/>
  <c r="AI157" i="63"/>
  <c r="AI155" i="63"/>
  <c r="AM115" i="66"/>
  <c r="AM93" i="66"/>
  <c r="AM113" i="66"/>
  <c r="AN87" i="66" s="1"/>
  <c r="AN106" i="65"/>
  <c r="AN107" i="65" s="1"/>
  <c r="AN108" i="65" s="1"/>
  <c r="AO102" i="65"/>
  <c r="AJ158" i="70"/>
  <c r="AI142" i="70" s="1"/>
  <c r="AJ156" i="70"/>
  <c r="AJ159" i="70" s="1"/>
  <c r="AK117" i="70"/>
  <c r="AL118" i="70" s="1"/>
  <c r="AK92" i="63"/>
  <c r="AK93" i="63" s="1"/>
  <c r="AJ115" i="63"/>
  <c r="AJ113" i="63"/>
  <c r="AK87" i="63" s="1"/>
  <c r="AN110" i="65"/>
  <c r="AN121" i="65"/>
  <c r="AN122" i="65" s="1"/>
  <c r="AN114" i="65"/>
  <c r="AO92" i="65" s="1"/>
  <c r="AL155" i="66"/>
  <c r="AL157" i="66"/>
  <c r="AN88" i="62"/>
  <c r="AN110" i="48"/>
  <c r="AN116" i="48" s="1"/>
  <c r="AO117" i="48" s="1"/>
  <c r="AN101" i="62"/>
  <c r="AN100" i="62" s="1"/>
  <c r="AN106" i="62" s="1"/>
  <c r="AN107" i="62" s="1"/>
  <c r="AN108" i="62" s="1"/>
  <c r="AL156" i="62"/>
  <c r="AL159" i="62" s="1"/>
  <c r="AL157" i="62"/>
  <c r="AN125" i="62"/>
  <c r="AN217" i="62"/>
  <c r="DK108" i="27"/>
  <c r="DL103" i="27"/>
  <c r="AN121" i="62"/>
  <c r="AN122" i="62" s="1"/>
  <c r="AN110" i="62"/>
  <c r="AN114" i="62"/>
  <c r="AO92" i="62" s="1"/>
  <c r="AM154" i="62"/>
  <c r="AM128" i="48"/>
  <c r="AM150" i="48"/>
  <c r="AM151" i="48" s="1"/>
  <c r="AN112" i="48"/>
  <c r="AO87" i="48" s="1"/>
  <c r="AN114" i="48"/>
  <c r="AN93" i="48"/>
  <c r="AM124" i="66" l="1"/>
  <c r="AM171" i="66" s="1"/>
  <c r="AN111" i="65"/>
  <c r="AN117" i="65" s="1"/>
  <c r="AO118" i="65" s="1"/>
  <c r="AJ124" i="63"/>
  <c r="AJ126" i="63" s="1"/>
  <c r="AK124" i="70"/>
  <c r="AK126" i="70" s="1"/>
  <c r="AL156" i="66"/>
  <c r="AL159" i="66" s="1"/>
  <c r="AL158" i="66"/>
  <c r="AK142" i="66" s="1"/>
  <c r="AI158" i="63"/>
  <c r="AH142" i="63" s="1"/>
  <c r="AI156" i="63"/>
  <c r="AI159" i="63" s="1"/>
  <c r="AL106" i="70"/>
  <c r="AM102" i="70"/>
  <c r="AM155" i="65"/>
  <c r="AM157" i="65"/>
  <c r="AO89" i="66"/>
  <c r="AP90" i="66" s="1"/>
  <c r="AN88" i="66"/>
  <c r="AN101" i="66"/>
  <c r="AN100" i="66" s="1"/>
  <c r="AK125" i="63"/>
  <c r="AK105" i="63"/>
  <c r="AK170" i="63" s="1"/>
  <c r="AM127" i="66"/>
  <c r="AN93" i="65"/>
  <c r="AN113" i="65"/>
  <c r="AO87" i="65" s="1"/>
  <c r="AN115" i="65"/>
  <c r="AK88" i="63"/>
  <c r="AL89" i="63"/>
  <c r="AM90" i="63" s="1"/>
  <c r="AK101" i="63"/>
  <c r="AK100" i="63" s="1"/>
  <c r="AL125" i="70"/>
  <c r="AL105" i="70"/>
  <c r="AL217" i="70" s="1"/>
  <c r="AN125" i="66"/>
  <c r="AN105" i="66"/>
  <c r="AN170" i="66" s="1"/>
  <c r="AO102" i="62"/>
  <c r="AN111" i="62"/>
  <c r="AN117" i="62" s="1"/>
  <c r="AN124" i="62" s="1"/>
  <c r="AM155" i="62"/>
  <c r="AM157" i="62"/>
  <c r="DL108" i="27"/>
  <c r="DM103" i="27"/>
  <c r="AN113" i="62"/>
  <c r="AO87" i="62" s="1"/>
  <c r="AN93" i="62"/>
  <c r="AN115" i="62"/>
  <c r="AP89" i="48"/>
  <c r="AQ90" i="48" s="1"/>
  <c r="AO100" i="48"/>
  <c r="AO99" i="48" s="1"/>
  <c r="AO88" i="48"/>
  <c r="AO124" i="48"/>
  <c r="AO104" i="48"/>
  <c r="AM154" i="48"/>
  <c r="AL138" i="48" s="1"/>
  <c r="AM153" i="48"/>
  <c r="AM152" i="48"/>
  <c r="AM155" i="48" s="1"/>
  <c r="AN123" i="48"/>
  <c r="AJ171" i="63" l="1"/>
  <c r="AM126" i="66"/>
  <c r="AK127" i="70"/>
  <c r="AK154" i="70" s="1"/>
  <c r="AK171" i="70"/>
  <c r="AJ127" i="63"/>
  <c r="AJ128" i="63" s="1"/>
  <c r="AJ129" i="63" s="1"/>
  <c r="AN124" i="65"/>
  <c r="AN126" i="65" s="1"/>
  <c r="AL170" i="70"/>
  <c r="AL110" i="70"/>
  <c r="AL121" i="70"/>
  <c r="AL122" i="70" s="1"/>
  <c r="AL114" i="70"/>
  <c r="AN217" i="66"/>
  <c r="AM128" i="66"/>
  <c r="AM129" i="66" s="1"/>
  <c r="AM154" i="66"/>
  <c r="AK217" i="63"/>
  <c r="AK121" i="63"/>
  <c r="AK122" i="63" s="1"/>
  <c r="AK114" i="63"/>
  <c r="AK110" i="63"/>
  <c r="AL107" i="70"/>
  <c r="AL108" i="70" s="1"/>
  <c r="AK128" i="70"/>
  <c r="AK129" i="70" s="1"/>
  <c r="AN121" i="66"/>
  <c r="AN122" i="66" s="1"/>
  <c r="AN110" i="66"/>
  <c r="AN114" i="66"/>
  <c r="AO92" i="66" s="1"/>
  <c r="AK106" i="63"/>
  <c r="AK107" i="63" s="1"/>
  <c r="AK108" i="63" s="1"/>
  <c r="AK111" i="63" s="1"/>
  <c r="AL102" i="63"/>
  <c r="AP89" i="65"/>
  <c r="AQ90" i="65" s="1"/>
  <c r="AO88" i="65"/>
  <c r="AO101" i="65"/>
  <c r="AO100" i="65" s="1"/>
  <c r="AN106" i="66"/>
  <c r="AN107" i="66" s="1"/>
  <c r="AN108" i="66" s="1"/>
  <c r="AO102" i="66"/>
  <c r="AM156" i="65"/>
  <c r="AM159" i="65" s="1"/>
  <c r="AM158" i="65"/>
  <c r="AL142" i="65" s="1"/>
  <c r="AO125" i="65"/>
  <c r="AO105" i="65"/>
  <c r="AO217" i="65" s="1"/>
  <c r="AO118" i="62"/>
  <c r="AO105" i="62" s="1"/>
  <c r="AO170" i="62" s="1"/>
  <c r="AO101" i="62"/>
  <c r="AO100" i="62" s="1"/>
  <c r="AP89" i="62"/>
  <c r="AQ90" i="62" s="1"/>
  <c r="AO88" i="62"/>
  <c r="AM156" i="62"/>
  <c r="AM159" i="62" s="1"/>
  <c r="AM158" i="62"/>
  <c r="AL142" i="62" s="1"/>
  <c r="DM108" i="27"/>
  <c r="DN103" i="27"/>
  <c r="AN127" i="62"/>
  <c r="AN128" i="62" s="1"/>
  <c r="AN129" i="62" s="1"/>
  <c r="AN126" i="62"/>
  <c r="AN171" i="62"/>
  <c r="AO113" i="48"/>
  <c r="AP92" i="48" s="1"/>
  <c r="AO120" i="48"/>
  <c r="AO121" i="48" s="1"/>
  <c r="AO109" i="48"/>
  <c r="AO105" i="48"/>
  <c r="AO106" i="48" s="1"/>
  <c r="AO107" i="48" s="1"/>
  <c r="AP101" i="48"/>
  <c r="AN125" i="48"/>
  <c r="AN126" i="48"/>
  <c r="AN127" i="48" s="1"/>
  <c r="AN167" i="48"/>
  <c r="AO166" i="48"/>
  <c r="AL111" i="70" l="1"/>
  <c r="AN111" i="66"/>
  <c r="AN117" i="66" s="1"/>
  <c r="AO118" i="66" s="1"/>
  <c r="AN171" i="65"/>
  <c r="AN127" i="65"/>
  <c r="AN154" i="65" s="1"/>
  <c r="AJ154" i="63"/>
  <c r="AJ155" i="63" s="1"/>
  <c r="AO170" i="65"/>
  <c r="AK155" i="70"/>
  <c r="AK157" i="70"/>
  <c r="AL115" i="70"/>
  <c r="AL113" i="70"/>
  <c r="AM87" i="70" s="1"/>
  <c r="AM92" i="70"/>
  <c r="AM93" i="70" s="1"/>
  <c r="AL117" i="70"/>
  <c r="AM118" i="70" s="1"/>
  <c r="AO106" i="65"/>
  <c r="AO107" i="65" s="1"/>
  <c r="AO108" i="65" s="1"/>
  <c r="AP102" i="65"/>
  <c r="AK117" i="63"/>
  <c r="AL118" i="63" s="1"/>
  <c r="AN93" i="66"/>
  <c r="AN115" i="66"/>
  <c r="AN113" i="66"/>
  <c r="AO87" i="66" s="1"/>
  <c r="AM155" i="66"/>
  <c r="AM157" i="66"/>
  <c r="AO114" i="65"/>
  <c r="AP92" i="65" s="1"/>
  <c r="AO110" i="65"/>
  <c r="AO121" i="65"/>
  <c r="AO122" i="65" s="1"/>
  <c r="AK115" i="63"/>
  <c r="AL92" i="63"/>
  <c r="AL93" i="63" s="1"/>
  <c r="AK113" i="63"/>
  <c r="AL87" i="63" s="1"/>
  <c r="AO125" i="62"/>
  <c r="AO110" i="48"/>
  <c r="AO116" i="48" s="1"/>
  <c r="AP117" i="48" s="1"/>
  <c r="AN154" i="62"/>
  <c r="DN108" i="27"/>
  <c r="DO103" i="27"/>
  <c r="AO217" i="62"/>
  <c r="AO114" i="62"/>
  <c r="AP92" i="62" s="1"/>
  <c r="AO110" i="62"/>
  <c r="AO121" i="62"/>
  <c r="AO122" i="62" s="1"/>
  <c r="AO106" i="62"/>
  <c r="AO107" i="62" s="1"/>
  <c r="AO108" i="62" s="1"/>
  <c r="AP102" i="62"/>
  <c r="AN128" i="48"/>
  <c r="AN150" i="48"/>
  <c r="AN151" i="48" s="1"/>
  <c r="AO112" i="48"/>
  <c r="AP87" i="48" s="1"/>
  <c r="AO93" i="48"/>
  <c r="AO114" i="48"/>
  <c r="AN124" i="66" l="1"/>
  <c r="AN126" i="66" s="1"/>
  <c r="AL124" i="70"/>
  <c r="AN128" i="65"/>
  <c r="AN129" i="65" s="1"/>
  <c r="AJ157" i="63"/>
  <c r="AK124" i="63"/>
  <c r="AK126" i="63" s="1"/>
  <c r="AJ156" i="63"/>
  <c r="AJ159" i="63" s="1"/>
  <c r="AJ158" i="63"/>
  <c r="AI142" i="63" s="1"/>
  <c r="AO93" i="65"/>
  <c r="AO113" i="65"/>
  <c r="AP87" i="65" s="1"/>
  <c r="AO115" i="65"/>
  <c r="AO88" i="66"/>
  <c r="AP89" i="66"/>
  <c r="AQ90" i="66" s="1"/>
  <c r="AO101" i="66"/>
  <c r="AO100" i="66" s="1"/>
  <c r="AL105" i="63"/>
  <c r="AL217" i="63" s="1"/>
  <c r="AL125" i="63"/>
  <c r="AK156" i="70"/>
  <c r="AK159" i="70" s="1"/>
  <c r="AK158" i="70"/>
  <c r="AJ142" i="70" s="1"/>
  <c r="AL88" i="63"/>
  <c r="AL101" i="63"/>
  <c r="AL100" i="63" s="1"/>
  <c r="AM89" i="63"/>
  <c r="AN90" i="63" s="1"/>
  <c r="AO111" i="65"/>
  <c r="AO117" i="65" s="1"/>
  <c r="AM156" i="66"/>
  <c r="AM159" i="66" s="1"/>
  <c r="AM158" i="66"/>
  <c r="AL142" i="66" s="1"/>
  <c r="AL126" i="70"/>
  <c r="AL127" i="70"/>
  <c r="AL171" i="70"/>
  <c r="AM88" i="70"/>
  <c r="AM101" i="70"/>
  <c r="AM100" i="70" s="1"/>
  <c r="AN89" i="70"/>
  <c r="AO90" i="70" s="1"/>
  <c r="AN157" i="65"/>
  <c r="AN155" i="65"/>
  <c r="AM125" i="70"/>
  <c r="AM105" i="70"/>
  <c r="AO125" i="66"/>
  <c r="AO105" i="66"/>
  <c r="AO111" i="62"/>
  <c r="AO117" i="62" s="1"/>
  <c r="AP118" i="62" s="1"/>
  <c r="DO108" i="27"/>
  <c r="DP103" i="27"/>
  <c r="AO93" i="62"/>
  <c r="AO115" i="62"/>
  <c r="AO113" i="62"/>
  <c r="AP87" i="62" s="1"/>
  <c r="AN155" i="62"/>
  <c r="AN157" i="62"/>
  <c r="AN153" i="48"/>
  <c r="AN152" i="48"/>
  <c r="AN155" i="48" s="1"/>
  <c r="AN154" i="48"/>
  <c r="AM138" i="48" s="1"/>
  <c r="AP88" i="48"/>
  <c r="AP100" i="48"/>
  <c r="AP99" i="48" s="1"/>
  <c r="AQ89" i="48"/>
  <c r="AR90" i="48" s="1"/>
  <c r="AP124" i="48"/>
  <c r="AP104" i="48"/>
  <c r="AO123" i="48"/>
  <c r="AN171" i="66" l="1"/>
  <c r="AN127" i="66"/>
  <c r="B161" i="48"/>
  <c r="D161" i="48" s="1"/>
  <c r="D165" i="65"/>
  <c r="F165" i="65" s="1"/>
  <c r="G165" i="65" s="1"/>
  <c r="D165" i="66"/>
  <c r="F165" i="66" s="1"/>
  <c r="G165" i="66" s="1"/>
  <c r="AK171" i="63"/>
  <c r="AK127" i="63"/>
  <c r="AK128" i="63" s="1"/>
  <c r="AK129" i="63" s="1"/>
  <c r="AL170" i="63"/>
  <c r="AO114" i="66"/>
  <c r="AP92" i="66" s="1"/>
  <c r="AO110" i="66"/>
  <c r="AO121" i="66"/>
  <c r="AO122" i="66" s="1"/>
  <c r="AN158" i="65"/>
  <c r="AM142" i="65" s="1"/>
  <c r="AN156" i="65"/>
  <c r="AN159" i="65" s="1"/>
  <c r="B165" i="65" s="1"/>
  <c r="AL106" i="63"/>
  <c r="AL107" i="63" s="1"/>
  <c r="AL108" i="63" s="1"/>
  <c r="AM102" i="63"/>
  <c r="AM170" i="70"/>
  <c r="AM110" i="70"/>
  <c r="AM121" i="70"/>
  <c r="AM122" i="70" s="1"/>
  <c r="AM114" i="70"/>
  <c r="AL128" i="70"/>
  <c r="AL129" i="70" s="1"/>
  <c r="AL154" i="70"/>
  <c r="AO106" i="66"/>
  <c r="AO107" i="66" s="1"/>
  <c r="AO108" i="66" s="1"/>
  <c r="AO111" i="66" s="1"/>
  <c r="AP102" i="66"/>
  <c r="AP101" i="65"/>
  <c r="AP100" i="65" s="1"/>
  <c r="AP88" i="65"/>
  <c r="AQ89" i="65"/>
  <c r="AR90" i="65" s="1"/>
  <c r="AO217" i="66"/>
  <c r="AM217" i="70"/>
  <c r="AM106" i="70"/>
  <c r="AM107" i="70" s="1"/>
  <c r="AM108" i="70" s="1"/>
  <c r="AM111" i="70" s="1"/>
  <c r="AN102" i="70"/>
  <c r="AO124" i="65"/>
  <c r="AP118" i="65"/>
  <c r="AO170" i="66"/>
  <c r="AN128" i="66"/>
  <c r="AN129" i="66" s="1"/>
  <c r="AN154" i="66"/>
  <c r="AL114" i="63"/>
  <c r="AL121" i="63"/>
  <c r="AL122" i="63" s="1"/>
  <c r="AL110" i="63"/>
  <c r="AO124" i="62"/>
  <c r="AO127" i="62" s="1"/>
  <c r="AO128" i="62" s="1"/>
  <c r="AO129" i="62" s="1"/>
  <c r="AN158" i="62"/>
  <c r="AM142" i="62" s="1"/>
  <c r="AN156" i="62"/>
  <c r="AN159" i="62" s="1"/>
  <c r="DP108" i="27"/>
  <c r="DQ103" i="27"/>
  <c r="AP125" i="62"/>
  <c r="AP105" i="62"/>
  <c r="AQ89" i="62"/>
  <c r="AR90" i="62" s="1"/>
  <c r="AP101" i="62"/>
  <c r="AP100" i="62" s="1"/>
  <c r="AP88" i="62"/>
  <c r="AO125" i="48"/>
  <c r="AO126" i="48"/>
  <c r="AO127" i="48" s="1"/>
  <c r="AO167" i="48"/>
  <c r="AP109" i="48"/>
  <c r="AP113" i="48"/>
  <c r="AQ92" i="48" s="1"/>
  <c r="AP120" i="48"/>
  <c r="AP121" i="48" s="1"/>
  <c r="D165" i="62"/>
  <c r="F165" i="62" s="1"/>
  <c r="G165" i="62" s="1"/>
  <c r="AP166" i="48"/>
  <c r="AP105" i="48"/>
  <c r="AP106" i="48" s="1"/>
  <c r="AP107" i="48" s="1"/>
  <c r="AQ101" i="48"/>
  <c r="AK154" i="63" l="1"/>
  <c r="AK157" i="63" s="1"/>
  <c r="AO117" i="66"/>
  <c r="AP118" i="66" s="1"/>
  <c r="AO126" i="65"/>
  <c r="AO127" i="65"/>
  <c r="AO171" i="65"/>
  <c r="AP106" i="65"/>
  <c r="AQ102" i="65"/>
  <c r="AL155" i="70"/>
  <c r="AL157" i="70"/>
  <c r="AL113" i="63"/>
  <c r="AM87" i="63" s="1"/>
  <c r="AL115" i="63"/>
  <c r="AM92" i="63"/>
  <c r="AM93" i="63" s="1"/>
  <c r="AM117" i="70"/>
  <c r="AN118" i="70" s="1"/>
  <c r="AL111" i="63"/>
  <c r="AO93" i="66"/>
  <c r="AO115" i="66"/>
  <c r="AO113" i="66"/>
  <c r="AP87" i="66" s="1"/>
  <c r="AN155" i="66"/>
  <c r="AN157" i="66"/>
  <c r="AP125" i="65"/>
  <c r="AP105" i="65"/>
  <c r="AM113" i="70"/>
  <c r="AN87" i="70" s="1"/>
  <c r="AM115" i="70"/>
  <c r="AN92" i="70"/>
  <c r="AN93" i="70" s="1"/>
  <c r="AO171" i="62"/>
  <c r="AO126" i="62"/>
  <c r="AP114" i="62"/>
  <c r="AQ92" i="62" s="1"/>
  <c r="AP121" i="62"/>
  <c r="AP122" i="62" s="1"/>
  <c r="AP110" i="62"/>
  <c r="AP110" i="48"/>
  <c r="AP116" i="48" s="1"/>
  <c r="AQ117" i="48" s="1"/>
  <c r="AP170" i="62"/>
  <c r="DQ108" i="27"/>
  <c r="DR103" i="27"/>
  <c r="B165" i="62"/>
  <c r="AO154" i="62"/>
  <c r="AP106" i="62"/>
  <c r="AP107" i="62" s="1"/>
  <c r="AP108" i="62" s="1"/>
  <c r="AQ102" i="62"/>
  <c r="AP217" i="62"/>
  <c r="AP114" i="48"/>
  <c r="AP93" i="48"/>
  <c r="AP112" i="48"/>
  <c r="AQ87" i="48" s="1"/>
  <c r="AO128" i="48"/>
  <c r="AO150" i="48"/>
  <c r="AO151" i="48" s="1"/>
  <c r="AO124" i="66" l="1"/>
  <c r="AO126" i="66" s="1"/>
  <c r="AM124" i="70"/>
  <c r="AK155" i="63"/>
  <c r="AK158" i="63" s="1"/>
  <c r="AJ142" i="63" s="1"/>
  <c r="AP170" i="65"/>
  <c r="AP114" i="65"/>
  <c r="AQ92" i="65" s="1"/>
  <c r="AP107" i="65"/>
  <c r="AP108" i="65" s="1"/>
  <c r="AP110" i="65"/>
  <c r="AP121" i="65"/>
  <c r="AP122" i="65" s="1"/>
  <c r="AO128" i="65"/>
  <c r="AO129" i="65" s="1"/>
  <c r="AO154" i="65"/>
  <c r="AN158" i="66"/>
  <c r="AM142" i="66" s="1"/>
  <c r="AN156" i="66"/>
  <c r="AN159" i="66" s="1"/>
  <c r="B165" i="66" s="1"/>
  <c r="AL117" i="63"/>
  <c r="AM118" i="63" s="1"/>
  <c r="AL156" i="70"/>
  <c r="AL159" i="70" s="1"/>
  <c r="AL158" i="70"/>
  <c r="AK142" i="70" s="1"/>
  <c r="AP217" i="65"/>
  <c r="AQ89" i="66"/>
  <c r="AR90" i="66" s="1"/>
  <c r="AP101" i="66"/>
  <c r="AP100" i="66" s="1"/>
  <c r="AP88" i="66"/>
  <c r="AM126" i="70"/>
  <c r="AM127" i="70"/>
  <c r="AM171" i="70"/>
  <c r="AM88" i="63"/>
  <c r="AM101" i="63"/>
  <c r="AM100" i="63" s="1"/>
  <c r="AN89" i="63"/>
  <c r="AO90" i="63" s="1"/>
  <c r="AO171" i="66"/>
  <c r="AN88" i="70"/>
  <c r="AO89" i="70"/>
  <c r="AP90" i="70" s="1"/>
  <c r="AN101" i="70"/>
  <c r="AN100" i="70" s="1"/>
  <c r="AN125" i="70"/>
  <c r="AN105" i="70"/>
  <c r="AN217" i="70" s="1"/>
  <c r="AP125" i="66"/>
  <c r="AP105" i="66"/>
  <c r="AP170" i="66" s="1"/>
  <c r="AP111" i="62"/>
  <c r="AP117" i="62" s="1"/>
  <c r="AQ118" i="62" s="1"/>
  <c r="AP123" i="48"/>
  <c r="AP125" i="48" s="1"/>
  <c r="AO155" i="62"/>
  <c r="AO157" i="62"/>
  <c r="AP113" i="62"/>
  <c r="AQ87" i="62" s="1"/>
  <c r="AP93" i="62"/>
  <c r="AP115" i="62"/>
  <c r="DR108" i="27"/>
  <c r="DS103" i="27"/>
  <c r="AO154" i="48"/>
  <c r="AN138" i="48" s="1"/>
  <c r="AO152" i="48"/>
  <c r="AO155" i="48" s="1"/>
  <c r="AO153" i="48"/>
  <c r="AR89" i="48"/>
  <c r="AS90" i="48" s="1"/>
  <c r="AQ100" i="48"/>
  <c r="AQ99" i="48" s="1"/>
  <c r="AQ88" i="48"/>
  <c r="AQ124" i="48"/>
  <c r="AQ104" i="48"/>
  <c r="AQ166" i="48" s="1"/>
  <c r="AO127" i="66" l="1"/>
  <c r="AK156" i="63"/>
  <c r="AK159" i="63" s="1"/>
  <c r="AL124" i="63"/>
  <c r="AL127" i="63" s="1"/>
  <c r="AP111" i="65"/>
  <c r="AP117" i="65" s="1"/>
  <c r="AQ118" i="65" s="1"/>
  <c r="AP110" i="66"/>
  <c r="AP114" i="66"/>
  <c r="AQ92" i="66" s="1"/>
  <c r="AP121" i="66"/>
  <c r="AP122" i="66" s="1"/>
  <c r="AO128" i="66"/>
  <c r="AO129" i="66" s="1"/>
  <c r="AO154" i="66"/>
  <c r="AM125" i="63"/>
  <c r="AM105" i="63"/>
  <c r="AN106" i="70"/>
  <c r="AN107" i="70" s="1"/>
  <c r="AN108" i="70" s="1"/>
  <c r="AO102" i="70"/>
  <c r="AM106" i="63"/>
  <c r="AN102" i="63"/>
  <c r="AM128" i="70"/>
  <c r="AM129" i="70" s="1"/>
  <c r="AM154" i="70"/>
  <c r="AP106" i="66"/>
  <c r="AP107" i="66" s="1"/>
  <c r="AP108" i="66" s="1"/>
  <c r="AQ102" i="66"/>
  <c r="AP115" i="65"/>
  <c r="AP113" i="65"/>
  <c r="AQ87" i="65" s="1"/>
  <c r="AP93" i="65"/>
  <c r="AN170" i="70"/>
  <c r="AN110" i="70"/>
  <c r="AN121" i="70"/>
  <c r="AN122" i="70" s="1"/>
  <c r="AN114" i="70"/>
  <c r="AP217" i="66"/>
  <c r="AO157" i="65"/>
  <c r="AO155" i="65"/>
  <c r="AP167" i="48"/>
  <c r="AP126" i="48"/>
  <c r="AP127" i="48" s="1"/>
  <c r="AP128" i="48" s="1"/>
  <c r="AP124" i="62"/>
  <c r="AP126" i="62" s="1"/>
  <c r="AO158" i="62"/>
  <c r="AN142" i="62" s="1"/>
  <c r="AO156" i="62"/>
  <c r="AO159" i="62" s="1"/>
  <c r="AQ88" i="62"/>
  <c r="AQ101" i="62"/>
  <c r="AQ100" i="62" s="1"/>
  <c r="AR89" i="62"/>
  <c r="AS90" i="62" s="1"/>
  <c r="DS108" i="27"/>
  <c r="DT103" i="27"/>
  <c r="DT108" i="27" s="1"/>
  <c r="AQ125" i="62"/>
  <c r="AQ105" i="62"/>
  <c r="AQ109" i="48"/>
  <c r="AQ120" i="48"/>
  <c r="AQ121" i="48" s="1"/>
  <c r="AQ113" i="48"/>
  <c r="AR92" i="48" s="1"/>
  <c r="AQ105" i="48"/>
  <c r="AQ106" i="48" s="1"/>
  <c r="AQ107" i="48" s="1"/>
  <c r="AR101" i="48"/>
  <c r="AL126" i="63" l="1"/>
  <c r="AL171" i="63"/>
  <c r="AM107" i="63"/>
  <c r="AM108" i="63" s="1"/>
  <c r="AP124" i="65"/>
  <c r="AP126" i="65" s="1"/>
  <c r="AP111" i="66"/>
  <c r="AP117" i="66" s="1"/>
  <c r="AO156" i="65"/>
  <c r="AO159" i="65" s="1"/>
  <c r="AO158" i="65"/>
  <c r="AN142" i="65" s="1"/>
  <c r="AN115" i="70"/>
  <c r="AO92" i="70"/>
  <c r="AO93" i="70" s="1"/>
  <c r="AN113" i="70"/>
  <c r="AO87" i="70" s="1"/>
  <c r="AM217" i="63"/>
  <c r="AM114" i="63"/>
  <c r="AM121" i="63"/>
  <c r="AM122" i="63" s="1"/>
  <c r="AM110" i="63"/>
  <c r="AP93" i="66"/>
  <c r="AP115" i="66"/>
  <c r="AP113" i="66"/>
  <c r="AQ87" i="66" s="1"/>
  <c r="AR89" i="65"/>
  <c r="AS90" i="65" s="1"/>
  <c r="AQ88" i="65"/>
  <c r="AQ101" i="65"/>
  <c r="AQ100" i="65" s="1"/>
  <c r="AM155" i="70"/>
  <c r="AM157" i="70"/>
  <c r="AO157" i="66"/>
  <c r="AO155" i="66"/>
  <c r="AL128" i="63"/>
  <c r="AL129" i="63" s="1"/>
  <c r="AL154" i="63"/>
  <c r="AN111" i="70"/>
  <c r="AM170" i="63"/>
  <c r="AQ125" i="65"/>
  <c r="AQ105" i="65"/>
  <c r="AQ217" i="65" s="1"/>
  <c r="AP150" i="48"/>
  <c r="AP151" i="48" s="1"/>
  <c r="AP154" i="48" s="1"/>
  <c r="AO138" i="48" s="1"/>
  <c r="AQ110" i="48"/>
  <c r="AQ116" i="48" s="1"/>
  <c r="AR117" i="48" s="1"/>
  <c r="AP127" i="62"/>
  <c r="AP128" i="62" s="1"/>
  <c r="AP129" i="62" s="1"/>
  <c r="AP171" i="62"/>
  <c r="AQ110" i="62"/>
  <c r="AQ114" i="62"/>
  <c r="AR92" i="62" s="1"/>
  <c r="AQ121" i="62"/>
  <c r="AQ122" i="62" s="1"/>
  <c r="AQ170" i="62"/>
  <c r="AQ106" i="62"/>
  <c r="AQ107" i="62" s="1"/>
  <c r="AQ108" i="62" s="1"/>
  <c r="AQ111" i="62" s="1"/>
  <c r="AR102" i="62"/>
  <c r="AQ217" i="62"/>
  <c r="AQ114" i="48"/>
  <c r="AQ112" i="48"/>
  <c r="AR87" i="48" s="1"/>
  <c r="AQ93" i="48"/>
  <c r="AP171" i="65" l="1"/>
  <c r="AP127" i="65"/>
  <c r="AP128" i="65" s="1"/>
  <c r="AP129" i="65" s="1"/>
  <c r="AQ170" i="65"/>
  <c r="AM111" i="63"/>
  <c r="AQ118" i="66"/>
  <c r="AP124" i="66"/>
  <c r="AP127" i="66" s="1"/>
  <c r="AN117" i="70"/>
  <c r="AO118" i="70" s="1"/>
  <c r="AM117" i="63"/>
  <c r="AN118" i="63" s="1"/>
  <c r="AR89" i="66"/>
  <c r="AS90" i="66" s="1"/>
  <c r="AQ101" i="66"/>
  <c r="AQ100" i="66" s="1"/>
  <c r="AQ88" i="66"/>
  <c r="AO101" i="70"/>
  <c r="AO100" i="70" s="1"/>
  <c r="AO88" i="70"/>
  <c r="AP89" i="70"/>
  <c r="AQ90" i="70" s="1"/>
  <c r="AQ121" i="65"/>
  <c r="AQ122" i="65" s="1"/>
  <c r="AQ114" i="65"/>
  <c r="AR92" i="65" s="1"/>
  <c r="AQ110" i="65"/>
  <c r="AL155" i="63"/>
  <c r="AL157" i="63"/>
  <c r="AQ106" i="65"/>
  <c r="AQ107" i="65" s="1"/>
  <c r="AQ108" i="65" s="1"/>
  <c r="AR102" i="65"/>
  <c r="AN92" i="63"/>
  <c r="AN93" i="63" s="1"/>
  <c r="AM115" i="63"/>
  <c r="AM113" i="63"/>
  <c r="AN87" i="63" s="1"/>
  <c r="AP126" i="66"/>
  <c r="AO158" i="66"/>
  <c r="AN142" i="66" s="1"/>
  <c r="AO156" i="66"/>
  <c r="AO159" i="66" s="1"/>
  <c r="AM158" i="70"/>
  <c r="AL142" i="70" s="1"/>
  <c r="AM156" i="70"/>
  <c r="AM159" i="70" s="1"/>
  <c r="AQ105" i="66"/>
  <c r="AQ217" i="66" s="1"/>
  <c r="AQ125" i="66"/>
  <c r="AP152" i="48"/>
  <c r="AP155" i="48" s="1"/>
  <c r="AP153" i="48"/>
  <c r="AP154" i="62"/>
  <c r="AP155" i="62" s="1"/>
  <c r="AQ117" i="62"/>
  <c r="AR118" i="62" s="1"/>
  <c r="AQ123" i="48"/>
  <c r="AQ167" i="48" s="1"/>
  <c r="AQ115" i="62"/>
  <c r="AQ113" i="62"/>
  <c r="AR87" i="62" s="1"/>
  <c r="AQ93" i="62"/>
  <c r="AR100" i="48"/>
  <c r="AR99" i="48" s="1"/>
  <c r="AR88" i="48"/>
  <c r="AS89" i="48"/>
  <c r="AT90" i="48" s="1"/>
  <c r="AR124" i="48"/>
  <c r="AR104" i="48"/>
  <c r="AP171" i="66" l="1"/>
  <c r="AP154" i="65"/>
  <c r="AP157" i="65" s="1"/>
  <c r="AQ111" i="65"/>
  <c r="AQ117" i="65" s="1"/>
  <c r="AR118" i="65" s="1"/>
  <c r="AN124" i="70"/>
  <c r="AQ170" i="66"/>
  <c r="AM124" i="63"/>
  <c r="AQ124" i="65"/>
  <c r="AQ93" i="65"/>
  <c r="AQ113" i="65"/>
  <c r="AR87" i="65" s="1"/>
  <c r="AQ115" i="65"/>
  <c r="AQ106" i="66"/>
  <c r="AQ107" i="66" s="1"/>
  <c r="AQ108" i="66" s="1"/>
  <c r="AR102" i="66"/>
  <c r="AP128" i="66"/>
  <c r="AP129" i="66" s="1"/>
  <c r="AP154" i="66"/>
  <c r="AL156" i="63"/>
  <c r="AL159" i="63" s="1"/>
  <c r="AL158" i="63"/>
  <c r="AK142" i="63" s="1"/>
  <c r="AO106" i="70"/>
  <c r="AP102" i="70"/>
  <c r="AN105" i="63"/>
  <c r="AN170" i="63" s="1"/>
  <c r="AN125" i="63"/>
  <c r="AQ121" i="66"/>
  <c r="AQ122" i="66" s="1"/>
  <c r="AQ110" i="66"/>
  <c r="AQ114" i="66"/>
  <c r="AR92" i="66" s="1"/>
  <c r="AN101" i="63"/>
  <c r="AN100" i="63" s="1"/>
  <c r="AN88" i="63"/>
  <c r="AO89" i="63"/>
  <c r="AP90" i="63" s="1"/>
  <c r="AP155" i="65"/>
  <c r="AO125" i="70"/>
  <c r="AO105" i="70"/>
  <c r="AO217" i="70" s="1"/>
  <c r="AP157" i="62"/>
  <c r="AQ124" i="62"/>
  <c r="AQ127" i="62" s="1"/>
  <c r="AQ128" i="62" s="1"/>
  <c r="AQ129" i="62" s="1"/>
  <c r="AQ126" i="48"/>
  <c r="AQ125" i="48"/>
  <c r="AR101" i="62"/>
  <c r="AR100" i="62" s="1"/>
  <c r="AS89" i="62"/>
  <c r="AT90" i="62" s="1"/>
  <c r="AR88" i="62"/>
  <c r="AP158" i="62"/>
  <c r="AO142" i="62" s="1"/>
  <c r="AP156" i="62"/>
  <c r="AP159" i="62" s="1"/>
  <c r="AR125" i="62"/>
  <c r="AR105" i="62"/>
  <c r="AR217" i="62" s="1"/>
  <c r="AR109" i="48"/>
  <c r="AR120" i="48"/>
  <c r="AR121" i="48" s="1"/>
  <c r="AR113" i="48"/>
  <c r="AS92" i="48" s="1"/>
  <c r="AR166" i="48"/>
  <c r="AR105" i="48"/>
  <c r="AR106" i="48" s="1"/>
  <c r="AR107" i="48" s="1"/>
  <c r="AS101" i="48"/>
  <c r="AM127" i="63" l="1"/>
  <c r="AN171" i="70"/>
  <c r="D165" i="70"/>
  <c r="F165" i="70" s="1"/>
  <c r="G165" i="70" s="1"/>
  <c r="AM171" i="63"/>
  <c r="AQ111" i="66"/>
  <c r="AN126" i="70"/>
  <c r="AN127" i="70"/>
  <c r="AN154" i="70" s="1"/>
  <c r="AM126" i="63"/>
  <c r="AQ117" i="66"/>
  <c r="AR118" i="66" s="1"/>
  <c r="AO107" i="70"/>
  <c r="AO108" i="70" s="1"/>
  <c r="AP155" i="66"/>
  <c r="AP157" i="66"/>
  <c r="AR101" i="65"/>
  <c r="AR100" i="65" s="1"/>
  <c r="AS89" i="65"/>
  <c r="AT90" i="65" s="1"/>
  <c r="AR88" i="65"/>
  <c r="AQ113" i="66"/>
  <c r="AR87" i="66" s="1"/>
  <c r="AQ93" i="66"/>
  <c r="AQ115" i="66"/>
  <c r="AM128" i="63"/>
  <c r="AM129" i="63" s="1"/>
  <c r="AM154" i="63"/>
  <c r="AN106" i="63"/>
  <c r="AN107" i="63" s="1"/>
  <c r="AN108" i="63" s="1"/>
  <c r="AO102" i="63"/>
  <c r="AN217" i="63"/>
  <c r="AN114" i="63"/>
  <c r="AN121" i="63"/>
  <c r="AN122" i="63" s="1"/>
  <c r="AN110" i="63"/>
  <c r="AR125" i="65"/>
  <c r="AR105" i="65"/>
  <c r="AR217" i="65" s="1"/>
  <c r="AO170" i="70"/>
  <c r="AO110" i="70"/>
  <c r="AO121" i="70"/>
  <c r="AO122" i="70" s="1"/>
  <c r="AO114" i="70"/>
  <c r="AP158" i="65"/>
  <c r="AO142" i="65" s="1"/>
  <c r="AP156" i="65"/>
  <c r="AP159" i="65" s="1"/>
  <c r="AQ171" i="65"/>
  <c r="AQ127" i="65"/>
  <c r="AQ126" i="65"/>
  <c r="AQ127" i="48"/>
  <c r="AQ128" i="48" s="1"/>
  <c r="AQ150" i="48"/>
  <c r="AQ151" i="48" s="1"/>
  <c r="AQ153" i="48" s="1"/>
  <c r="AR110" i="48"/>
  <c r="AR116" i="48" s="1"/>
  <c r="AS117" i="48" s="1"/>
  <c r="AQ171" i="62"/>
  <c r="AQ126" i="62"/>
  <c r="AR121" i="62"/>
  <c r="AR122" i="62" s="1"/>
  <c r="AR114" i="62"/>
  <c r="AS92" i="62" s="1"/>
  <c r="AR110" i="62"/>
  <c r="AQ154" i="62"/>
  <c r="AR106" i="62"/>
  <c r="AR107" i="62" s="1"/>
  <c r="AR108" i="62" s="1"/>
  <c r="AS102" i="62"/>
  <c r="AR170" i="62"/>
  <c r="AR114" i="48"/>
  <c r="AR112" i="48"/>
  <c r="AS87" i="48" s="1"/>
  <c r="AR93" i="48"/>
  <c r="AN128" i="70" l="1"/>
  <c r="AN129" i="70" s="1"/>
  <c r="AQ124" i="66"/>
  <c r="AQ126" i="66" s="1"/>
  <c r="AN111" i="63"/>
  <c r="AN117" i="63" s="1"/>
  <c r="AO118" i="63" s="1"/>
  <c r="AQ154" i="65"/>
  <c r="AQ128" i="65"/>
  <c r="AQ129" i="65" s="1"/>
  <c r="AP156" i="66"/>
  <c r="AP159" i="66" s="1"/>
  <c r="AP158" i="66"/>
  <c r="AO142" i="66" s="1"/>
  <c r="AO113" i="70"/>
  <c r="AP87" i="70" s="1"/>
  <c r="AP92" i="70"/>
  <c r="AP93" i="70" s="1"/>
  <c r="AO115" i="70"/>
  <c r="AR121" i="65"/>
  <c r="AR122" i="65" s="1"/>
  <c r="AR110" i="65"/>
  <c r="AR114" i="65"/>
  <c r="AS92" i="65" s="1"/>
  <c r="AN115" i="63"/>
  <c r="AN113" i="63"/>
  <c r="AO87" i="63" s="1"/>
  <c r="AO92" i="63"/>
  <c r="AO93" i="63" s="1"/>
  <c r="AM157" i="63"/>
  <c r="AM155" i="63"/>
  <c r="AR106" i="65"/>
  <c r="AR107" i="65" s="1"/>
  <c r="AR108" i="65" s="1"/>
  <c r="AS102" i="65"/>
  <c r="AO111" i="70"/>
  <c r="AR88" i="66"/>
  <c r="AS89" i="66"/>
  <c r="AT90" i="66" s="1"/>
  <c r="AR101" i="66"/>
  <c r="AR100" i="66" s="1"/>
  <c r="AQ171" i="66"/>
  <c r="AR170" i="65"/>
  <c r="AN155" i="70"/>
  <c r="AN157" i="70"/>
  <c r="AR125" i="66"/>
  <c r="AR105" i="66"/>
  <c r="AR170" i="66" s="1"/>
  <c r="AQ152" i="48"/>
  <c r="AQ155" i="48" s="1"/>
  <c r="AQ154" i="48"/>
  <c r="AP138" i="48" s="1"/>
  <c r="AR111" i="62"/>
  <c r="AR117" i="62" s="1"/>
  <c r="AS118" i="62" s="1"/>
  <c r="AQ155" i="62"/>
  <c r="AQ157" i="62"/>
  <c r="AR123" i="48"/>
  <c r="AR125" i="48" s="1"/>
  <c r="AR93" i="62"/>
  <c r="AR115" i="62"/>
  <c r="AR113" i="62"/>
  <c r="AS87" i="62" s="1"/>
  <c r="AS88" i="48"/>
  <c r="AT89" i="48"/>
  <c r="AU90" i="48" s="1"/>
  <c r="AS100" i="48"/>
  <c r="AS99" i="48" s="1"/>
  <c r="AS124" i="48"/>
  <c r="AS104" i="48"/>
  <c r="AQ127" i="66" l="1"/>
  <c r="AR111" i="65"/>
  <c r="AR117" i="65" s="1"/>
  <c r="AS118" i="65" s="1"/>
  <c r="AN124" i="63"/>
  <c r="AN171" i="63" s="1"/>
  <c r="AR121" i="66"/>
  <c r="AR122" i="66" s="1"/>
  <c r="AR110" i="66"/>
  <c r="AR114" i="66"/>
  <c r="AS92" i="66" s="1"/>
  <c r="AO117" i="70"/>
  <c r="AP118" i="70" s="1"/>
  <c r="AM156" i="63"/>
  <c r="AM159" i="63" s="1"/>
  <c r="AM158" i="63"/>
  <c r="AL142" i="63" s="1"/>
  <c r="AR115" i="65"/>
  <c r="AR113" i="65"/>
  <c r="AS87" i="65" s="1"/>
  <c r="AR93" i="65"/>
  <c r="AR106" i="66"/>
  <c r="AR107" i="66" s="1"/>
  <c r="AR108" i="66" s="1"/>
  <c r="AS102" i="66"/>
  <c r="AQ89" i="70"/>
  <c r="AR90" i="70" s="1"/>
  <c r="AP101" i="70"/>
  <c r="AP100" i="70" s="1"/>
  <c r="AP88" i="70"/>
  <c r="AO125" i="63"/>
  <c r="AO105" i="63"/>
  <c r="AN158" i="70"/>
  <c r="AM142" i="70" s="1"/>
  <c r="AN156" i="70"/>
  <c r="AN159" i="70" s="1"/>
  <c r="B165" i="70" s="1"/>
  <c r="AQ128" i="66"/>
  <c r="AQ129" i="66" s="1"/>
  <c r="AQ154" i="66"/>
  <c r="AR217" i="66"/>
  <c r="AO101" i="63"/>
  <c r="AO100" i="63" s="1"/>
  <c r="AP89" i="63"/>
  <c r="AQ90" i="63" s="1"/>
  <c r="AO88" i="63"/>
  <c r="AQ155" i="65"/>
  <c r="AQ157" i="65"/>
  <c r="AR167" i="48"/>
  <c r="AR126" i="48"/>
  <c r="AR124" i="62"/>
  <c r="AR171" i="62" s="1"/>
  <c r="AQ156" i="62"/>
  <c r="AQ159" i="62" s="1"/>
  <c r="AQ158" i="62"/>
  <c r="AP142" i="62" s="1"/>
  <c r="AT89" i="62"/>
  <c r="AU90" i="62" s="1"/>
  <c r="AS101" i="62"/>
  <c r="AS100" i="62" s="1"/>
  <c r="AS88" i="62"/>
  <c r="AS125" i="62"/>
  <c r="AS105" i="62"/>
  <c r="AS217" i="62" s="1"/>
  <c r="AS105" i="48"/>
  <c r="AS106" i="48" s="1"/>
  <c r="AS107" i="48" s="1"/>
  <c r="AT101" i="48"/>
  <c r="AS109" i="48"/>
  <c r="AS113" i="48"/>
  <c r="AT92" i="48" s="1"/>
  <c r="AS120" i="48"/>
  <c r="AS121" i="48" s="1"/>
  <c r="AS166" i="48"/>
  <c r="AN127" i="63" l="1"/>
  <c r="AN128" i="63" s="1"/>
  <c r="AN129" i="63" s="1"/>
  <c r="D165" i="63"/>
  <c r="F165" i="63" s="1"/>
  <c r="G165" i="63" s="1"/>
  <c r="AN126" i="63"/>
  <c r="AO124" i="70"/>
  <c r="AO127" i="70" s="1"/>
  <c r="AR124" i="65"/>
  <c r="AR111" i="66"/>
  <c r="AR117" i="66" s="1"/>
  <c r="AS118" i="66" s="1"/>
  <c r="AQ156" i="65"/>
  <c r="AQ159" i="65" s="1"/>
  <c r="AQ158" i="65"/>
  <c r="AP142" i="65" s="1"/>
  <c r="AO106" i="63"/>
  <c r="AO107" i="63" s="1"/>
  <c r="AO108" i="63" s="1"/>
  <c r="AP102" i="63"/>
  <c r="AO217" i="63"/>
  <c r="AO114" i="63"/>
  <c r="AO110" i="63"/>
  <c r="AO121" i="63"/>
  <c r="AO122" i="63" s="1"/>
  <c r="AN154" i="63"/>
  <c r="AQ157" i="66"/>
  <c r="AQ155" i="66"/>
  <c r="AT89" i="65"/>
  <c r="AU90" i="65" s="1"/>
  <c r="AS88" i="65"/>
  <c r="AS101" i="65"/>
  <c r="AS100" i="65" s="1"/>
  <c r="AS125" i="65"/>
  <c r="AS105" i="65"/>
  <c r="AS217" i="65" s="1"/>
  <c r="AO170" i="63"/>
  <c r="AP106" i="70"/>
  <c r="AQ102" i="70"/>
  <c r="AP125" i="70"/>
  <c r="AP105" i="70"/>
  <c r="AR93" i="66"/>
  <c r="AR115" i="66"/>
  <c r="AR113" i="66"/>
  <c r="AS87" i="66" s="1"/>
  <c r="AR126" i="65"/>
  <c r="AR127" i="65"/>
  <c r="AR171" i="65"/>
  <c r="AR150" i="48"/>
  <c r="AR151" i="48" s="1"/>
  <c r="AR152" i="48" s="1"/>
  <c r="AR155" i="48" s="1"/>
  <c r="AR127" i="48"/>
  <c r="AR128" i="48" s="1"/>
  <c r="AR127" i="62"/>
  <c r="AR126" i="62"/>
  <c r="AS170" i="62"/>
  <c r="AS106" i="62"/>
  <c r="AS107" i="62" s="1"/>
  <c r="AS108" i="62" s="1"/>
  <c r="AT102" i="62"/>
  <c r="AS121" i="62"/>
  <c r="AS122" i="62" s="1"/>
  <c r="AS114" i="62"/>
  <c r="AT92" i="62" s="1"/>
  <c r="AS110" i="62"/>
  <c r="AS110" i="48"/>
  <c r="AS116" i="48" s="1"/>
  <c r="AT117" i="48" s="1"/>
  <c r="AS114" i="48"/>
  <c r="AS93" i="48"/>
  <c r="AS112" i="48"/>
  <c r="AT87" i="48" s="1"/>
  <c r="AO126" i="70" l="1"/>
  <c r="AO171" i="70"/>
  <c r="AR124" i="66"/>
  <c r="AR171" i="66" s="1"/>
  <c r="AS170" i="65"/>
  <c r="AS121" i="65"/>
  <c r="AS122" i="65" s="1"/>
  <c r="AS114" i="65"/>
  <c r="AT92" i="65" s="1"/>
  <c r="AS110" i="65"/>
  <c r="AS106" i="65"/>
  <c r="AS107" i="65" s="1"/>
  <c r="AS108" i="65" s="1"/>
  <c r="AT102" i="65"/>
  <c r="AQ156" i="66"/>
  <c r="AQ159" i="66" s="1"/>
  <c r="AQ158" i="66"/>
  <c r="AP142" i="66" s="1"/>
  <c r="AN157" i="63"/>
  <c r="AN155" i="63"/>
  <c r="AO113" i="63"/>
  <c r="AP87" i="63" s="1"/>
  <c r="AO115" i="63"/>
  <c r="AP92" i="63"/>
  <c r="AP93" i="63" s="1"/>
  <c r="AR128" i="65"/>
  <c r="AR129" i="65" s="1"/>
  <c r="AR154" i="65"/>
  <c r="AP107" i="70"/>
  <c r="AP108" i="70" s="1"/>
  <c r="AO128" i="70"/>
  <c r="AO129" i="70" s="1"/>
  <c r="AO154" i="70"/>
  <c r="AP217" i="70"/>
  <c r="AP110" i="70"/>
  <c r="AP121" i="70"/>
  <c r="AP122" i="70" s="1"/>
  <c r="AP114" i="70"/>
  <c r="AT89" i="66"/>
  <c r="AU90" i="66" s="1"/>
  <c r="AS101" i="66"/>
  <c r="AS100" i="66" s="1"/>
  <c r="AS88" i="66"/>
  <c r="AP170" i="70"/>
  <c r="AO111" i="63"/>
  <c r="AS125" i="66"/>
  <c r="AS105" i="66"/>
  <c r="AS217" i="66" s="1"/>
  <c r="AR154" i="48"/>
  <c r="AQ138" i="48" s="1"/>
  <c r="AR153" i="48"/>
  <c r="AR154" i="62"/>
  <c r="AR157" i="62" s="1"/>
  <c r="AR128" i="62"/>
  <c r="AR129" i="62" s="1"/>
  <c r="AS111" i="62"/>
  <c r="AS117" i="62" s="1"/>
  <c r="AS124" i="62" s="1"/>
  <c r="AS115" i="62"/>
  <c r="AS113" i="62"/>
  <c r="AT87" i="62" s="1"/>
  <c r="AS93" i="62"/>
  <c r="AT124" i="48"/>
  <c r="AT104" i="48"/>
  <c r="AU89" i="48"/>
  <c r="AV90" i="48" s="1"/>
  <c r="AT100" i="48"/>
  <c r="AT99" i="48" s="1"/>
  <c r="AT88" i="48"/>
  <c r="AS123" i="48"/>
  <c r="AS111" i="65" l="1"/>
  <c r="AS117" i="65" s="1"/>
  <c r="AR127" i="66"/>
  <c r="AR126" i="66"/>
  <c r="AS124" i="65"/>
  <c r="AT118" i="65"/>
  <c r="AS113" i="65"/>
  <c r="AT87" i="65" s="1"/>
  <c r="AS115" i="65"/>
  <c r="AS93" i="65"/>
  <c r="AS121" i="66"/>
  <c r="AS122" i="66" s="1"/>
  <c r="AS110" i="66"/>
  <c r="AS114" i="66"/>
  <c r="AT92" i="66" s="1"/>
  <c r="AQ92" i="70"/>
  <c r="AQ93" i="70" s="1"/>
  <c r="AP115" i="70"/>
  <c r="AP113" i="70"/>
  <c r="AQ87" i="70" s="1"/>
  <c r="AO155" i="70"/>
  <c r="AO157" i="70"/>
  <c r="AR155" i="65"/>
  <c r="AR157" i="65"/>
  <c r="AP88" i="63"/>
  <c r="AQ89" i="63"/>
  <c r="AR90" i="63" s="1"/>
  <c r="AP101" i="63"/>
  <c r="AP100" i="63" s="1"/>
  <c r="AO117" i="63"/>
  <c r="AP118" i="63" s="1"/>
  <c r="AR128" i="66"/>
  <c r="AR129" i="66" s="1"/>
  <c r="AR154" i="66"/>
  <c r="AN158" i="63"/>
  <c r="AM142" i="63" s="1"/>
  <c r="AN156" i="63"/>
  <c r="AN159" i="63" s="1"/>
  <c r="B165" i="63" s="1"/>
  <c r="AS170" i="66"/>
  <c r="AS106" i="66"/>
  <c r="AS107" i="66" s="1"/>
  <c r="AS108" i="66" s="1"/>
  <c r="AT102" i="66"/>
  <c r="AP111" i="70"/>
  <c r="AR155" i="62"/>
  <c r="AR156" i="62" s="1"/>
  <c r="AR159" i="62" s="1"/>
  <c r="AT118" i="62"/>
  <c r="AT125" i="62" s="1"/>
  <c r="AT88" i="62"/>
  <c r="AT101" i="62"/>
  <c r="AT100" i="62" s="1"/>
  <c r="AU89" i="62"/>
  <c r="AV90" i="62" s="1"/>
  <c r="AS127" i="62"/>
  <c r="AS128" i="62" s="1"/>
  <c r="AS129" i="62" s="1"/>
  <c r="AS126" i="62"/>
  <c r="AS171" i="62"/>
  <c r="AT113" i="48"/>
  <c r="AU92" i="48" s="1"/>
  <c r="AT120" i="48"/>
  <c r="AT121" i="48" s="1"/>
  <c r="AT109" i="48"/>
  <c r="AT105" i="48"/>
  <c r="AT106" i="48" s="1"/>
  <c r="AT107" i="48" s="1"/>
  <c r="AU101" i="48"/>
  <c r="AT166" i="48"/>
  <c r="AS125" i="48"/>
  <c r="AS126" i="48"/>
  <c r="AS127" i="48" s="1"/>
  <c r="AS167" i="48"/>
  <c r="AS111" i="66" l="1"/>
  <c r="AS117" i="66" s="1"/>
  <c r="AT118" i="66" s="1"/>
  <c r="AO124" i="63"/>
  <c r="AO127" i="63" s="1"/>
  <c r="AP106" i="63"/>
  <c r="AQ102" i="63"/>
  <c r="AR156" i="65"/>
  <c r="AR159" i="65" s="1"/>
  <c r="AR158" i="65"/>
  <c r="AQ142" i="65" s="1"/>
  <c r="AS113" i="66"/>
  <c r="AT87" i="66" s="1"/>
  <c r="AS93" i="66"/>
  <c r="AS115" i="66"/>
  <c r="AO171" i="63"/>
  <c r="AT88" i="65"/>
  <c r="AT101" i="65"/>
  <c r="AT100" i="65" s="1"/>
  <c r="AU89" i="65"/>
  <c r="AV90" i="65" s="1"/>
  <c r="AP125" i="63"/>
  <c r="AP105" i="63"/>
  <c r="AP217" i="63" s="1"/>
  <c r="AO158" i="70"/>
  <c r="AN142" i="70" s="1"/>
  <c r="AO156" i="70"/>
  <c r="AO159" i="70" s="1"/>
  <c r="AT125" i="65"/>
  <c r="AT105" i="65"/>
  <c r="AT170" i="65" s="1"/>
  <c r="AP117" i="70"/>
  <c r="AQ118" i="70" s="1"/>
  <c r="AR157" i="66"/>
  <c r="AR155" i="66"/>
  <c r="AQ88" i="70"/>
  <c r="AQ101" i="70"/>
  <c r="AQ100" i="70" s="1"/>
  <c r="AR89" i="70"/>
  <c r="AS90" i="70" s="1"/>
  <c r="AS126" i="65"/>
  <c r="AS127" i="65"/>
  <c r="AS171" i="65"/>
  <c r="AR158" i="62"/>
  <c r="AQ142" i="62" s="1"/>
  <c r="AT110" i="48"/>
  <c r="AT116" i="48" s="1"/>
  <c r="AU117" i="48" s="1"/>
  <c r="AT105" i="62"/>
  <c r="AT217" i="62" s="1"/>
  <c r="AS154" i="62"/>
  <c r="AT106" i="62"/>
  <c r="AU102" i="62"/>
  <c r="AS150" i="48"/>
  <c r="AS151" i="48" s="1"/>
  <c r="AS128" i="48"/>
  <c r="AT114" i="48"/>
  <c r="AT112" i="48"/>
  <c r="AU87" i="48" s="1"/>
  <c r="AT93" i="48"/>
  <c r="AS124" i="66" l="1"/>
  <c r="AO126" i="63"/>
  <c r="AQ106" i="70"/>
  <c r="AR102" i="70"/>
  <c r="AP124" i="70"/>
  <c r="AU89" i="66"/>
  <c r="AV90" i="66" s="1"/>
  <c r="AT101" i="66"/>
  <c r="AT100" i="66" s="1"/>
  <c r="AT88" i="66"/>
  <c r="AP107" i="63"/>
  <c r="AP108" i="63" s="1"/>
  <c r="AS128" i="65"/>
  <c r="AS129" i="65" s="1"/>
  <c r="AS154" i="65"/>
  <c r="AQ125" i="70"/>
  <c r="AQ105" i="70"/>
  <c r="AQ170" i="70" s="1"/>
  <c r="AP170" i="63"/>
  <c r="AP110" i="63"/>
  <c r="AP121" i="63"/>
  <c r="AP122" i="63" s="1"/>
  <c r="AP114" i="63"/>
  <c r="AT106" i="65"/>
  <c r="AT107" i="65" s="1"/>
  <c r="AT108" i="65" s="1"/>
  <c r="AU102" i="65"/>
  <c r="AO128" i="63"/>
  <c r="AO129" i="63" s="1"/>
  <c r="AO154" i="63"/>
  <c r="AR156" i="66"/>
  <c r="AR159" i="66" s="1"/>
  <c r="AR158" i="66"/>
  <c r="AQ142" i="66" s="1"/>
  <c r="AT217" i="65"/>
  <c r="AT110" i="65"/>
  <c r="AT121" i="65"/>
  <c r="AT122" i="65" s="1"/>
  <c r="AT114" i="65"/>
  <c r="AU92" i="65" s="1"/>
  <c r="AS171" i="66"/>
  <c r="AS127" i="66"/>
  <c r="AS126" i="66"/>
  <c r="AT125" i="66"/>
  <c r="AT105" i="66"/>
  <c r="AT170" i="66" s="1"/>
  <c r="AT123" i="48"/>
  <c r="AT125" i="48" s="1"/>
  <c r="AT110" i="62"/>
  <c r="AT114" i="62"/>
  <c r="AT107" i="62"/>
  <c r="AT108" i="62" s="1"/>
  <c r="AT121" i="62"/>
  <c r="AT122" i="62" s="1"/>
  <c r="AT170" i="62"/>
  <c r="AS155" i="62"/>
  <c r="AS157" i="62"/>
  <c r="AS153" i="48"/>
  <c r="AS152" i="48"/>
  <c r="AS155" i="48" s="1"/>
  <c r="AS154" i="48"/>
  <c r="AR138" i="48" s="1"/>
  <c r="AU88" i="48"/>
  <c r="AU100" i="48"/>
  <c r="AU99" i="48" s="1"/>
  <c r="AV89" i="48"/>
  <c r="AW90" i="48" s="1"/>
  <c r="AU124" i="48"/>
  <c r="AU104" i="48"/>
  <c r="AU166" i="48" s="1"/>
  <c r="AT111" i="65" l="1"/>
  <c r="AT117" i="65" s="1"/>
  <c r="AT124" i="65" s="1"/>
  <c r="AP111" i="63"/>
  <c r="AT217" i="66"/>
  <c r="AO157" i="63"/>
  <c r="AO155" i="63"/>
  <c r="AP127" i="70"/>
  <c r="AP126" i="70"/>
  <c r="AP171" i="70"/>
  <c r="AS154" i="66"/>
  <c r="AS128" i="66"/>
  <c r="AS129" i="66" s="1"/>
  <c r="AT115" i="65"/>
  <c r="AT113" i="65"/>
  <c r="AU87" i="65" s="1"/>
  <c r="AT93" i="65"/>
  <c r="AQ92" i="63"/>
  <c r="AQ93" i="63" s="1"/>
  <c r="AP115" i="63"/>
  <c r="AP113" i="63"/>
  <c r="AQ87" i="63" s="1"/>
  <c r="AS157" i="65"/>
  <c r="AS155" i="65"/>
  <c r="AT114" i="66"/>
  <c r="AU92" i="66" s="1"/>
  <c r="AT110" i="66"/>
  <c r="AT121" i="66"/>
  <c r="AT122" i="66" s="1"/>
  <c r="AQ217" i="70"/>
  <c r="AQ110" i="70"/>
  <c r="AQ121" i="70"/>
  <c r="AQ122" i="70" s="1"/>
  <c r="AQ114" i="70"/>
  <c r="AT106" i="66"/>
  <c r="AT107" i="66" s="1"/>
  <c r="AT108" i="66" s="1"/>
  <c r="AU102" i="66"/>
  <c r="AQ107" i="70"/>
  <c r="AQ108" i="70" s="1"/>
  <c r="AT167" i="48"/>
  <c r="AT126" i="48"/>
  <c r="AT127" i="48" s="1"/>
  <c r="AT128" i="48" s="1"/>
  <c r="AT115" i="62"/>
  <c r="AU92" i="62"/>
  <c r="AT93" i="62"/>
  <c r="AT111" i="62"/>
  <c r="AT117" i="62" s="1"/>
  <c r="AU118" i="62" s="1"/>
  <c r="AU125" i="62" s="1"/>
  <c r="AT113" i="62"/>
  <c r="AU87" i="62" s="1"/>
  <c r="AV89" i="62" s="1"/>
  <c r="AW90" i="62" s="1"/>
  <c r="AS158" i="62"/>
  <c r="AR142" i="62" s="1"/>
  <c r="AS156" i="62"/>
  <c r="AS159" i="62" s="1"/>
  <c r="AU109" i="48"/>
  <c r="AU120" i="48"/>
  <c r="AU121" i="48" s="1"/>
  <c r="AU113" i="48"/>
  <c r="AV92" i="48" s="1"/>
  <c r="AU105" i="48"/>
  <c r="AU106" i="48" s="1"/>
  <c r="AU107" i="48" s="1"/>
  <c r="AV101" i="48"/>
  <c r="AT111" i="66" l="1"/>
  <c r="AT117" i="66" s="1"/>
  <c r="AU118" i="66" s="1"/>
  <c r="AU118" i="65"/>
  <c r="AU125" i="65" s="1"/>
  <c r="AT113" i="66"/>
  <c r="AU87" i="66" s="1"/>
  <c r="AT93" i="66"/>
  <c r="AT115" i="66"/>
  <c r="AS155" i="66"/>
  <c r="AS157" i="66"/>
  <c r="AP117" i="63"/>
  <c r="AQ118" i="63" s="1"/>
  <c r="AQ88" i="63"/>
  <c r="AR89" i="63"/>
  <c r="AS90" i="63" s="1"/>
  <c r="AQ101" i="63"/>
  <c r="AQ100" i="63" s="1"/>
  <c r="AV89" i="65"/>
  <c r="AW90" i="65" s="1"/>
  <c r="AU88" i="65"/>
  <c r="AU101" i="65"/>
  <c r="AU100" i="65" s="1"/>
  <c r="AO158" i="63"/>
  <c r="AN142" i="63" s="1"/>
  <c r="AO156" i="63"/>
  <c r="AO159" i="63" s="1"/>
  <c r="AQ111" i="70"/>
  <c r="AR92" i="70"/>
  <c r="AR93" i="70" s="1"/>
  <c r="AQ113" i="70"/>
  <c r="AR87" i="70" s="1"/>
  <c r="AQ115" i="70"/>
  <c r="AS158" i="65"/>
  <c r="AR142" i="65" s="1"/>
  <c r="AS156" i="65"/>
  <c r="AS159" i="65" s="1"/>
  <c r="AP128" i="70"/>
  <c r="AP129" i="70" s="1"/>
  <c r="AP154" i="70"/>
  <c r="AT127" i="65"/>
  <c r="AT126" i="65"/>
  <c r="AT171" i="65"/>
  <c r="AT150" i="48"/>
  <c r="AT151" i="48" s="1"/>
  <c r="AT152" i="48" s="1"/>
  <c r="AT155" i="48" s="1"/>
  <c r="AU88" i="62"/>
  <c r="AU101" i="62"/>
  <c r="AU100" i="62" s="1"/>
  <c r="AV102" i="62" s="1"/>
  <c r="AU105" i="62"/>
  <c r="AU217" i="62" s="1"/>
  <c r="AT124" i="62"/>
  <c r="AU110" i="48"/>
  <c r="AU116" i="48" s="1"/>
  <c r="AV117" i="48" s="1"/>
  <c r="AU114" i="48"/>
  <c r="AU112" i="48"/>
  <c r="AV87" i="48" s="1"/>
  <c r="AU93" i="48"/>
  <c r="AT124" i="66" l="1"/>
  <c r="AT127" i="66" s="1"/>
  <c r="AU105" i="65"/>
  <c r="AU217" i="65" s="1"/>
  <c r="AT128" i="65"/>
  <c r="AT129" i="65" s="1"/>
  <c r="AT154" i="65"/>
  <c r="AQ117" i="70"/>
  <c r="AR118" i="70" s="1"/>
  <c r="AU106" i="65"/>
  <c r="AU107" i="65" s="1"/>
  <c r="AU108" i="65" s="1"/>
  <c r="AV102" i="65"/>
  <c r="AU101" i="66"/>
  <c r="AU100" i="66" s="1"/>
  <c r="AV89" i="66"/>
  <c r="AW90" i="66" s="1"/>
  <c r="AU88" i="66"/>
  <c r="AP155" i="70"/>
  <c r="AP157" i="70"/>
  <c r="AS158" i="66"/>
  <c r="AR142" i="66" s="1"/>
  <c r="AS156" i="66"/>
  <c r="AS159" i="66" s="1"/>
  <c r="AS89" i="70"/>
  <c r="AT90" i="70" s="1"/>
  <c r="AR101" i="70"/>
  <c r="AR100" i="70" s="1"/>
  <c r="AR88" i="70"/>
  <c r="AP124" i="63"/>
  <c r="AT126" i="66"/>
  <c r="AT171" i="66"/>
  <c r="AQ106" i="63"/>
  <c r="AR102" i="63"/>
  <c r="AQ105" i="63"/>
  <c r="AQ170" i="63" s="1"/>
  <c r="AQ125" i="63"/>
  <c r="AU125" i="66"/>
  <c r="AU105" i="66"/>
  <c r="AU170" i="66" s="1"/>
  <c r="AT153" i="48"/>
  <c r="AT154" i="48"/>
  <c r="AS138" i="48" s="1"/>
  <c r="AU123" i="48"/>
  <c r="AU125" i="48" s="1"/>
  <c r="AU114" i="62"/>
  <c r="AU106" i="62"/>
  <c r="AU107" i="62" s="1"/>
  <c r="AU108" i="62" s="1"/>
  <c r="AU170" i="62"/>
  <c r="AU121" i="62"/>
  <c r="AU122" i="62" s="1"/>
  <c r="AU110" i="62"/>
  <c r="AT127" i="62"/>
  <c r="AT128" i="62" s="1"/>
  <c r="AT129" i="62" s="1"/>
  <c r="AT171" i="62"/>
  <c r="AT126" i="62"/>
  <c r="AU93" i="62"/>
  <c r="AV100" i="48"/>
  <c r="AV99" i="48" s="1"/>
  <c r="AW89" i="48"/>
  <c r="AX90" i="48" s="1"/>
  <c r="AV88" i="48"/>
  <c r="AV124" i="48"/>
  <c r="AV104" i="48"/>
  <c r="AU110" i="65" l="1"/>
  <c r="AU121" i="65"/>
  <c r="AU122" i="65" s="1"/>
  <c r="AU114" i="65"/>
  <c r="AV92" i="65" s="1"/>
  <c r="AU170" i="65"/>
  <c r="AQ124" i="70"/>
  <c r="AQ126" i="70" s="1"/>
  <c r="AU111" i="65"/>
  <c r="AQ107" i="63"/>
  <c r="AQ108" i="63" s="1"/>
  <c r="AQ217" i="63"/>
  <c r="AQ121" i="63"/>
  <c r="AQ122" i="63" s="1"/>
  <c r="AQ114" i="63"/>
  <c r="AQ110" i="63"/>
  <c r="AR106" i="70"/>
  <c r="AS102" i="70"/>
  <c r="AU117" i="65"/>
  <c r="AV118" i="65" s="1"/>
  <c r="AU121" i="66"/>
  <c r="AU122" i="66" s="1"/>
  <c r="AU114" i="66"/>
  <c r="AV92" i="66" s="1"/>
  <c r="AU110" i="66"/>
  <c r="AT154" i="66"/>
  <c r="AT128" i="66"/>
  <c r="AT129" i="66" s="1"/>
  <c r="AR125" i="70"/>
  <c r="AR105" i="70"/>
  <c r="AP127" i="63"/>
  <c r="AP126" i="63"/>
  <c r="AP171" i="63"/>
  <c r="AT155" i="65"/>
  <c r="AT157" i="65"/>
  <c r="AU217" i="66"/>
  <c r="AU93" i="65"/>
  <c r="AP158" i="70"/>
  <c r="AO142" i="70" s="1"/>
  <c r="AP156" i="70"/>
  <c r="AP159" i="70" s="1"/>
  <c r="AU106" i="66"/>
  <c r="AU107" i="66" s="1"/>
  <c r="AU108" i="66" s="1"/>
  <c r="AU111" i="66" s="1"/>
  <c r="AV102" i="66"/>
  <c r="AU167" i="48"/>
  <c r="AU126" i="48"/>
  <c r="AU127" i="48" s="1"/>
  <c r="AU128" i="48" s="1"/>
  <c r="AU115" i="62"/>
  <c r="AV92" i="62"/>
  <c r="AU113" i="62"/>
  <c r="AV87" i="62" s="1"/>
  <c r="AW89" i="62" s="1"/>
  <c r="AX90" i="62" s="1"/>
  <c r="AU111" i="62"/>
  <c r="AU117" i="62" s="1"/>
  <c r="AV118" i="62" s="1"/>
  <c r="AV125" i="62" s="1"/>
  <c r="AT154" i="62"/>
  <c r="AV120" i="48"/>
  <c r="AV121" i="48" s="1"/>
  <c r="AV113" i="48"/>
  <c r="AW92" i="48" s="1"/>
  <c r="AV109" i="48"/>
  <c r="AV105" i="48"/>
  <c r="AV106" i="48" s="1"/>
  <c r="AV107" i="48" s="1"/>
  <c r="AW101" i="48"/>
  <c r="AU115" i="65" l="1"/>
  <c r="AU113" i="65"/>
  <c r="AV87" i="65" s="1"/>
  <c r="AQ171" i="70"/>
  <c r="AQ127" i="70"/>
  <c r="AQ128" i="70" s="1"/>
  <c r="AQ129" i="70" s="1"/>
  <c r="AQ111" i="63"/>
  <c r="AQ117" i="63" s="1"/>
  <c r="AR118" i="63" s="1"/>
  <c r="AU117" i="66"/>
  <c r="AV118" i="66" s="1"/>
  <c r="AU124" i="65"/>
  <c r="AR217" i="70"/>
  <c r="AR110" i="70"/>
  <c r="AR121" i="70"/>
  <c r="AR122" i="70" s="1"/>
  <c r="AR114" i="70"/>
  <c r="AT155" i="66"/>
  <c r="AT157" i="66"/>
  <c r="AV125" i="65"/>
  <c r="AV105" i="65"/>
  <c r="AR92" i="63"/>
  <c r="AR93" i="63" s="1"/>
  <c r="AQ115" i="63"/>
  <c r="AQ113" i="63"/>
  <c r="AR87" i="63" s="1"/>
  <c r="AR170" i="70"/>
  <c r="AU115" i="66"/>
  <c r="AU113" i="66"/>
  <c r="AV87" i="66" s="1"/>
  <c r="AU93" i="66"/>
  <c r="AV88" i="65"/>
  <c r="AV101" i="65"/>
  <c r="AV100" i="65" s="1"/>
  <c r="AW89" i="65"/>
  <c r="AX90" i="65" s="1"/>
  <c r="AT158" i="65"/>
  <c r="AS142" i="65" s="1"/>
  <c r="AT156" i="65"/>
  <c r="AT159" i="65" s="1"/>
  <c r="AP128" i="63"/>
  <c r="AP129" i="63" s="1"/>
  <c r="AP154" i="63"/>
  <c r="AR107" i="70"/>
  <c r="AR108" i="70" s="1"/>
  <c r="AR111" i="70" s="1"/>
  <c r="AV110" i="48"/>
  <c r="AV116" i="48" s="1"/>
  <c r="AW117" i="48" s="1"/>
  <c r="AU150" i="48"/>
  <c r="AU151" i="48" s="1"/>
  <c r="AU152" i="48" s="1"/>
  <c r="AU155" i="48" s="1"/>
  <c r="AV88" i="62"/>
  <c r="AV101" i="62"/>
  <c r="AV100" i="62" s="1"/>
  <c r="AW102" i="62" s="1"/>
  <c r="AV105" i="62"/>
  <c r="AV121" i="62" s="1"/>
  <c r="AV122" i="62" s="1"/>
  <c r="AU124" i="62"/>
  <c r="AU171" i="62" s="1"/>
  <c r="AT157" i="62"/>
  <c r="AT155" i="62"/>
  <c r="AV114" i="48"/>
  <c r="AV112" i="48"/>
  <c r="AW87" i="48" s="1"/>
  <c r="AV93" i="48"/>
  <c r="AQ154" i="70" l="1"/>
  <c r="AU124" i="66"/>
  <c r="AR88" i="63"/>
  <c r="AR101" i="63"/>
  <c r="AR100" i="63" s="1"/>
  <c r="AS89" i="63"/>
  <c r="AT90" i="63" s="1"/>
  <c r="AQ124" i="63"/>
  <c r="AR117" i="70"/>
  <c r="AS118" i="70" s="1"/>
  <c r="AV106" i="65"/>
  <c r="AV107" i="65" s="1"/>
  <c r="AV108" i="65" s="1"/>
  <c r="AW102" i="65"/>
  <c r="AV101" i="66"/>
  <c r="AV100" i="66" s="1"/>
  <c r="AW89" i="66"/>
  <c r="AX90" i="66" s="1"/>
  <c r="AV88" i="66"/>
  <c r="AT156" i="66"/>
  <c r="AT159" i="66" s="1"/>
  <c r="AT158" i="66"/>
  <c r="AS142" i="66" s="1"/>
  <c r="AR125" i="63"/>
  <c r="AR105" i="63"/>
  <c r="AR170" i="63" s="1"/>
  <c r="AQ157" i="70"/>
  <c r="AQ155" i="70"/>
  <c r="AS92" i="70"/>
  <c r="AS93" i="70" s="1"/>
  <c r="AR113" i="70"/>
  <c r="AS87" i="70" s="1"/>
  <c r="AR115" i="70"/>
  <c r="AU171" i="66"/>
  <c r="AU127" i="66"/>
  <c r="AU126" i="66"/>
  <c r="AP157" i="63"/>
  <c r="AP155" i="63"/>
  <c r="AV114" i="65"/>
  <c r="AW92" i="65" s="1"/>
  <c r="AV110" i="65"/>
  <c r="AV121" i="65"/>
  <c r="AV122" i="65" s="1"/>
  <c r="AU127" i="65"/>
  <c r="AU126" i="65"/>
  <c r="AU171" i="65"/>
  <c r="AV125" i="66"/>
  <c r="AV105" i="66"/>
  <c r="AU154" i="48"/>
  <c r="AT138" i="48" s="1"/>
  <c r="AU153" i="48"/>
  <c r="AV106" i="62"/>
  <c r="AV107" i="62" s="1"/>
  <c r="AV108" i="62" s="1"/>
  <c r="AV114" i="62"/>
  <c r="AU127" i="62"/>
  <c r="AU128" i="62" s="1"/>
  <c r="AU129" i="62" s="1"/>
  <c r="AV110" i="62"/>
  <c r="AU126" i="62"/>
  <c r="AT158" i="62"/>
  <c r="AS142" i="62" s="1"/>
  <c r="AT156" i="62"/>
  <c r="AT159" i="62" s="1"/>
  <c r="AV123" i="48"/>
  <c r="AV126" i="48" s="1"/>
  <c r="AV127" i="48" s="1"/>
  <c r="AW100" i="48"/>
  <c r="AW99" i="48" s="1"/>
  <c r="AW88" i="48"/>
  <c r="AX89" i="48"/>
  <c r="AY90" i="48" s="1"/>
  <c r="AW124" i="48"/>
  <c r="AW104" i="48"/>
  <c r="AR124" i="70" l="1"/>
  <c r="AP156" i="63"/>
  <c r="AP159" i="63" s="1"/>
  <c r="AP158" i="63"/>
  <c r="AO142" i="63" s="1"/>
  <c r="AQ156" i="70"/>
  <c r="AQ159" i="70" s="1"/>
  <c r="AQ158" i="70"/>
  <c r="AP142" i="70" s="1"/>
  <c r="AQ171" i="63"/>
  <c r="AQ127" i="63"/>
  <c r="AQ126" i="63"/>
  <c r="AV114" i="66"/>
  <c r="AW92" i="66" s="1"/>
  <c r="AV110" i="66"/>
  <c r="AV121" i="66"/>
  <c r="AV122" i="66" s="1"/>
  <c r="AU154" i="65"/>
  <c r="AU128" i="65"/>
  <c r="AU129" i="65" s="1"/>
  <c r="AS101" i="70"/>
  <c r="AS100" i="70" s="1"/>
  <c r="AS88" i="70"/>
  <c r="AT89" i="70"/>
  <c r="AU90" i="70" s="1"/>
  <c r="AV106" i="66"/>
  <c r="AV107" i="66" s="1"/>
  <c r="AV108" i="66" s="1"/>
  <c r="AW102" i="66"/>
  <c r="AR127" i="70"/>
  <c r="AR126" i="70"/>
  <c r="AR171" i="70"/>
  <c r="AR106" i="63"/>
  <c r="AR107" i="63" s="1"/>
  <c r="AR108" i="63" s="1"/>
  <c r="AS102" i="63"/>
  <c r="AV111" i="65"/>
  <c r="AV117" i="65" s="1"/>
  <c r="AV93" i="65"/>
  <c r="AV115" i="65"/>
  <c r="AV113" i="65"/>
  <c r="AW87" i="65" s="1"/>
  <c r="AU128" i="66"/>
  <c r="AU129" i="66" s="1"/>
  <c r="AU154" i="66"/>
  <c r="AR217" i="63"/>
  <c r="AR110" i="63"/>
  <c r="AR114" i="63"/>
  <c r="AR121" i="63"/>
  <c r="AR122" i="63" s="1"/>
  <c r="AS125" i="70"/>
  <c r="AS105" i="70"/>
  <c r="AS217" i="70" s="1"/>
  <c r="AV115" i="62"/>
  <c r="AW92" i="62"/>
  <c r="AV113" i="62"/>
  <c r="AW87" i="62" s="1"/>
  <c r="AX89" i="62" s="1"/>
  <c r="AY90" i="62" s="1"/>
  <c r="AV93" i="62"/>
  <c r="AV111" i="62"/>
  <c r="AV117" i="62" s="1"/>
  <c r="AW118" i="62" s="1"/>
  <c r="AW125" i="62" s="1"/>
  <c r="AU154" i="62"/>
  <c r="AU155" i="62" s="1"/>
  <c r="AU158" i="62" s="1"/>
  <c r="AT142" i="62" s="1"/>
  <c r="AV125" i="48"/>
  <c r="AV128" i="48"/>
  <c r="AV150" i="48"/>
  <c r="AV151" i="48" s="1"/>
  <c r="AW120" i="48"/>
  <c r="AW121" i="48" s="1"/>
  <c r="AW109" i="48"/>
  <c r="AW113" i="48"/>
  <c r="AX92" i="48" s="1"/>
  <c r="AW105" i="48"/>
  <c r="AW106" i="48" s="1"/>
  <c r="AW107" i="48" s="1"/>
  <c r="AX101" i="48"/>
  <c r="AV111" i="66" l="1"/>
  <c r="AV117" i="66" s="1"/>
  <c r="AW118" i="66" s="1"/>
  <c r="AS170" i="70"/>
  <c r="AS110" i="70"/>
  <c r="AS121" i="70"/>
  <c r="AS122" i="70" s="1"/>
  <c r="AS114" i="70"/>
  <c r="AU155" i="66"/>
  <c r="AU157" i="66"/>
  <c r="AV93" i="66"/>
  <c r="AV115" i="66"/>
  <c r="AV113" i="66"/>
  <c r="AW87" i="66" s="1"/>
  <c r="AR115" i="63"/>
  <c r="AS92" i="63"/>
  <c r="AS93" i="63" s="1"/>
  <c r="AR113" i="63"/>
  <c r="AS87" i="63" s="1"/>
  <c r="AV124" i="65"/>
  <c r="AW118" i="65"/>
  <c r="AS106" i="70"/>
  <c r="AS107" i="70" s="1"/>
  <c r="AS108" i="70" s="1"/>
  <c r="AT102" i="70"/>
  <c r="AW101" i="65"/>
  <c r="AW100" i="65" s="1"/>
  <c r="AW88" i="65"/>
  <c r="AX89" i="65"/>
  <c r="AY90" i="65" s="1"/>
  <c r="AR128" i="70"/>
  <c r="AR129" i="70" s="1"/>
  <c r="AR154" i="70"/>
  <c r="AQ154" i="63"/>
  <c r="AQ128" i="63"/>
  <c r="AQ129" i="63" s="1"/>
  <c r="AR111" i="63"/>
  <c r="AU155" i="65"/>
  <c r="AU157" i="65"/>
  <c r="AW101" i="62"/>
  <c r="AW100" i="62" s="1"/>
  <c r="AW106" i="62" s="1"/>
  <c r="AW88" i="62"/>
  <c r="AW105" i="62"/>
  <c r="AW121" i="62" s="1"/>
  <c r="AW122" i="62" s="1"/>
  <c r="AV124" i="62"/>
  <c r="AV126" i="62" s="1"/>
  <c r="AU156" i="62"/>
  <c r="AU159" i="62" s="1"/>
  <c r="AU157" i="62"/>
  <c r="AW110" i="48"/>
  <c r="AW116" i="48" s="1"/>
  <c r="AX117" i="48" s="1"/>
  <c r="AV154" i="48"/>
  <c r="AU138" i="48" s="1"/>
  <c r="AV152" i="48"/>
  <c r="AV155" i="48" s="1"/>
  <c r="AV153" i="48"/>
  <c r="AW112" i="48"/>
  <c r="AX87" i="48" s="1"/>
  <c r="AW114" i="48"/>
  <c r="AW93" i="48"/>
  <c r="AS111" i="70" l="1"/>
  <c r="AV124" i="66"/>
  <c r="AV127" i="66" s="1"/>
  <c r="AW106" i="65"/>
  <c r="AX102" i="65"/>
  <c r="AW125" i="65"/>
  <c r="AW105" i="65"/>
  <c r="AU156" i="65"/>
  <c r="AU159" i="65" s="1"/>
  <c r="AU158" i="65"/>
  <c r="AT142" i="65" s="1"/>
  <c r="AQ155" i="63"/>
  <c r="AQ157" i="63"/>
  <c r="AV126" i="65"/>
  <c r="AV127" i="65"/>
  <c r="AW101" i="66"/>
  <c r="AW100" i="66" s="1"/>
  <c r="AW88" i="66"/>
  <c r="AX89" i="66"/>
  <c r="AY90" i="66" s="1"/>
  <c r="AU156" i="66"/>
  <c r="AU159" i="66" s="1"/>
  <c r="AU158" i="66"/>
  <c r="AT142" i="66" s="1"/>
  <c r="AR157" i="70"/>
  <c r="AR155" i="70"/>
  <c r="AS88" i="63"/>
  <c r="AT89" i="63"/>
  <c r="AU90" i="63" s="1"/>
  <c r="AS101" i="63"/>
  <c r="AS100" i="63" s="1"/>
  <c r="AS113" i="70"/>
  <c r="AT87" i="70" s="1"/>
  <c r="AT92" i="70"/>
  <c r="AT93" i="70" s="1"/>
  <c r="AS115" i="70"/>
  <c r="AV126" i="66"/>
  <c r="AR117" i="63"/>
  <c r="AS118" i="63" s="1"/>
  <c r="AS117" i="70"/>
  <c r="AT118" i="70" s="1"/>
  <c r="AW125" i="66"/>
  <c r="AW105" i="66"/>
  <c r="AX102" i="62"/>
  <c r="AW107" i="62"/>
  <c r="AW108" i="62" s="1"/>
  <c r="AW110" i="62"/>
  <c r="AW114" i="62"/>
  <c r="AV127" i="62"/>
  <c r="AW123" i="48"/>
  <c r="AW126" i="48" s="1"/>
  <c r="AW127" i="48" s="1"/>
  <c r="AX100" i="48"/>
  <c r="AX99" i="48" s="1"/>
  <c r="AX88" i="48"/>
  <c r="AY89" i="48"/>
  <c r="AZ90" i="48" s="1"/>
  <c r="AX124" i="48"/>
  <c r="AX104" i="48"/>
  <c r="AX109" i="48" s="1"/>
  <c r="AR124" i="63" l="1"/>
  <c r="AR171" i="63" s="1"/>
  <c r="AS124" i="70"/>
  <c r="AS127" i="70" s="1"/>
  <c r="AW121" i="66"/>
  <c r="AW122" i="66" s="1"/>
  <c r="AW110" i="66"/>
  <c r="AW114" i="66"/>
  <c r="AX92" i="66" s="1"/>
  <c r="AT125" i="70"/>
  <c r="AT105" i="70"/>
  <c r="AS106" i="63"/>
  <c r="AT102" i="63"/>
  <c r="AR156" i="70"/>
  <c r="AR159" i="70" s="1"/>
  <c r="AR158" i="70"/>
  <c r="AQ142" i="70" s="1"/>
  <c r="AV154" i="65"/>
  <c r="AV128" i="65"/>
  <c r="AV129" i="65" s="1"/>
  <c r="AS105" i="63"/>
  <c r="AS170" i="63" s="1"/>
  <c r="AS125" i="63"/>
  <c r="AW121" i="65"/>
  <c r="AW122" i="65" s="1"/>
  <c r="AW107" i="65"/>
  <c r="AW108" i="65" s="1"/>
  <c r="AW110" i="65"/>
  <c r="AW114" i="65"/>
  <c r="AX92" i="65" s="1"/>
  <c r="AV154" i="66"/>
  <c r="AV128" i="66"/>
  <c r="AV129" i="66" s="1"/>
  <c r="AU89" i="70"/>
  <c r="AV90" i="70" s="1"/>
  <c r="AT101" i="70"/>
  <c r="AT100" i="70" s="1"/>
  <c r="AT88" i="70"/>
  <c r="AW106" i="66"/>
  <c r="AW107" i="66" s="1"/>
  <c r="AW108" i="66" s="1"/>
  <c r="AX102" i="66"/>
  <c r="AQ158" i="63"/>
  <c r="AP142" i="63" s="1"/>
  <c r="AQ156" i="63"/>
  <c r="AQ159" i="63" s="1"/>
  <c r="AW125" i="48"/>
  <c r="AW113" i="62"/>
  <c r="AX87" i="62" s="1"/>
  <c r="AX88" i="62" s="1"/>
  <c r="AX92" i="62"/>
  <c r="AV154" i="62"/>
  <c r="AV157" i="62" s="1"/>
  <c r="AV128" i="62"/>
  <c r="AV129" i="62" s="1"/>
  <c r="AW111" i="62"/>
  <c r="AW117" i="62" s="1"/>
  <c r="AX118" i="62" s="1"/>
  <c r="AX125" i="62" s="1"/>
  <c r="AW115" i="62"/>
  <c r="AW93" i="62"/>
  <c r="AX120" i="48"/>
  <c r="AX121" i="48" s="1"/>
  <c r="AX113" i="48"/>
  <c r="AY92" i="48" s="1"/>
  <c r="AW150" i="48"/>
  <c r="AW151" i="48" s="1"/>
  <c r="AW128" i="48"/>
  <c r="AX105" i="48"/>
  <c r="AX106" i="48" s="1"/>
  <c r="AX107" i="48" s="1"/>
  <c r="AX110" i="48" s="1"/>
  <c r="AY101" i="48"/>
  <c r="AW111" i="65" l="1"/>
  <c r="AW117" i="65" s="1"/>
  <c r="AX118" i="65" s="1"/>
  <c r="AS126" i="70"/>
  <c r="AS171" i="70"/>
  <c r="AR127" i="63"/>
  <c r="AR154" i="63" s="1"/>
  <c r="AR126" i="63"/>
  <c r="AW111" i="66"/>
  <c r="AW117" i="66" s="1"/>
  <c r="AX118" i="66" s="1"/>
  <c r="AS128" i="70"/>
  <c r="AS129" i="70" s="1"/>
  <c r="AS154" i="70"/>
  <c r="AT217" i="70"/>
  <c r="AT110" i="70"/>
  <c r="AT121" i="70"/>
  <c r="AT122" i="70" s="1"/>
  <c r="AT114" i="70"/>
  <c r="AW113" i="66"/>
  <c r="AX87" i="66" s="1"/>
  <c r="AW93" i="66"/>
  <c r="AW115" i="66"/>
  <c r="AS217" i="63"/>
  <c r="AS110" i="63"/>
  <c r="AS121" i="63"/>
  <c r="AS122" i="63" s="1"/>
  <c r="AS114" i="63"/>
  <c r="AT170" i="70"/>
  <c r="AV155" i="66"/>
  <c r="AV157" i="66"/>
  <c r="AT106" i="70"/>
  <c r="AT107" i="70" s="1"/>
  <c r="AT108" i="70" s="1"/>
  <c r="AU102" i="70"/>
  <c r="AW113" i="65"/>
  <c r="AX87" i="65" s="1"/>
  <c r="AW93" i="65"/>
  <c r="AW115" i="65"/>
  <c r="AV155" i="65"/>
  <c r="AV157" i="65"/>
  <c r="AS107" i="63"/>
  <c r="AS108" i="63" s="1"/>
  <c r="AY89" i="62"/>
  <c r="AZ90" i="62" s="1"/>
  <c r="AX101" i="62"/>
  <c r="AX100" i="62" s="1"/>
  <c r="AX106" i="62" s="1"/>
  <c r="AV155" i="62"/>
  <c r="AV156" i="62" s="1"/>
  <c r="AV159" i="62" s="1"/>
  <c r="AX105" i="62"/>
  <c r="AX114" i="62" s="1"/>
  <c r="AY92" i="62" s="1"/>
  <c r="AW124" i="62"/>
  <c r="AW127" i="62" s="1"/>
  <c r="AX116" i="48"/>
  <c r="AY117" i="48" s="1"/>
  <c r="AX114" i="48"/>
  <c r="AX112" i="48"/>
  <c r="AY87" i="48" s="1"/>
  <c r="AX93" i="48"/>
  <c r="AW152" i="48"/>
  <c r="AW155" i="48" s="1"/>
  <c r="AW153" i="48"/>
  <c r="AW154" i="48"/>
  <c r="AV138" i="48" s="1"/>
  <c r="AS111" i="63" l="1"/>
  <c r="AS117" i="63" s="1"/>
  <c r="AT118" i="63" s="1"/>
  <c r="AR128" i="63"/>
  <c r="AR129" i="63" s="1"/>
  <c r="AW124" i="66"/>
  <c r="AW127" i="66" s="1"/>
  <c r="AT111" i="70"/>
  <c r="AT117" i="70" s="1"/>
  <c r="AU118" i="70" s="1"/>
  <c r="AW124" i="65"/>
  <c r="AW126" i="65" s="1"/>
  <c r="AV158" i="65"/>
  <c r="AU142" i="65" s="1"/>
  <c r="AV156" i="65"/>
  <c r="AV159" i="65" s="1"/>
  <c r="AS115" i="63"/>
  <c r="AS113" i="63"/>
  <c r="AT87" i="63" s="1"/>
  <c r="AT92" i="63"/>
  <c r="AT93" i="63" s="1"/>
  <c r="AS155" i="70"/>
  <c r="AS157" i="70"/>
  <c r="AR155" i="63"/>
  <c r="AR157" i="63"/>
  <c r="AX88" i="65"/>
  <c r="AX101" i="65"/>
  <c r="AX100" i="65" s="1"/>
  <c r="AY89" i="65"/>
  <c r="AZ90" i="65" s="1"/>
  <c r="AV158" i="66"/>
  <c r="AU142" i="66" s="1"/>
  <c r="AV156" i="66"/>
  <c r="AV159" i="66" s="1"/>
  <c r="AW127" i="65"/>
  <c r="AX101" i="66"/>
  <c r="AX100" i="66" s="1"/>
  <c r="AY89" i="66"/>
  <c r="AZ90" i="66" s="1"/>
  <c r="AX88" i="66"/>
  <c r="AX125" i="65"/>
  <c r="AX105" i="65"/>
  <c r="AT115" i="70"/>
  <c r="AT113" i="70"/>
  <c r="AU87" i="70" s="1"/>
  <c r="AU92" i="70"/>
  <c r="AU93" i="70" s="1"/>
  <c r="AX125" i="66"/>
  <c r="AX105" i="66"/>
  <c r="AY102" i="62"/>
  <c r="AV158" i="62"/>
  <c r="AU142" i="62" s="1"/>
  <c r="AW154" i="62"/>
  <c r="AW157" i="62" s="1"/>
  <c r="AW128" i="62"/>
  <c r="AW129" i="62" s="1"/>
  <c r="AX110" i="62"/>
  <c r="AX121" i="62"/>
  <c r="AX122" i="62" s="1"/>
  <c r="AX107" i="62"/>
  <c r="AX108" i="62" s="1"/>
  <c r="AW126" i="62"/>
  <c r="AX123" i="48"/>
  <c r="AX125" i="48" s="1"/>
  <c r="AX93" i="62"/>
  <c r="AX113" i="62"/>
  <c r="AY87" i="62" s="1"/>
  <c r="AX115" i="62"/>
  <c r="AY88" i="48"/>
  <c r="AZ89" i="48"/>
  <c r="BA90" i="48" s="1"/>
  <c r="AY100" i="48"/>
  <c r="AY99" i="48" s="1"/>
  <c r="AY105" i="48" s="1"/>
  <c r="AY124" i="48"/>
  <c r="AY104" i="48"/>
  <c r="AW126" i="66" l="1"/>
  <c r="AT124" i="70"/>
  <c r="AT105" i="63"/>
  <c r="AT170" i="63" s="1"/>
  <c r="AT125" i="63"/>
  <c r="AR158" i="63"/>
  <c r="AQ142" i="63" s="1"/>
  <c r="AR156" i="63"/>
  <c r="AR159" i="63" s="1"/>
  <c r="AT101" i="63"/>
  <c r="AT100" i="63" s="1"/>
  <c r="AT88" i="63"/>
  <c r="AU89" i="63"/>
  <c r="AV90" i="63" s="1"/>
  <c r="AX110" i="65"/>
  <c r="AX114" i="65"/>
  <c r="AY92" i="65" s="1"/>
  <c r="AX121" i="65"/>
  <c r="AX122" i="65" s="1"/>
  <c r="AU125" i="70"/>
  <c r="AU105" i="70"/>
  <c r="AU217" i="70" s="1"/>
  <c r="AW154" i="65"/>
  <c r="AW128" i="65"/>
  <c r="AW129" i="65" s="1"/>
  <c r="AX106" i="65"/>
  <c r="AX107" i="65" s="1"/>
  <c r="AX108" i="65" s="1"/>
  <c r="AY102" i="65"/>
  <c r="AW128" i="66"/>
  <c r="AW129" i="66" s="1"/>
  <c r="AW154" i="66"/>
  <c r="AS158" i="70"/>
  <c r="AR142" i="70" s="1"/>
  <c r="AS156" i="70"/>
  <c r="AS159" i="70" s="1"/>
  <c r="AX114" i="66"/>
  <c r="AY92" i="66" s="1"/>
  <c r="AX121" i="66"/>
  <c r="AX122" i="66" s="1"/>
  <c r="AX110" i="66"/>
  <c r="AV89" i="70"/>
  <c r="AW90" i="70" s="1"/>
  <c r="AU101" i="70"/>
  <c r="AU100" i="70" s="1"/>
  <c r="AU88" i="70"/>
  <c r="AX106" i="66"/>
  <c r="AX107" i="66" s="1"/>
  <c r="AX108" i="66" s="1"/>
  <c r="AX111" i="66" s="1"/>
  <c r="AY102" i="66"/>
  <c r="AS124" i="63"/>
  <c r="AW155" i="62"/>
  <c r="AW158" i="62" s="1"/>
  <c r="AV142" i="62" s="1"/>
  <c r="AY109" i="48"/>
  <c r="AY113" i="48"/>
  <c r="AY112" i="48" s="1"/>
  <c r="AX111" i="62"/>
  <c r="AX117" i="62" s="1"/>
  <c r="AY118" i="62" s="1"/>
  <c r="AY125" i="62" s="1"/>
  <c r="AX126" i="48"/>
  <c r="AY88" i="62"/>
  <c r="AY101" i="62"/>
  <c r="AY100" i="62" s="1"/>
  <c r="AZ89" i="62"/>
  <c r="BA90" i="62" s="1"/>
  <c r="AY106" i="48"/>
  <c r="AY107" i="48" s="1"/>
  <c r="AZ101" i="48"/>
  <c r="AY120" i="48"/>
  <c r="AY121" i="48" s="1"/>
  <c r="AX111" i="65" l="1"/>
  <c r="AX117" i="65" s="1"/>
  <c r="AY118" i="65" s="1"/>
  <c r="AX117" i="66"/>
  <c r="AY118" i="66" s="1"/>
  <c r="AX113" i="66"/>
  <c r="AY87" i="66" s="1"/>
  <c r="AX115" i="66"/>
  <c r="AX93" i="66"/>
  <c r="AS127" i="63"/>
  <c r="AS126" i="63"/>
  <c r="AS171" i="63"/>
  <c r="AX115" i="65"/>
  <c r="AX93" i="65"/>
  <c r="AX113" i="65"/>
  <c r="AY87" i="65" s="1"/>
  <c r="AT106" i="63"/>
  <c r="AT107" i="63" s="1"/>
  <c r="AT108" i="63" s="1"/>
  <c r="AU102" i="63"/>
  <c r="AU106" i="70"/>
  <c r="AU107" i="70" s="1"/>
  <c r="AU108" i="70" s="1"/>
  <c r="AV102" i="70"/>
  <c r="AW157" i="65"/>
  <c r="AW155" i="65"/>
  <c r="AT217" i="63"/>
  <c r="AT121" i="63"/>
  <c r="AT122" i="63" s="1"/>
  <c r="AT110" i="63"/>
  <c r="AT114" i="63"/>
  <c r="AW157" i="66"/>
  <c r="AW155" i="66"/>
  <c r="AU170" i="70"/>
  <c r="AU110" i="70"/>
  <c r="AU121" i="70"/>
  <c r="AU122" i="70" s="1"/>
  <c r="AU114" i="70"/>
  <c r="AT127" i="70"/>
  <c r="AT126" i="70"/>
  <c r="AT171" i="70"/>
  <c r="AW156" i="62"/>
  <c r="AW159" i="62" s="1"/>
  <c r="AX127" i="48"/>
  <c r="AX128" i="48" s="1"/>
  <c r="AZ92" i="48"/>
  <c r="AY105" i="62"/>
  <c r="AY114" i="62" s="1"/>
  <c r="AZ92" i="62" s="1"/>
  <c r="AX124" i="62"/>
  <c r="AX127" i="62" s="1"/>
  <c r="AX150" i="48"/>
  <c r="AX151" i="48" s="1"/>
  <c r="AX153" i="48" s="1"/>
  <c r="AY110" i="48"/>
  <c r="AY116" i="48" s="1"/>
  <c r="AZ117" i="48" s="1"/>
  <c r="AY106" i="62"/>
  <c r="AZ102" i="62"/>
  <c r="AY114" i="48"/>
  <c r="AZ87" i="48"/>
  <c r="AY93" i="48"/>
  <c r="AX124" i="66" l="1"/>
  <c r="AX127" i="66" s="1"/>
  <c r="AU92" i="63"/>
  <c r="AU93" i="63" s="1"/>
  <c r="AT115" i="63"/>
  <c r="AT113" i="63"/>
  <c r="AU87" i="63" s="1"/>
  <c r="AW158" i="65"/>
  <c r="AV142" i="65" s="1"/>
  <c r="AW156" i="65"/>
  <c r="AW159" i="65" s="1"/>
  <c r="AT111" i="63"/>
  <c r="AS154" i="63"/>
  <c r="AS128" i="63"/>
  <c r="AS129" i="63" s="1"/>
  <c r="AX124" i="65"/>
  <c r="AT128" i="70"/>
  <c r="AT129" i="70" s="1"/>
  <c r="AT154" i="70"/>
  <c r="AZ89" i="65"/>
  <c r="BA90" i="65" s="1"/>
  <c r="AY101" i="65"/>
  <c r="AY100" i="65" s="1"/>
  <c r="AY88" i="65"/>
  <c r="AY125" i="65"/>
  <c r="AY105" i="65"/>
  <c r="AU115" i="70"/>
  <c r="AU113" i="70"/>
  <c r="AV87" i="70" s="1"/>
  <c r="AV92" i="70"/>
  <c r="AV93" i="70" s="1"/>
  <c r="AW156" i="66"/>
  <c r="AW159" i="66" s="1"/>
  <c r="AW158" i="66"/>
  <c r="AV142" i="66" s="1"/>
  <c r="AU111" i="70"/>
  <c r="AY101" i="66"/>
  <c r="AY100" i="66" s="1"/>
  <c r="AZ89" i="66"/>
  <c r="BA90" i="66" s="1"/>
  <c r="AY88" i="66"/>
  <c r="AY125" i="66"/>
  <c r="AY105" i="66"/>
  <c r="AX154" i="62"/>
  <c r="AX155" i="62" s="1"/>
  <c r="AX128" i="62"/>
  <c r="AX129" i="62" s="1"/>
  <c r="AX154" i="48"/>
  <c r="AW138" i="48" s="1"/>
  <c r="AY121" i="62"/>
  <c r="AY122" i="62" s="1"/>
  <c r="AY107" i="62"/>
  <c r="AY108" i="62" s="1"/>
  <c r="AY110" i="62"/>
  <c r="AX152" i="48"/>
  <c r="AX155" i="48" s="1"/>
  <c r="AX126" i="62"/>
  <c r="AY93" i="62"/>
  <c r="AY113" i="62"/>
  <c r="AZ87" i="62" s="1"/>
  <c r="AY115" i="62"/>
  <c r="AZ124" i="48"/>
  <c r="AZ104" i="48"/>
  <c r="BA89" i="48"/>
  <c r="BB90" i="48" s="1"/>
  <c r="AZ88" i="48"/>
  <c r="AZ100" i="48"/>
  <c r="AZ99" i="48" s="1"/>
  <c r="AY123" i="48"/>
  <c r="AX126" i="66" l="1"/>
  <c r="AV88" i="70"/>
  <c r="AW89" i="70"/>
  <c r="AX90" i="70" s="1"/>
  <c r="AV101" i="70"/>
  <c r="AV100" i="70" s="1"/>
  <c r="AY110" i="66"/>
  <c r="AY121" i="66"/>
  <c r="AY122" i="66" s="1"/>
  <c r="AY114" i="66"/>
  <c r="AZ92" i="66" s="1"/>
  <c r="AU117" i="70"/>
  <c r="AV118" i="70" s="1"/>
  <c r="AT155" i="70"/>
  <c r="AT157" i="70"/>
  <c r="AS155" i="63"/>
  <c r="AS157" i="63"/>
  <c r="AU88" i="63"/>
  <c r="AU101" i="63"/>
  <c r="AU100" i="63" s="1"/>
  <c r="AV89" i="63"/>
  <c r="AW90" i="63" s="1"/>
  <c r="AY114" i="65"/>
  <c r="AZ92" i="65" s="1"/>
  <c r="AY121" i="65"/>
  <c r="AY122" i="65" s="1"/>
  <c r="AY110" i="65"/>
  <c r="AT117" i="63"/>
  <c r="AU118" i="63" s="1"/>
  <c r="AY106" i="66"/>
  <c r="AY107" i="66" s="1"/>
  <c r="AY108" i="66" s="1"/>
  <c r="AZ102" i="66"/>
  <c r="AX128" i="66"/>
  <c r="AX129" i="66" s="1"/>
  <c r="AX154" i="66"/>
  <c r="AY106" i="65"/>
  <c r="AY107" i="65" s="1"/>
  <c r="AY108" i="65" s="1"/>
  <c r="AZ102" i="65"/>
  <c r="AX126" i="65"/>
  <c r="AX127" i="65"/>
  <c r="AX157" i="62"/>
  <c r="AY111" i="62"/>
  <c r="AY117" i="62" s="1"/>
  <c r="AZ118" i="62" s="1"/>
  <c r="AZ125" i="62" s="1"/>
  <c r="BA89" i="62"/>
  <c r="BB90" i="62" s="1"/>
  <c r="AZ101" i="62"/>
  <c r="AZ100" i="62" s="1"/>
  <c r="AZ88" i="62"/>
  <c r="AX156" i="62"/>
  <c r="AX159" i="62" s="1"/>
  <c r="AX158" i="62"/>
  <c r="AW142" i="62" s="1"/>
  <c r="AZ120" i="48"/>
  <c r="AZ121" i="48" s="1"/>
  <c r="AZ113" i="48"/>
  <c r="BA92" i="48" s="1"/>
  <c r="AZ109" i="48"/>
  <c r="AZ105" i="48"/>
  <c r="AZ106" i="48" s="1"/>
  <c r="AZ107" i="48" s="1"/>
  <c r="BA101" i="48"/>
  <c r="AY125" i="48"/>
  <c r="AY126" i="48"/>
  <c r="AY127" i="48" s="1"/>
  <c r="AU124" i="70" l="1"/>
  <c r="AU171" i="70" s="1"/>
  <c r="AY111" i="65"/>
  <c r="AY117" i="65" s="1"/>
  <c r="AZ118" i="65" s="1"/>
  <c r="AT124" i="63"/>
  <c r="AT171" i="63" s="1"/>
  <c r="AY111" i="66"/>
  <c r="AY117" i="66" s="1"/>
  <c r="AZ118" i="66" s="1"/>
  <c r="AU125" i="63"/>
  <c r="AU105" i="63"/>
  <c r="AU170" i="63" s="1"/>
  <c r="AU106" i="63"/>
  <c r="AV102" i="63"/>
  <c r="AX154" i="65"/>
  <c r="AX128" i="65"/>
  <c r="AX129" i="65" s="1"/>
  <c r="AY113" i="65"/>
  <c r="AZ87" i="65" s="1"/>
  <c r="AY115" i="65"/>
  <c r="AY93" i="65"/>
  <c r="AT158" i="70"/>
  <c r="AS142" i="70" s="1"/>
  <c r="AT156" i="70"/>
  <c r="AT159" i="70" s="1"/>
  <c r="AV106" i="70"/>
  <c r="AW102" i="70"/>
  <c r="AX157" i="66"/>
  <c r="AX155" i="66"/>
  <c r="AU127" i="70"/>
  <c r="AY93" i="66"/>
  <c r="AY113" i="66"/>
  <c r="AZ87" i="66" s="1"/>
  <c r="AY115" i="66"/>
  <c r="AT127" i="63"/>
  <c r="AT126" i="63"/>
  <c r="AS156" i="63"/>
  <c r="AS159" i="63" s="1"/>
  <c r="AS158" i="63"/>
  <c r="AR142" i="63" s="1"/>
  <c r="AV125" i="70"/>
  <c r="AV105" i="70"/>
  <c r="AZ105" i="62"/>
  <c r="AZ110" i="62" s="1"/>
  <c r="AY124" i="62"/>
  <c r="AY127" i="62" s="1"/>
  <c r="AY128" i="62" s="1"/>
  <c r="AY129" i="62" s="1"/>
  <c r="AZ110" i="48"/>
  <c r="AZ116" i="48" s="1"/>
  <c r="BA117" i="48" s="1"/>
  <c r="AZ106" i="62"/>
  <c r="BA102" i="62"/>
  <c r="AZ114" i="48"/>
  <c r="AZ112" i="48"/>
  <c r="BA87" i="48" s="1"/>
  <c r="AZ93" i="48"/>
  <c r="AY128" i="48"/>
  <c r="AY150" i="48"/>
  <c r="AY151" i="48" s="1"/>
  <c r="AU126" i="70" l="1"/>
  <c r="AY124" i="65"/>
  <c r="AU107" i="63"/>
  <c r="AU108" i="63" s="1"/>
  <c r="AT128" i="63"/>
  <c r="AT129" i="63" s="1"/>
  <c r="AT154" i="63"/>
  <c r="AX156" i="66"/>
  <c r="AX159" i="66" s="1"/>
  <c r="AX158" i="66"/>
  <c r="AW142" i="66" s="1"/>
  <c r="BA89" i="65"/>
  <c r="BB90" i="65" s="1"/>
  <c r="AZ101" i="65"/>
  <c r="AZ100" i="65" s="1"/>
  <c r="AZ88" i="65"/>
  <c r="AY124" i="66"/>
  <c r="AU110" i="63"/>
  <c r="AU114" i="63"/>
  <c r="AU121" i="63"/>
  <c r="AU122" i="63" s="1"/>
  <c r="AZ125" i="66"/>
  <c r="AZ105" i="66"/>
  <c r="AV110" i="70"/>
  <c r="AV121" i="70"/>
  <c r="AV122" i="70" s="1"/>
  <c r="AV114" i="70"/>
  <c r="AU128" i="70"/>
  <c r="AU129" i="70" s="1"/>
  <c r="AU154" i="70"/>
  <c r="AX157" i="65"/>
  <c r="AX155" i="65"/>
  <c r="AZ125" i="65"/>
  <c r="AZ105" i="65"/>
  <c r="AZ101" i="66"/>
  <c r="AZ100" i="66" s="1"/>
  <c r="AZ88" i="66"/>
  <c r="BA89" i="66"/>
  <c r="BB90" i="66" s="1"/>
  <c r="AV107" i="70"/>
  <c r="AV108" i="70" s="1"/>
  <c r="AV111" i="70" s="1"/>
  <c r="AU217" i="63"/>
  <c r="AY127" i="65"/>
  <c r="AY126" i="65"/>
  <c r="AZ121" i="62"/>
  <c r="AZ122" i="62" s="1"/>
  <c r="AZ114" i="62"/>
  <c r="BA92" i="62" s="1"/>
  <c r="AZ107" i="62"/>
  <c r="AZ108" i="62" s="1"/>
  <c r="AZ111" i="62" s="1"/>
  <c r="AZ117" i="62" s="1"/>
  <c r="BA118" i="62" s="1"/>
  <c r="AY154" i="62"/>
  <c r="AY155" i="62" s="1"/>
  <c r="AY126" i="62"/>
  <c r="AZ93" i="62"/>
  <c r="AZ123" i="48"/>
  <c r="AZ126" i="48" s="1"/>
  <c r="AZ127" i="48" s="1"/>
  <c r="AY152" i="48"/>
  <c r="AY155" i="48" s="1"/>
  <c r="AY154" i="48"/>
  <c r="AX138" i="48" s="1"/>
  <c r="AY153" i="48"/>
  <c r="BA88" i="48"/>
  <c r="BA100" i="48"/>
  <c r="BA99" i="48" s="1"/>
  <c r="BB89" i="48"/>
  <c r="BC90" i="48" s="1"/>
  <c r="BA124" i="48"/>
  <c r="BA104" i="48"/>
  <c r="AU111" i="63" l="1"/>
  <c r="AU117" i="63" s="1"/>
  <c r="AV118" i="63" s="1"/>
  <c r="AY128" i="65"/>
  <c r="AY129" i="65" s="1"/>
  <c r="AY154" i="65"/>
  <c r="AZ121" i="65"/>
  <c r="AZ122" i="65" s="1"/>
  <c r="AZ110" i="65"/>
  <c r="AZ114" i="65"/>
  <c r="BA92" i="65" s="1"/>
  <c r="AX156" i="65"/>
  <c r="AX159" i="65" s="1"/>
  <c r="AX158" i="65"/>
  <c r="AW142" i="65" s="1"/>
  <c r="AZ110" i="66"/>
  <c r="AZ114" i="66"/>
  <c r="BA92" i="66" s="1"/>
  <c r="AZ121" i="66"/>
  <c r="AZ122" i="66" s="1"/>
  <c r="AU115" i="63"/>
  <c r="AU113" i="63"/>
  <c r="AV87" i="63" s="1"/>
  <c r="AV92" i="63"/>
  <c r="AV93" i="63" s="1"/>
  <c r="AV115" i="70"/>
  <c r="AW92" i="70"/>
  <c r="AW93" i="70" s="1"/>
  <c r="AV113" i="70"/>
  <c r="AW87" i="70" s="1"/>
  <c r="AZ106" i="65"/>
  <c r="AZ107" i="65" s="1"/>
  <c r="AZ108" i="65" s="1"/>
  <c r="BA102" i="65"/>
  <c r="AT157" i="63"/>
  <c r="AT155" i="63"/>
  <c r="AV117" i="70"/>
  <c r="AW118" i="70" s="1"/>
  <c r="AZ106" i="66"/>
  <c r="AZ107" i="66" s="1"/>
  <c r="AZ108" i="66" s="1"/>
  <c r="BA102" i="66"/>
  <c r="AU157" i="70"/>
  <c r="AU155" i="70"/>
  <c r="AY126" i="66"/>
  <c r="AY127" i="66"/>
  <c r="AZ115" i="62"/>
  <c r="AZ113" i="62"/>
  <c r="BA87" i="62" s="1"/>
  <c r="BA101" i="62" s="1"/>
  <c r="BA100" i="62" s="1"/>
  <c r="AY157" i="62"/>
  <c r="AZ125" i="48"/>
  <c r="AZ124" i="62"/>
  <c r="AZ126" i="62" s="1"/>
  <c r="AY156" i="62"/>
  <c r="AY159" i="62" s="1"/>
  <c r="AY158" i="62"/>
  <c r="AX142" i="62" s="1"/>
  <c r="BA125" i="62"/>
  <c r="BA105" i="62"/>
  <c r="BA105" i="48"/>
  <c r="BA106" i="48" s="1"/>
  <c r="BA107" i="48" s="1"/>
  <c r="BB101" i="48"/>
  <c r="BA120" i="48"/>
  <c r="BA121" i="48" s="1"/>
  <c r="BA109" i="48"/>
  <c r="BA113" i="48"/>
  <c r="BB92" i="48" s="1"/>
  <c r="AZ150" i="48"/>
  <c r="AZ151" i="48" s="1"/>
  <c r="AZ128" i="48"/>
  <c r="AZ111" i="66" l="1"/>
  <c r="AZ111" i="65"/>
  <c r="AZ117" i="65" s="1"/>
  <c r="BA118" i="65" s="1"/>
  <c r="AU124" i="63"/>
  <c r="AU171" i="63" s="1"/>
  <c r="AV124" i="70"/>
  <c r="AV127" i="70" s="1"/>
  <c r="AZ117" i="66"/>
  <c r="BA118" i="66" s="1"/>
  <c r="AT156" i="63"/>
  <c r="AT159" i="63" s="1"/>
  <c r="AT158" i="63"/>
  <c r="AS142" i="63" s="1"/>
  <c r="AW88" i="70"/>
  <c r="AX89" i="70"/>
  <c r="AY90" i="70" s="1"/>
  <c r="AW101" i="70"/>
  <c r="AW100" i="70" s="1"/>
  <c r="AW89" i="63"/>
  <c r="AX90" i="63" s="1"/>
  <c r="AV101" i="63"/>
  <c r="AV100" i="63" s="1"/>
  <c r="AV88" i="63"/>
  <c r="AU158" i="70"/>
  <c r="AT142" i="70" s="1"/>
  <c r="AU156" i="70"/>
  <c r="AU159" i="70" s="1"/>
  <c r="AZ113" i="66"/>
  <c r="BA87" i="66" s="1"/>
  <c r="AZ93" i="66"/>
  <c r="AZ115" i="66"/>
  <c r="AV125" i="63"/>
  <c r="AV105" i="63"/>
  <c r="AY157" i="65"/>
  <c r="AY155" i="65"/>
  <c r="AY154" i="66"/>
  <c r="AY128" i="66"/>
  <c r="AY129" i="66" s="1"/>
  <c r="AW125" i="70"/>
  <c r="AW105" i="70"/>
  <c r="AZ115" i="65"/>
  <c r="AZ93" i="65"/>
  <c r="AZ113" i="65"/>
  <c r="BA87" i="65" s="1"/>
  <c r="BB89" i="62"/>
  <c r="BC90" i="62" s="1"/>
  <c r="BA88" i="62"/>
  <c r="AZ127" i="62"/>
  <c r="BA110" i="48"/>
  <c r="BA116" i="48" s="1"/>
  <c r="BB117" i="48" s="1"/>
  <c r="BA121" i="62"/>
  <c r="BA122" i="62" s="1"/>
  <c r="BA114" i="62"/>
  <c r="BB92" i="62" s="1"/>
  <c r="BA110" i="62"/>
  <c r="BA106" i="62"/>
  <c r="BA107" i="62" s="1"/>
  <c r="BA108" i="62" s="1"/>
  <c r="BB102" i="62"/>
  <c r="BA112" i="48"/>
  <c r="BB87" i="48" s="1"/>
  <c r="BA114" i="48"/>
  <c r="BA93" i="48"/>
  <c r="AZ154" i="48"/>
  <c r="AY138" i="48" s="1"/>
  <c r="AZ153" i="48"/>
  <c r="AZ152" i="48"/>
  <c r="AZ155" i="48" s="1"/>
  <c r="AU127" i="63" l="1"/>
  <c r="AU126" i="63"/>
  <c r="AV126" i="70"/>
  <c r="AZ124" i="65"/>
  <c r="AZ126" i="65" s="1"/>
  <c r="AZ124" i="66"/>
  <c r="AZ127" i="66" s="1"/>
  <c r="AW110" i="70"/>
  <c r="AW121" i="70"/>
  <c r="AW122" i="70" s="1"/>
  <c r="AW114" i="70"/>
  <c r="AY155" i="66"/>
  <c r="AY157" i="66"/>
  <c r="BA88" i="65"/>
  <c r="BA101" i="65"/>
  <c r="BA100" i="65" s="1"/>
  <c r="BB89" i="65"/>
  <c r="BC90" i="65" s="1"/>
  <c r="AY158" i="65"/>
  <c r="AX142" i="65" s="1"/>
  <c r="AY156" i="65"/>
  <c r="AY159" i="65" s="1"/>
  <c r="AU128" i="63"/>
  <c r="AU129" i="63" s="1"/>
  <c r="AU154" i="63"/>
  <c r="AV106" i="63"/>
  <c r="AV107" i="63" s="1"/>
  <c r="AV108" i="63" s="1"/>
  <c r="AW102" i="63"/>
  <c r="BA125" i="66"/>
  <c r="BA105" i="66"/>
  <c r="BB89" i="66"/>
  <c r="BC90" i="66" s="1"/>
  <c r="BA88" i="66"/>
  <c r="BA101" i="66"/>
  <c r="BA100" i="66" s="1"/>
  <c r="BA125" i="65"/>
  <c r="BA105" i="65"/>
  <c r="AV110" i="63"/>
  <c r="AV121" i="63"/>
  <c r="AV122" i="63" s="1"/>
  <c r="AV114" i="63"/>
  <c r="AV128" i="70"/>
  <c r="AV129" i="70" s="1"/>
  <c r="AV154" i="70"/>
  <c r="AW106" i="70"/>
  <c r="AW107" i="70" s="1"/>
  <c r="AW108" i="70" s="1"/>
  <c r="AW111" i="70" s="1"/>
  <c r="AX102" i="70"/>
  <c r="AZ154" i="62"/>
  <c r="AZ157" i="62" s="1"/>
  <c r="AZ128" i="62"/>
  <c r="AZ129" i="62" s="1"/>
  <c r="BA111" i="62"/>
  <c r="BA117" i="62" s="1"/>
  <c r="BA93" i="62"/>
  <c r="BA113" i="62"/>
  <c r="BB87" i="62" s="1"/>
  <c r="BA115" i="62"/>
  <c r="BA123" i="48"/>
  <c r="BA125" i="48" s="1"/>
  <c r="BB124" i="48"/>
  <c r="BB104" i="48"/>
  <c r="BB88" i="48"/>
  <c r="BB100" i="48"/>
  <c r="BB99" i="48" s="1"/>
  <c r="BC89" i="48"/>
  <c r="BD90" i="48" s="1"/>
  <c r="AZ127" i="65" l="1"/>
  <c r="AZ126" i="66"/>
  <c r="BA110" i="65"/>
  <c r="BA114" i="65"/>
  <c r="BB92" i="65" s="1"/>
  <c r="BA121" i="65"/>
  <c r="BA122" i="65" s="1"/>
  <c r="BA106" i="66"/>
  <c r="BA107" i="66" s="1"/>
  <c r="BA108" i="66" s="1"/>
  <c r="BB102" i="66"/>
  <c r="AV111" i="63"/>
  <c r="AY158" i="66"/>
  <c r="AX142" i="66" s="1"/>
  <c r="AY156" i="66"/>
  <c r="AY159" i="66" s="1"/>
  <c r="AV115" i="63"/>
  <c r="AW92" i="63"/>
  <c r="AW93" i="63" s="1"/>
  <c r="AV113" i="63"/>
  <c r="AW87" i="63" s="1"/>
  <c r="AU155" i="63"/>
  <c r="AU157" i="63"/>
  <c r="AW115" i="70"/>
  <c r="AW113" i="70"/>
  <c r="AX87" i="70" s="1"/>
  <c r="AX92" i="70"/>
  <c r="AX93" i="70" s="1"/>
  <c r="AW117" i="70"/>
  <c r="AX118" i="70" s="1"/>
  <c r="AZ128" i="66"/>
  <c r="AZ129" i="66" s="1"/>
  <c r="AZ154" i="66"/>
  <c r="AZ154" i="65"/>
  <c r="AZ128" i="65"/>
  <c r="AZ129" i="65" s="1"/>
  <c r="AV155" i="70"/>
  <c r="AV157" i="70"/>
  <c r="BA110" i="66"/>
  <c r="BA121" i="66"/>
  <c r="BA122" i="66" s="1"/>
  <c r="BA114" i="66"/>
  <c r="BB92" i="66" s="1"/>
  <c r="BA106" i="65"/>
  <c r="BA107" i="65" s="1"/>
  <c r="BA108" i="65" s="1"/>
  <c r="BB102" i="65"/>
  <c r="AZ155" i="62"/>
  <c r="AZ156" i="62" s="1"/>
  <c r="AZ159" i="62" s="1"/>
  <c r="BB118" i="62"/>
  <c r="BB105" i="62" s="1"/>
  <c r="BA124" i="62"/>
  <c r="BA126" i="62" s="1"/>
  <c r="BA126" i="48"/>
  <c r="BC89" i="62"/>
  <c r="BD90" i="62" s="1"/>
  <c r="BB101" i="62"/>
  <c r="BB100" i="62" s="1"/>
  <c r="BB88" i="62"/>
  <c r="BB105" i="48"/>
  <c r="BB106" i="48" s="1"/>
  <c r="BB107" i="48" s="1"/>
  <c r="BC101" i="48"/>
  <c r="BB120" i="48"/>
  <c r="BB121" i="48" s="1"/>
  <c r="BB109" i="48"/>
  <c r="BB113" i="48"/>
  <c r="BC92" i="48" s="1"/>
  <c r="AW124" i="70" l="1"/>
  <c r="BA111" i="66"/>
  <c r="BA117" i="66" s="1"/>
  <c r="BB118" i="66" s="1"/>
  <c r="BA111" i="65"/>
  <c r="BA117" i="65" s="1"/>
  <c r="BB118" i="65" s="1"/>
  <c r="AV156" i="70"/>
  <c r="AV159" i="70" s="1"/>
  <c r="AV158" i="70"/>
  <c r="AU142" i="70" s="1"/>
  <c r="AU156" i="63"/>
  <c r="AU159" i="63" s="1"/>
  <c r="AU158" i="63"/>
  <c r="AT142" i="63" s="1"/>
  <c r="AX101" i="70"/>
  <c r="AX100" i="70" s="1"/>
  <c r="AY89" i="70"/>
  <c r="AZ90" i="70" s="1"/>
  <c r="AX88" i="70"/>
  <c r="AX89" i="63"/>
  <c r="AY90" i="63" s="1"/>
  <c r="AW101" i="63"/>
  <c r="AW100" i="63" s="1"/>
  <c r="AW88" i="63"/>
  <c r="BA115" i="65"/>
  <c r="BA93" i="65"/>
  <c r="BA113" i="65"/>
  <c r="BB87" i="65" s="1"/>
  <c r="AZ157" i="65"/>
  <c r="AZ155" i="65"/>
  <c r="AW127" i="70"/>
  <c r="AW126" i="70"/>
  <c r="BA113" i="66"/>
  <c r="BB87" i="66" s="1"/>
  <c r="BA115" i="66"/>
  <c r="BA93" i="66"/>
  <c r="AZ157" i="66"/>
  <c r="AZ155" i="66"/>
  <c r="AX125" i="70"/>
  <c r="AX105" i="70"/>
  <c r="AV117" i="63"/>
  <c r="AW118" i="63" s="1"/>
  <c r="AZ158" i="62"/>
  <c r="AY142" i="62" s="1"/>
  <c r="BA127" i="48"/>
  <c r="BA128" i="48" s="1"/>
  <c r="BB110" i="48"/>
  <c r="BB116" i="48" s="1"/>
  <c r="BC117" i="48" s="1"/>
  <c r="BA150" i="48"/>
  <c r="BA151" i="48" s="1"/>
  <c r="BA154" i="48" s="1"/>
  <c r="AZ138" i="48" s="1"/>
  <c r="BB125" i="62"/>
  <c r="BA127" i="62"/>
  <c r="BA128" i="62" s="1"/>
  <c r="BA129" i="62" s="1"/>
  <c r="BB121" i="62"/>
  <c r="BB122" i="62" s="1"/>
  <c r="BB110" i="62"/>
  <c r="BB114" i="62"/>
  <c r="BC92" i="62" s="1"/>
  <c r="BB106" i="62"/>
  <c r="BB107" i="62" s="1"/>
  <c r="BB108" i="62" s="1"/>
  <c r="BC102" i="62"/>
  <c r="BB112" i="48"/>
  <c r="BC87" i="48" s="1"/>
  <c r="BB114" i="48"/>
  <c r="BB93" i="48"/>
  <c r="BA124" i="66" l="1"/>
  <c r="BA124" i="65"/>
  <c r="BA127" i="65" s="1"/>
  <c r="AV124" i="63"/>
  <c r="AV127" i="63" s="1"/>
  <c r="AW105" i="63"/>
  <c r="AW125" i="63"/>
  <c r="BA126" i="65"/>
  <c r="AX110" i="70"/>
  <c r="AX121" i="70"/>
  <c r="AX122" i="70" s="1"/>
  <c r="AX114" i="70"/>
  <c r="BC89" i="65"/>
  <c r="BD90" i="65" s="1"/>
  <c r="BB88" i="65"/>
  <c r="BB101" i="65"/>
  <c r="BB100" i="65" s="1"/>
  <c r="BB125" i="65"/>
  <c r="BB105" i="65"/>
  <c r="AW128" i="70"/>
  <c r="AW129" i="70" s="1"/>
  <c r="AW154" i="70"/>
  <c r="AW106" i="63"/>
  <c r="AX102" i="63"/>
  <c r="AX106" i="70"/>
  <c r="AX107" i="70" s="1"/>
  <c r="AX108" i="70" s="1"/>
  <c r="AX111" i="70" s="1"/>
  <c r="AY102" i="70"/>
  <c r="BA127" i="66"/>
  <c r="BA126" i="66"/>
  <c r="AV126" i="63"/>
  <c r="AZ156" i="66"/>
  <c r="AZ159" i="66" s="1"/>
  <c r="AZ158" i="66"/>
  <c r="AY142" i="66" s="1"/>
  <c r="BC89" i="66"/>
  <c r="BD90" i="66" s="1"/>
  <c r="BB88" i="66"/>
  <c r="BB101" i="66"/>
  <c r="BB100" i="66" s="1"/>
  <c r="AZ158" i="65"/>
  <c r="AY142" i="65" s="1"/>
  <c r="AZ156" i="65"/>
  <c r="AZ159" i="65" s="1"/>
  <c r="BB125" i="66"/>
  <c r="BB105" i="66"/>
  <c r="BA153" i="48"/>
  <c r="BA152" i="48"/>
  <c r="BA155" i="48" s="1"/>
  <c r="BB111" i="62"/>
  <c r="BB117" i="62" s="1"/>
  <c r="BC118" i="62" s="1"/>
  <c r="BA154" i="62"/>
  <c r="BA155" i="62" s="1"/>
  <c r="BB93" i="62"/>
  <c r="BB113" i="62"/>
  <c r="BC87" i="62" s="1"/>
  <c r="BB115" i="62"/>
  <c r="BC124" i="48"/>
  <c r="BC104" i="48"/>
  <c r="BB123" i="48"/>
  <c r="BC88" i="48"/>
  <c r="BC100" i="48"/>
  <c r="BC99" i="48" s="1"/>
  <c r="BD89" i="48"/>
  <c r="BE90" i="48" s="1"/>
  <c r="AW107" i="63" l="1"/>
  <c r="AW108" i="63" s="1"/>
  <c r="BB121" i="66"/>
  <c r="BB122" i="66" s="1"/>
  <c r="BB110" i="66"/>
  <c r="BB114" i="66"/>
  <c r="BC92" i="66" s="1"/>
  <c r="AX117" i="70"/>
  <c r="AY118" i="70" s="1"/>
  <c r="AW155" i="70"/>
  <c r="AW157" i="70"/>
  <c r="BA128" i="65"/>
  <c r="BA129" i="65" s="1"/>
  <c r="BA154" i="65"/>
  <c r="AX113" i="70"/>
  <c r="AY87" i="70" s="1"/>
  <c r="AY92" i="70"/>
  <c r="AY93" i="70" s="1"/>
  <c r="AX115" i="70"/>
  <c r="BB106" i="66"/>
  <c r="BB107" i="66" s="1"/>
  <c r="BB108" i="66" s="1"/>
  <c r="BC102" i="66"/>
  <c r="BA128" i="66"/>
  <c r="BA129" i="66" s="1"/>
  <c r="BA154" i="66"/>
  <c r="BB121" i="65"/>
  <c r="BB122" i="65" s="1"/>
  <c r="BB110" i="65"/>
  <c r="BB114" i="65"/>
  <c r="BC92" i="65" s="1"/>
  <c r="BB106" i="65"/>
  <c r="BB107" i="65" s="1"/>
  <c r="BB108" i="65" s="1"/>
  <c r="BB111" i="65" s="1"/>
  <c r="BB117" i="65" s="1"/>
  <c r="BC102" i="65"/>
  <c r="AV128" i="63"/>
  <c r="AV129" i="63" s="1"/>
  <c r="AV154" i="63"/>
  <c r="AW121" i="63"/>
  <c r="AW122" i="63" s="1"/>
  <c r="AW114" i="63"/>
  <c r="AW110" i="63"/>
  <c r="BA157" i="62"/>
  <c r="BB124" i="62"/>
  <c r="BB127" i="62" s="1"/>
  <c r="BB128" i="62" s="1"/>
  <c r="BB129" i="62" s="1"/>
  <c r="BC88" i="62"/>
  <c r="BD89" i="62"/>
  <c r="BE90" i="62" s="1"/>
  <c r="BC101" i="62"/>
  <c r="BC100" i="62" s="1"/>
  <c r="BA156" i="62"/>
  <c r="BA159" i="62" s="1"/>
  <c r="BA158" i="62"/>
  <c r="AZ142" i="62" s="1"/>
  <c r="BC125" i="62"/>
  <c r="BC105" i="62"/>
  <c r="BC109" i="48"/>
  <c r="BC120" i="48"/>
  <c r="BC121" i="48" s="1"/>
  <c r="BC113" i="48"/>
  <c r="BD92" i="48" s="1"/>
  <c r="BC105" i="48"/>
  <c r="BC106" i="48" s="1"/>
  <c r="BC107" i="48" s="1"/>
  <c r="BD101" i="48"/>
  <c r="BB125" i="48"/>
  <c r="BB126" i="48"/>
  <c r="BB127" i="48" s="1"/>
  <c r="BB111" i="66" l="1"/>
  <c r="BB117" i="66" s="1"/>
  <c r="BC118" i="66" s="1"/>
  <c r="AW111" i="63"/>
  <c r="AX124" i="70"/>
  <c r="AX126" i="70" s="1"/>
  <c r="BB124" i="65"/>
  <c r="BC118" i="65"/>
  <c r="AW117" i="63"/>
  <c r="AX118" i="63" s="1"/>
  <c r="BB115" i="65"/>
  <c r="BB93" i="65"/>
  <c r="BB113" i="65"/>
  <c r="BC87" i="65" s="1"/>
  <c r="AW158" i="70"/>
  <c r="AV142" i="70" s="1"/>
  <c r="AW156" i="70"/>
  <c r="AW159" i="70" s="1"/>
  <c r="AW115" i="63"/>
  <c r="AX92" i="63"/>
  <c r="AX93" i="63" s="1"/>
  <c r="AW113" i="63"/>
  <c r="AX87" i="63" s="1"/>
  <c r="AV157" i="63"/>
  <c r="AV155" i="63"/>
  <c r="BA155" i="65"/>
  <c r="BA157" i="65"/>
  <c r="AX127" i="70"/>
  <c r="BB115" i="66"/>
  <c r="BB93" i="66"/>
  <c r="BB113" i="66"/>
  <c r="BC87" i="66" s="1"/>
  <c r="AY125" i="70"/>
  <c r="AY105" i="70"/>
  <c r="BA155" i="66"/>
  <c r="BA157" i="66"/>
  <c r="AY101" i="70"/>
  <c r="AY100" i="70" s="1"/>
  <c r="AZ89" i="70"/>
  <c r="BA90" i="70" s="1"/>
  <c r="AY88" i="70"/>
  <c r="BC110" i="48"/>
  <c r="BC116" i="48" s="1"/>
  <c r="BD117" i="48" s="1"/>
  <c r="BB126" i="62"/>
  <c r="BC106" i="62"/>
  <c r="BC107" i="62" s="1"/>
  <c r="BC108" i="62" s="1"/>
  <c r="BD102" i="62"/>
  <c r="BB154" i="62"/>
  <c r="BC114" i="62"/>
  <c r="BD92" i="62" s="1"/>
  <c r="BC121" i="62"/>
  <c r="BC122" i="62" s="1"/>
  <c r="BC110" i="62"/>
  <c r="BC114" i="48"/>
  <c r="BC112" i="48"/>
  <c r="BD87" i="48" s="1"/>
  <c r="BC93" i="48"/>
  <c r="BB128" i="48"/>
  <c r="BB150" i="48"/>
  <c r="BB151" i="48" s="1"/>
  <c r="BB124" i="66" l="1"/>
  <c r="BA156" i="66"/>
  <c r="BA159" i="66" s="1"/>
  <c r="BA158" i="66"/>
  <c r="AZ142" i="66" s="1"/>
  <c r="AV158" i="63"/>
  <c r="AU142" i="63" s="1"/>
  <c r="AV156" i="63"/>
  <c r="AV159" i="63" s="1"/>
  <c r="AW124" i="63"/>
  <c r="BC88" i="66"/>
  <c r="BD89" i="66"/>
  <c r="BE90" i="66" s="1"/>
  <c r="BC101" i="66"/>
  <c r="BC100" i="66" s="1"/>
  <c r="AX128" i="70"/>
  <c r="AX129" i="70" s="1"/>
  <c r="AX154" i="70"/>
  <c r="AX125" i="63"/>
  <c r="AX105" i="63"/>
  <c r="AY106" i="70"/>
  <c r="AY107" i="70" s="1"/>
  <c r="AY108" i="70" s="1"/>
  <c r="AZ102" i="70"/>
  <c r="AY110" i="70"/>
  <c r="AY121" i="70"/>
  <c r="AY122" i="70" s="1"/>
  <c r="AY114" i="70"/>
  <c r="AX88" i="63"/>
  <c r="AY89" i="63"/>
  <c r="AZ90" i="63" s="1"/>
  <c r="AX101" i="63"/>
  <c r="AX100" i="63" s="1"/>
  <c r="BB127" i="66"/>
  <c r="BB126" i="66"/>
  <c r="BC125" i="65"/>
  <c r="BC105" i="65"/>
  <c r="BA156" i="65"/>
  <c r="BA159" i="65" s="1"/>
  <c r="BA158" i="65"/>
  <c r="AZ142" i="65" s="1"/>
  <c r="BD89" i="65"/>
  <c r="BE90" i="65" s="1"/>
  <c r="BC101" i="65"/>
  <c r="BC100" i="65" s="1"/>
  <c r="BC88" i="65"/>
  <c r="BC125" i="66"/>
  <c r="BC105" i="66"/>
  <c r="BB126" i="65"/>
  <c r="BB127" i="65"/>
  <c r="BC111" i="62"/>
  <c r="BC117" i="62" s="1"/>
  <c r="BD118" i="62" s="1"/>
  <c r="BC115" i="62"/>
  <c r="BC113" i="62"/>
  <c r="BD87" i="62" s="1"/>
  <c r="BC93" i="62"/>
  <c r="BB157" i="62"/>
  <c r="BB155" i="62"/>
  <c r="BB154" i="48"/>
  <c r="BA138" i="48" s="1"/>
  <c r="BB152" i="48"/>
  <c r="BB155" i="48" s="1"/>
  <c r="BB153" i="48"/>
  <c r="BD124" i="48"/>
  <c r="BD104" i="48"/>
  <c r="BD88" i="48"/>
  <c r="BE89" i="48"/>
  <c r="BF90" i="48" s="1"/>
  <c r="BD100" i="48"/>
  <c r="BD99" i="48" s="1"/>
  <c r="BC123" i="48"/>
  <c r="BC106" i="66" l="1"/>
  <c r="BC107" i="66" s="1"/>
  <c r="BC108" i="66" s="1"/>
  <c r="BD102" i="66"/>
  <c r="BC114" i="66"/>
  <c r="BD92" i="66" s="1"/>
  <c r="BC110" i="66"/>
  <c r="BC121" i="66"/>
  <c r="BC122" i="66" s="1"/>
  <c r="AX155" i="70"/>
  <c r="AX157" i="70"/>
  <c r="BC106" i="65"/>
  <c r="BC107" i="65" s="1"/>
  <c r="BC108" i="65" s="1"/>
  <c r="BD102" i="65"/>
  <c r="BC114" i="65"/>
  <c r="BD92" i="65" s="1"/>
  <c r="BC110" i="65"/>
  <c r="BC121" i="65"/>
  <c r="BC122" i="65" s="1"/>
  <c r="BB128" i="66"/>
  <c r="BB129" i="66" s="1"/>
  <c r="BB154" i="66"/>
  <c r="AY113" i="70"/>
  <c r="AZ87" i="70" s="1"/>
  <c r="AZ92" i="70"/>
  <c r="AZ93" i="70" s="1"/>
  <c r="AY115" i="70"/>
  <c r="AY111" i="70"/>
  <c r="BB154" i="65"/>
  <c r="BB128" i="65"/>
  <c r="BB129" i="65" s="1"/>
  <c r="AX106" i="63"/>
  <c r="AX107" i="63" s="1"/>
  <c r="AX108" i="63" s="1"/>
  <c r="AY102" i="63"/>
  <c r="AX121" i="63"/>
  <c r="AX122" i="63" s="1"/>
  <c r="AX110" i="63"/>
  <c r="AX114" i="63"/>
  <c r="AW127" i="63"/>
  <c r="AW126" i="63"/>
  <c r="BC124" i="62"/>
  <c r="BC127" i="62" s="1"/>
  <c r="BC128" i="62" s="1"/>
  <c r="BC129" i="62" s="1"/>
  <c r="BB158" i="62"/>
  <c r="BA142" i="62" s="1"/>
  <c r="BB156" i="62"/>
  <c r="BB159" i="62" s="1"/>
  <c r="BD101" i="62"/>
  <c r="BD100" i="62" s="1"/>
  <c r="BD88" i="62"/>
  <c r="BE89" i="62"/>
  <c r="BF90" i="62" s="1"/>
  <c r="BD125" i="62"/>
  <c r="BD105" i="62"/>
  <c r="BC125" i="48"/>
  <c r="BC126" i="48"/>
  <c r="BC127" i="48" s="1"/>
  <c r="BD120" i="48"/>
  <c r="BD121" i="48" s="1"/>
  <c r="BD113" i="48"/>
  <c r="BE92" i="48" s="1"/>
  <c r="BD109" i="48"/>
  <c r="BD105" i="48"/>
  <c r="BD106" i="48" s="1"/>
  <c r="BD107" i="48" s="1"/>
  <c r="BE101" i="48"/>
  <c r="BC111" i="65" l="1"/>
  <c r="BC117" i="65" s="1"/>
  <c r="BD118" i="65" s="1"/>
  <c r="BC111" i="66"/>
  <c r="BC117" i="66" s="1"/>
  <c r="BD118" i="66" s="1"/>
  <c r="AX111" i="63"/>
  <c r="BC115" i="65"/>
  <c r="BC113" i="65"/>
  <c r="BD87" i="65" s="1"/>
  <c r="BC93" i="65"/>
  <c r="BC115" i="66"/>
  <c r="BC93" i="66"/>
  <c r="BC113" i="66"/>
  <c r="BD87" i="66" s="1"/>
  <c r="AW128" i="63"/>
  <c r="AW129" i="63" s="1"/>
  <c r="AW154" i="63"/>
  <c r="BB155" i="65"/>
  <c r="BB157" i="65"/>
  <c r="BA89" i="70"/>
  <c r="BB90" i="70" s="1"/>
  <c r="AZ101" i="70"/>
  <c r="AZ100" i="70" s="1"/>
  <c r="AZ88" i="70"/>
  <c r="AX156" i="70"/>
  <c r="AX159" i="70" s="1"/>
  <c r="AX158" i="70"/>
  <c r="AW142" i="70" s="1"/>
  <c r="AY92" i="63"/>
  <c r="AY93" i="63" s="1"/>
  <c r="AX113" i="63"/>
  <c r="AY87" i="63" s="1"/>
  <c r="AX115" i="63"/>
  <c r="AY117" i="70"/>
  <c r="AZ118" i="70" s="1"/>
  <c r="BB157" i="66"/>
  <c r="BB155" i="66"/>
  <c r="BC126" i="62"/>
  <c r="BC154" i="62"/>
  <c r="BD114" i="62"/>
  <c r="BE92" i="62" s="1"/>
  <c r="BD110" i="62"/>
  <c r="BD121" i="62"/>
  <c r="BD122" i="62" s="1"/>
  <c r="BD106" i="62"/>
  <c r="BD107" i="62" s="1"/>
  <c r="BD108" i="62" s="1"/>
  <c r="BE102" i="62"/>
  <c r="BD110" i="48"/>
  <c r="BD116" i="48" s="1"/>
  <c r="BE117" i="48" s="1"/>
  <c r="BD114" i="48"/>
  <c r="BD112" i="48"/>
  <c r="BE87" i="48" s="1"/>
  <c r="BD93" i="48"/>
  <c r="BC150" i="48"/>
  <c r="BC151" i="48" s="1"/>
  <c r="BC128" i="48"/>
  <c r="BC124" i="66" l="1"/>
  <c r="AY124" i="70"/>
  <c r="BB156" i="65"/>
  <c r="BB159" i="65" s="1"/>
  <c r="BB158" i="65"/>
  <c r="BA142" i="65" s="1"/>
  <c r="AZ125" i="70"/>
  <c r="AZ105" i="70"/>
  <c r="AZ106" i="70"/>
  <c r="BA102" i="70"/>
  <c r="BC124" i="65"/>
  <c r="AX117" i="63"/>
  <c r="AY118" i="63" s="1"/>
  <c r="BB158" i="66"/>
  <c r="BA142" i="66" s="1"/>
  <c r="BB156" i="66"/>
  <c r="BB159" i="66" s="1"/>
  <c r="AW157" i="63"/>
  <c r="AW155" i="63"/>
  <c r="BD125" i="65"/>
  <c r="BD105" i="65"/>
  <c r="BC127" i="66"/>
  <c r="BC126" i="66"/>
  <c r="AY101" i="63"/>
  <c r="AY100" i="63" s="1"/>
  <c r="AY88" i="63"/>
  <c r="AZ89" i="63"/>
  <c r="BA90" i="63" s="1"/>
  <c r="BD88" i="66"/>
  <c r="BE89" i="66"/>
  <c r="BF90" i="66" s="1"/>
  <c r="BD101" i="66"/>
  <c r="BD100" i="66" s="1"/>
  <c r="BD88" i="65"/>
  <c r="BD101" i="65"/>
  <c r="BD100" i="65" s="1"/>
  <c r="BE89" i="65"/>
  <c r="BF90" i="65" s="1"/>
  <c r="BD125" i="66"/>
  <c r="BD105" i="66"/>
  <c r="BD111" i="62"/>
  <c r="BD117" i="62" s="1"/>
  <c r="BE118" i="62" s="1"/>
  <c r="BD115" i="62"/>
  <c r="BD113" i="62"/>
  <c r="BE87" i="62" s="1"/>
  <c r="BD93" i="62"/>
  <c r="BC155" i="62"/>
  <c r="BC157" i="62"/>
  <c r="BD123" i="48"/>
  <c r="BD126" i="48" s="1"/>
  <c r="BD127" i="48" s="1"/>
  <c r="BC152" i="48"/>
  <c r="BC155" i="48" s="1"/>
  <c r="BC154" i="48"/>
  <c r="BB138" i="48" s="1"/>
  <c r="BC153" i="48"/>
  <c r="BF89" i="48"/>
  <c r="BG90" i="48" s="1"/>
  <c r="BE100" i="48"/>
  <c r="BE99" i="48" s="1"/>
  <c r="BE88" i="48"/>
  <c r="BE124" i="48"/>
  <c r="BE104" i="48"/>
  <c r="AZ107" i="70" l="1"/>
  <c r="AZ108" i="70" s="1"/>
  <c r="AX124" i="63"/>
  <c r="AX127" i="63" s="1"/>
  <c r="BD106" i="65"/>
  <c r="BD107" i="65" s="1"/>
  <c r="BD108" i="65" s="1"/>
  <c r="BE102" i="65"/>
  <c r="AY106" i="63"/>
  <c r="C99" i="63"/>
  <c r="AZ102" i="63"/>
  <c r="BC127" i="65"/>
  <c r="BC126" i="65"/>
  <c r="BC128" i="66"/>
  <c r="BC129" i="66" s="1"/>
  <c r="BC154" i="66"/>
  <c r="AW158" i="63"/>
  <c r="AV142" i="63" s="1"/>
  <c r="AW156" i="63"/>
  <c r="AW159" i="63" s="1"/>
  <c r="AX126" i="63"/>
  <c r="BD110" i="66"/>
  <c r="BD121" i="66"/>
  <c r="BD122" i="66" s="1"/>
  <c r="BD114" i="66"/>
  <c r="BE92" i="66" s="1"/>
  <c r="BD106" i="66"/>
  <c r="BD107" i="66" s="1"/>
  <c r="BD108" i="66" s="1"/>
  <c r="BD111" i="66" s="1"/>
  <c r="BE102" i="66"/>
  <c r="BD114" i="65"/>
  <c r="BE92" i="65" s="1"/>
  <c r="BD110" i="65"/>
  <c r="BD121" i="65"/>
  <c r="BD122" i="65" s="1"/>
  <c r="AY125" i="63"/>
  <c r="AY105" i="63"/>
  <c r="AZ110" i="70"/>
  <c r="AZ111" i="70" s="1"/>
  <c r="AZ121" i="70"/>
  <c r="AZ122" i="70" s="1"/>
  <c r="AZ114" i="70"/>
  <c r="AY127" i="70"/>
  <c r="AY126" i="70"/>
  <c r="BD125" i="48"/>
  <c r="BD124" i="62"/>
  <c r="BD126" i="62" s="1"/>
  <c r="BE88" i="62"/>
  <c r="BF89" i="62"/>
  <c r="BG90" i="62" s="1"/>
  <c r="BE101" i="62"/>
  <c r="BE100" i="62" s="1"/>
  <c r="BC158" i="62"/>
  <c r="BB142" i="62" s="1"/>
  <c r="BC156" i="62"/>
  <c r="BC159" i="62" s="1"/>
  <c r="BE125" i="62"/>
  <c r="BE105" i="62"/>
  <c r="BE120" i="48"/>
  <c r="BE121" i="48" s="1"/>
  <c r="BE113" i="48"/>
  <c r="BF92" i="48" s="1"/>
  <c r="BE109" i="48"/>
  <c r="BE105" i="48"/>
  <c r="BE106" i="48" s="1"/>
  <c r="BE107" i="48" s="1"/>
  <c r="BF101" i="48"/>
  <c r="BD150" i="48"/>
  <c r="BD151" i="48" s="1"/>
  <c r="BD128" i="48"/>
  <c r="BD111" i="65" l="1"/>
  <c r="BD117" i="65" s="1"/>
  <c r="BE118" i="65" s="1"/>
  <c r="AZ117" i="70"/>
  <c r="BA118" i="70" s="1"/>
  <c r="BD117" i="66"/>
  <c r="BE118" i="66" s="1"/>
  <c r="AY128" i="70"/>
  <c r="AY129" i="70" s="1"/>
  <c r="AY154" i="70"/>
  <c r="AY110" i="63"/>
  <c r="AY114" i="63"/>
  <c r="AY121" i="63"/>
  <c r="AY122" i="63" s="1"/>
  <c r="BD115" i="66"/>
  <c r="BD113" i="66"/>
  <c r="BE87" i="66" s="1"/>
  <c r="BD93" i="66"/>
  <c r="AX154" i="63"/>
  <c r="AX128" i="63"/>
  <c r="AX129" i="63" s="1"/>
  <c r="BC155" i="66"/>
  <c r="BC157" i="66"/>
  <c r="BC154" i="65"/>
  <c r="BC128" i="65"/>
  <c r="BC129" i="65" s="1"/>
  <c r="AY107" i="63"/>
  <c r="AY108" i="63" s="1"/>
  <c r="AY111" i="63" s="1"/>
  <c r="AZ113" i="70"/>
  <c r="BA87" i="70" s="1"/>
  <c r="BA92" i="70"/>
  <c r="BA93" i="70" s="1"/>
  <c r="AZ115" i="70"/>
  <c r="BD115" i="65"/>
  <c r="BD93" i="65"/>
  <c r="BD113" i="65"/>
  <c r="BE87" i="65" s="1"/>
  <c r="BD127" i="62"/>
  <c r="BE110" i="48"/>
  <c r="BE116" i="48" s="1"/>
  <c r="BF117" i="48" s="1"/>
  <c r="BE114" i="62"/>
  <c r="BF92" i="62" s="1"/>
  <c r="BE110" i="62"/>
  <c r="BE121" i="62"/>
  <c r="BE122" i="62" s="1"/>
  <c r="BE106" i="62"/>
  <c r="BE107" i="62" s="1"/>
  <c r="BE108" i="62" s="1"/>
  <c r="BF102" i="62"/>
  <c r="BE114" i="48"/>
  <c r="BE112" i="48"/>
  <c r="BF87" i="48" s="1"/>
  <c r="BE93" i="48"/>
  <c r="BD153" i="48"/>
  <c r="BD154" i="48"/>
  <c r="BC138" i="48" s="1"/>
  <c r="BD152" i="48"/>
  <c r="BD155" i="48" s="1"/>
  <c r="BD124" i="65" l="1"/>
  <c r="BF89" i="65"/>
  <c r="BG90" i="65" s="1"/>
  <c r="BE101" i="65"/>
  <c r="BE100" i="65" s="1"/>
  <c r="BE88" i="65"/>
  <c r="AY155" i="70"/>
  <c r="AY157" i="70"/>
  <c r="AZ124" i="70"/>
  <c r="BC157" i="65"/>
  <c r="BC155" i="65"/>
  <c r="AX155" i="63"/>
  <c r="AX157" i="63"/>
  <c r="BA125" i="70"/>
  <c r="BA105" i="70"/>
  <c r="BB89" i="70"/>
  <c r="BC90" i="70" s="1"/>
  <c r="BA101" i="70"/>
  <c r="BA100" i="70" s="1"/>
  <c r="BA88" i="70"/>
  <c r="AY113" i="63"/>
  <c r="AZ87" i="63" s="1"/>
  <c r="AY115" i="63"/>
  <c r="AZ92" i="63"/>
  <c r="AZ93" i="63" s="1"/>
  <c r="BD124" i="66"/>
  <c r="BD126" i="65"/>
  <c r="BD127" i="65"/>
  <c r="AY117" i="63"/>
  <c r="AZ118" i="63" s="1"/>
  <c r="BC156" i="66"/>
  <c r="BC159" i="66" s="1"/>
  <c r="BC158" i="66"/>
  <c r="BB142" i="66" s="1"/>
  <c r="BF89" i="66"/>
  <c r="BG90" i="66" s="1"/>
  <c r="BE88" i="66"/>
  <c r="BE101" i="66"/>
  <c r="BE100" i="66" s="1"/>
  <c r="BE125" i="66"/>
  <c r="BE105" i="66"/>
  <c r="BE125" i="65"/>
  <c r="BE105" i="65"/>
  <c r="BD154" i="62"/>
  <c r="BD157" i="62" s="1"/>
  <c r="BD128" i="62"/>
  <c r="BD129" i="62" s="1"/>
  <c r="BE111" i="62"/>
  <c r="BE117" i="62" s="1"/>
  <c r="BF118" i="62" s="1"/>
  <c r="BE123" i="48"/>
  <c r="BE126" i="48" s="1"/>
  <c r="BE127" i="48" s="1"/>
  <c r="BE93" i="62"/>
  <c r="BE113" i="62"/>
  <c r="BF87" i="62" s="1"/>
  <c r="BE115" i="62"/>
  <c r="BF88" i="48"/>
  <c r="BF100" i="48"/>
  <c r="BF99" i="48" s="1"/>
  <c r="BG89" i="48"/>
  <c r="BH90" i="48" s="1"/>
  <c r="BF124" i="48"/>
  <c r="BF104" i="48"/>
  <c r="BE110" i="65" l="1"/>
  <c r="BE121" i="65"/>
  <c r="BE122" i="65" s="1"/>
  <c r="BE114" i="65"/>
  <c r="BF92" i="65" s="1"/>
  <c r="AY124" i="63"/>
  <c r="BD126" i="66"/>
  <c r="BD127" i="66"/>
  <c r="AZ125" i="63"/>
  <c r="AZ105" i="63"/>
  <c r="BA106" i="70"/>
  <c r="BA107" i="70" s="1"/>
  <c r="BA108" i="70" s="1"/>
  <c r="BB102" i="70"/>
  <c r="AZ127" i="70"/>
  <c r="AZ126" i="70"/>
  <c r="BD154" i="65"/>
  <c r="BD128" i="65"/>
  <c r="BD129" i="65" s="1"/>
  <c r="AX156" i="63"/>
  <c r="AX159" i="63" s="1"/>
  <c r="AX158" i="63"/>
  <c r="AW142" i="63" s="1"/>
  <c r="BE106" i="65"/>
  <c r="BE107" i="65" s="1"/>
  <c r="BE108" i="65" s="1"/>
  <c r="BE111" i="65" s="1"/>
  <c r="BF102" i="65"/>
  <c r="BE114" i="66"/>
  <c r="BF92" i="66" s="1"/>
  <c r="BE121" i="66"/>
  <c r="BE122" i="66" s="1"/>
  <c r="BE110" i="66"/>
  <c r="BE106" i="66"/>
  <c r="BE107" i="66" s="1"/>
  <c r="BE108" i="66" s="1"/>
  <c r="BF102" i="66"/>
  <c r="AZ101" i="63"/>
  <c r="AZ100" i="63" s="1"/>
  <c r="AZ88" i="63"/>
  <c r="BA89" i="63"/>
  <c r="BB90" i="63" s="1"/>
  <c r="BA110" i="70"/>
  <c r="BA121" i="70"/>
  <c r="BA122" i="70" s="1"/>
  <c r="BA114" i="70"/>
  <c r="BC156" i="65"/>
  <c r="BC159" i="65" s="1"/>
  <c r="BC158" i="65"/>
  <c r="BB142" i="65" s="1"/>
  <c r="AY156" i="70"/>
  <c r="AY159" i="70" s="1"/>
  <c r="AY158" i="70"/>
  <c r="AX142" i="70" s="1"/>
  <c r="BE125" i="48"/>
  <c r="BD155" i="62"/>
  <c r="BD158" i="62" s="1"/>
  <c r="BC142" i="62" s="1"/>
  <c r="BE124" i="62"/>
  <c r="BE127" i="62" s="1"/>
  <c r="BE128" i="62" s="1"/>
  <c r="BE129" i="62" s="1"/>
  <c r="BF88" i="62"/>
  <c r="BF101" i="62"/>
  <c r="BF100" i="62" s="1"/>
  <c r="BG89" i="62"/>
  <c r="BH90" i="62" s="1"/>
  <c r="BF125" i="62"/>
  <c r="BF105" i="62"/>
  <c r="BF120" i="48"/>
  <c r="BF121" i="48" s="1"/>
  <c r="BF109" i="48"/>
  <c r="BF113" i="48"/>
  <c r="BG92" i="48" s="1"/>
  <c r="BE128" i="48"/>
  <c r="BE150" i="48"/>
  <c r="BE151" i="48" s="1"/>
  <c r="BF105" i="48"/>
  <c r="BF106" i="48" s="1"/>
  <c r="BF107" i="48" s="1"/>
  <c r="BF110" i="48" s="1"/>
  <c r="BG101" i="48"/>
  <c r="BE111" i="66" l="1"/>
  <c r="BE117" i="66" s="1"/>
  <c r="BF118" i="66" s="1"/>
  <c r="BA111" i="70"/>
  <c r="BE117" i="65"/>
  <c r="BF118" i="65" s="1"/>
  <c r="BA113" i="70"/>
  <c r="BB87" i="70" s="1"/>
  <c r="BB92" i="70"/>
  <c r="BB93" i="70" s="1"/>
  <c r="BA115" i="70"/>
  <c r="BD128" i="66"/>
  <c r="BD129" i="66" s="1"/>
  <c r="BD154" i="66"/>
  <c r="BE113" i="65"/>
  <c r="BF87" i="65" s="1"/>
  <c r="BE115" i="65"/>
  <c r="BE93" i="65"/>
  <c r="AZ106" i="63"/>
  <c r="AZ107" i="63" s="1"/>
  <c r="AZ108" i="63" s="1"/>
  <c r="BA102" i="63"/>
  <c r="BD157" i="65"/>
  <c r="BD155" i="65"/>
  <c r="BA117" i="70"/>
  <c r="BB118" i="70" s="1"/>
  <c r="BE115" i="66"/>
  <c r="BE93" i="66"/>
  <c r="BE113" i="66"/>
  <c r="BF87" i="66" s="1"/>
  <c r="AZ110" i="63"/>
  <c r="AZ114" i="63"/>
  <c r="AZ121" i="63"/>
  <c r="AZ122" i="63" s="1"/>
  <c r="AY127" i="63"/>
  <c r="AY126" i="63"/>
  <c r="AZ128" i="70"/>
  <c r="AZ129" i="70" s="1"/>
  <c r="AZ154" i="70"/>
  <c r="BD156" i="62"/>
  <c r="BD159" i="62" s="1"/>
  <c r="BE126" i="62"/>
  <c r="BF114" i="62"/>
  <c r="BG92" i="62" s="1"/>
  <c r="BF121" i="62"/>
  <c r="BF122" i="62" s="1"/>
  <c r="BF110" i="62"/>
  <c r="BE154" i="62"/>
  <c r="BF106" i="62"/>
  <c r="BF107" i="62" s="1"/>
  <c r="BF108" i="62" s="1"/>
  <c r="BG102" i="62"/>
  <c r="BF116" i="48"/>
  <c r="BG117" i="48" s="1"/>
  <c r="BF112" i="48"/>
  <c r="BG87" i="48" s="1"/>
  <c r="BF114" i="48"/>
  <c r="BF93" i="48"/>
  <c r="BE153" i="48"/>
  <c r="BE152" i="48"/>
  <c r="BE155" i="48" s="1"/>
  <c r="BE154" i="48"/>
  <c r="BD138" i="48" s="1"/>
  <c r="BE124" i="66" l="1"/>
  <c r="BA124" i="70"/>
  <c r="BA126" i="70" s="1"/>
  <c r="AZ111" i="63"/>
  <c r="AZ117" i="63" s="1"/>
  <c r="BA118" i="63" s="1"/>
  <c r="AZ155" i="70"/>
  <c r="AZ157" i="70"/>
  <c r="BA92" i="63"/>
  <c r="BA93" i="63" s="1"/>
  <c r="AZ115" i="63"/>
  <c r="AZ113" i="63"/>
  <c r="BA87" i="63" s="1"/>
  <c r="BE124" i="65"/>
  <c r="AY128" i="63"/>
  <c r="AY129" i="63" s="1"/>
  <c r="AY154" i="63"/>
  <c r="BF101" i="65"/>
  <c r="BF100" i="65" s="1"/>
  <c r="BG89" i="65"/>
  <c r="BH90" i="65" s="1"/>
  <c r="BF88" i="65"/>
  <c r="BF125" i="65"/>
  <c r="BF105" i="65"/>
  <c r="BG89" i="66"/>
  <c r="BH90" i="66" s="1"/>
  <c r="BF88" i="66"/>
  <c r="BF101" i="66"/>
  <c r="BF100" i="66" s="1"/>
  <c r="BB125" i="70"/>
  <c r="BB105" i="70"/>
  <c r="BD157" i="66"/>
  <c r="BD155" i="66"/>
  <c r="BE126" i="66"/>
  <c r="BE127" i="66"/>
  <c r="BD156" i="65"/>
  <c r="BD159" i="65" s="1"/>
  <c r="BD158" i="65"/>
  <c r="BC142" i="65" s="1"/>
  <c r="BB101" i="70"/>
  <c r="BB100" i="70" s="1"/>
  <c r="BC89" i="70"/>
  <c r="BD90" i="70" s="1"/>
  <c r="BB88" i="70"/>
  <c r="BF125" i="66"/>
  <c r="BF105" i="66"/>
  <c r="BF111" i="62"/>
  <c r="BF117" i="62" s="1"/>
  <c r="BG118" i="62" s="1"/>
  <c r="BF123" i="48"/>
  <c r="BF126" i="48" s="1"/>
  <c r="BF127" i="48" s="1"/>
  <c r="BE155" i="62"/>
  <c r="BE157" i="62"/>
  <c r="BF113" i="62"/>
  <c r="BG87" i="62" s="1"/>
  <c r="BF115" i="62"/>
  <c r="BF93" i="62"/>
  <c r="BG88" i="48"/>
  <c r="BG100" i="48"/>
  <c r="BG99" i="48" s="1"/>
  <c r="BH89" i="48"/>
  <c r="BI90" i="48" s="1"/>
  <c r="BG124" i="48"/>
  <c r="BG104" i="48"/>
  <c r="BA127" i="70" l="1"/>
  <c r="BE128" i="66"/>
  <c r="BE129" i="66" s="1"/>
  <c r="BE154" i="66"/>
  <c r="BB110" i="70"/>
  <c r="BB121" i="70"/>
  <c r="BB122" i="70" s="1"/>
  <c r="BB114" i="70"/>
  <c r="BF106" i="65"/>
  <c r="BF107" i="65" s="1"/>
  <c r="BF108" i="65" s="1"/>
  <c r="BG102" i="65"/>
  <c r="AY157" i="63"/>
  <c r="AY155" i="63"/>
  <c r="BF110" i="66"/>
  <c r="BF121" i="66"/>
  <c r="BF122" i="66" s="1"/>
  <c r="BF114" i="66"/>
  <c r="BG92" i="66" s="1"/>
  <c r="AZ124" i="63"/>
  <c r="BD158" i="66"/>
  <c r="BC142" i="66" s="1"/>
  <c r="BD156" i="66"/>
  <c r="BD159" i="66" s="1"/>
  <c r="BF121" i="65"/>
  <c r="BF122" i="65" s="1"/>
  <c r="BF114" i="65"/>
  <c r="BG92" i="65" s="1"/>
  <c r="BF110" i="65"/>
  <c r="BE127" i="65"/>
  <c r="BE126" i="65"/>
  <c r="BB106" i="70"/>
  <c r="BB107" i="70" s="1"/>
  <c r="BB108" i="70" s="1"/>
  <c r="BC102" i="70"/>
  <c r="BA105" i="63"/>
  <c r="BA125" i="63"/>
  <c r="BF106" i="66"/>
  <c r="BF107" i="66" s="1"/>
  <c r="BF108" i="66" s="1"/>
  <c r="BG102" i="66"/>
  <c r="BA128" i="70"/>
  <c r="BA129" i="70" s="1"/>
  <c r="BA154" i="70"/>
  <c r="BA88" i="63"/>
  <c r="BA101" i="63"/>
  <c r="BA100" i="63" s="1"/>
  <c r="BB89" i="63"/>
  <c r="BC90" i="63" s="1"/>
  <c r="AZ156" i="70"/>
  <c r="AZ159" i="70" s="1"/>
  <c r="AZ158" i="70"/>
  <c r="AY142" i="70" s="1"/>
  <c r="BF124" i="62"/>
  <c r="BF127" i="62" s="1"/>
  <c r="BF128" i="62" s="1"/>
  <c r="BF129" i="62" s="1"/>
  <c r="BF125" i="48"/>
  <c r="BG88" i="62"/>
  <c r="BG101" i="62"/>
  <c r="BG100" i="62" s="1"/>
  <c r="BH89" i="62"/>
  <c r="BI90" i="62" s="1"/>
  <c r="BE158" i="62"/>
  <c r="BD142" i="62" s="1"/>
  <c r="BE156" i="62"/>
  <c r="BE159" i="62" s="1"/>
  <c r="BG125" i="62"/>
  <c r="BG105" i="62"/>
  <c r="BF150" i="48"/>
  <c r="BF151" i="48" s="1"/>
  <c r="BF128" i="48"/>
  <c r="BG105" i="48"/>
  <c r="BG106" i="48" s="1"/>
  <c r="BG107" i="48" s="1"/>
  <c r="BH101" i="48"/>
  <c r="BG109" i="48"/>
  <c r="BG113" i="48"/>
  <c r="BH92" i="48" s="1"/>
  <c r="BG120" i="48"/>
  <c r="BG121" i="48" s="1"/>
  <c r="BF111" i="66" l="1"/>
  <c r="BF117" i="66" s="1"/>
  <c r="BG118" i="66" s="1"/>
  <c r="BB111" i="70"/>
  <c r="BB117" i="70" s="1"/>
  <c r="BC118" i="70" s="1"/>
  <c r="BF111" i="65"/>
  <c r="BF117" i="65" s="1"/>
  <c r="BG118" i="65" s="1"/>
  <c r="BA121" i="63"/>
  <c r="BA122" i="63" s="1"/>
  <c r="BA110" i="63"/>
  <c r="BA114" i="63"/>
  <c r="BE154" i="65"/>
  <c r="BE128" i="65"/>
  <c r="BE129" i="65" s="1"/>
  <c r="BF115" i="65"/>
  <c r="BF93" i="65"/>
  <c r="BF113" i="65"/>
  <c r="BG87" i="65" s="1"/>
  <c r="AZ126" i="63"/>
  <c r="AZ127" i="63"/>
  <c r="BA157" i="70"/>
  <c r="BA155" i="70"/>
  <c r="BF93" i="66"/>
  <c r="BF115" i="66"/>
  <c r="BF113" i="66"/>
  <c r="BG87" i="66" s="1"/>
  <c r="AY156" i="63"/>
  <c r="AY159" i="63" s="1"/>
  <c r="AY158" i="63"/>
  <c r="AX142" i="63" s="1"/>
  <c r="BE155" i="66"/>
  <c r="BE157" i="66"/>
  <c r="BA106" i="63"/>
  <c r="BA107" i="63" s="1"/>
  <c r="BA108" i="63" s="1"/>
  <c r="BA111" i="63" s="1"/>
  <c r="BA117" i="63" s="1"/>
  <c r="BB102" i="63"/>
  <c r="BB113" i="70"/>
  <c r="BC87" i="70" s="1"/>
  <c r="BC92" i="70"/>
  <c r="BC93" i="70" s="1"/>
  <c r="BB115" i="70"/>
  <c r="BF126" i="62"/>
  <c r="BG110" i="48"/>
  <c r="BG116" i="48" s="1"/>
  <c r="BH117" i="48" s="1"/>
  <c r="BG121" i="62"/>
  <c r="BG122" i="62" s="1"/>
  <c r="BG114" i="62"/>
  <c r="BH92" i="62" s="1"/>
  <c r="BG110" i="62"/>
  <c r="BG106" i="62"/>
  <c r="BG107" i="62" s="1"/>
  <c r="BG108" i="62" s="1"/>
  <c r="BH102" i="62"/>
  <c r="BF154" i="62"/>
  <c r="BG112" i="48"/>
  <c r="BH87" i="48" s="1"/>
  <c r="BG114" i="48"/>
  <c r="BG93" i="48"/>
  <c r="BF153" i="48"/>
  <c r="BF154" i="48"/>
  <c r="BE138" i="48" s="1"/>
  <c r="BF152" i="48"/>
  <c r="BF155" i="48" s="1"/>
  <c r="BF124" i="66" l="1"/>
  <c r="BF124" i="65"/>
  <c r="BF126" i="65" s="1"/>
  <c r="BC88" i="70"/>
  <c r="BC101" i="70"/>
  <c r="BC100" i="70" s="1"/>
  <c r="BD89" i="70"/>
  <c r="BE90" i="70" s="1"/>
  <c r="BG101" i="66"/>
  <c r="BG100" i="66" s="1"/>
  <c r="BH89" i="66"/>
  <c r="BI90" i="66" s="1"/>
  <c r="BG88" i="66"/>
  <c r="BB124" i="70"/>
  <c r="AZ128" i="63"/>
  <c r="AZ129" i="63" s="1"/>
  <c r="AZ154" i="63"/>
  <c r="BE156" i="66"/>
  <c r="BE159" i="66" s="1"/>
  <c r="BE158" i="66"/>
  <c r="BD142" i="66" s="1"/>
  <c r="BC125" i="70"/>
  <c r="BC105" i="70"/>
  <c r="BA156" i="70"/>
  <c r="BA159" i="70" s="1"/>
  <c r="BA158" i="70"/>
  <c r="AZ142" i="70" s="1"/>
  <c r="BF127" i="65"/>
  <c r="BG101" i="65"/>
  <c r="BG100" i="65" s="1"/>
  <c r="BG88" i="65"/>
  <c r="BH89" i="65"/>
  <c r="BI90" i="65" s="1"/>
  <c r="BE157" i="65"/>
  <c r="BE155" i="65"/>
  <c r="BF127" i="66"/>
  <c r="BF126" i="66"/>
  <c r="BA124" i="63"/>
  <c r="BB118" i="63"/>
  <c r="BG125" i="65"/>
  <c r="BG105" i="65"/>
  <c r="BA115" i="63"/>
  <c r="BB92" i="63"/>
  <c r="BB93" i="63" s="1"/>
  <c r="BA113" i="63"/>
  <c r="BB87" i="63" s="1"/>
  <c r="BG125" i="66"/>
  <c r="BG105" i="66"/>
  <c r="BG111" i="62"/>
  <c r="BG117" i="62" s="1"/>
  <c r="BG124" i="62" s="1"/>
  <c r="BG115" i="62"/>
  <c r="BG93" i="62"/>
  <c r="BG113" i="62"/>
  <c r="BH87" i="62" s="1"/>
  <c r="BF155" i="62"/>
  <c r="BF157" i="62"/>
  <c r="BH100" i="48"/>
  <c r="BH99" i="48" s="1"/>
  <c r="BH88" i="48"/>
  <c r="BI89" i="48"/>
  <c r="BH124" i="48"/>
  <c r="BH104" i="48"/>
  <c r="BG123" i="48"/>
  <c r="BG114" i="65" l="1"/>
  <c r="BH92" i="65" s="1"/>
  <c r="BG121" i="65"/>
  <c r="BG122" i="65" s="1"/>
  <c r="BG110" i="65"/>
  <c r="BA127" i="63"/>
  <c r="BA126" i="63"/>
  <c r="BG106" i="65"/>
  <c r="BG107" i="65" s="1"/>
  <c r="BG108" i="65" s="1"/>
  <c r="BH102" i="65"/>
  <c r="BB126" i="70"/>
  <c r="BB127" i="70"/>
  <c r="BG106" i="66"/>
  <c r="BG107" i="66" s="1"/>
  <c r="BG108" i="66" s="1"/>
  <c r="BH102" i="66"/>
  <c r="BC89" i="63"/>
  <c r="BD90" i="63" s="1"/>
  <c r="BB88" i="63"/>
  <c r="BB101" i="63"/>
  <c r="BB100" i="63" s="1"/>
  <c r="BG110" i="66"/>
  <c r="BG114" i="66"/>
  <c r="BH92" i="66" s="1"/>
  <c r="BG121" i="66"/>
  <c r="BG122" i="66" s="1"/>
  <c r="BF128" i="66"/>
  <c r="BF129" i="66" s="1"/>
  <c r="BF154" i="66"/>
  <c r="BF154" i="65"/>
  <c r="BF128" i="65"/>
  <c r="BF129" i="65" s="1"/>
  <c r="BC110" i="70"/>
  <c r="BC121" i="70"/>
  <c r="BC122" i="70" s="1"/>
  <c r="BC114" i="70"/>
  <c r="AZ157" i="63"/>
  <c r="AZ155" i="63"/>
  <c r="BC106" i="70"/>
  <c r="BC107" i="70" s="1"/>
  <c r="BC108" i="70" s="1"/>
  <c r="BD102" i="70"/>
  <c r="BB125" i="63"/>
  <c r="BB105" i="63"/>
  <c r="BE158" i="65"/>
  <c r="BD142" i="65" s="1"/>
  <c r="BE156" i="65"/>
  <c r="BE159" i="65" s="1"/>
  <c r="BH118" i="62"/>
  <c r="BH105" i="62" s="1"/>
  <c r="BF156" i="62"/>
  <c r="BF159" i="62" s="1"/>
  <c r="BF158" i="62"/>
  <c r="BE142" i="62" s="1"/>
  <c r="BH101" i="62"/>
  <c r="BH100" i="62" s="1"/>
  <c r="BH88" i="62"/>
  <c r="BI89" i="62"/>
  <c r="BG127" i="62"/>
  <c r="BG128" i="62" s="1"/>
  <c r="BG129" i="62" s="1"/>
  <c r="BG126" i="62"/>
  <c r="BH109" i="48"/>
  <c r="BH120" i="48"/>
  <c r="BH121" i="48" s="1"/>
  <c r="BH113" i="48"/>
  <c r="BI92" i="48" s="1"/>
  <c r="BG125" i="48"/>
  <c r="BG126" i="48"/>
  <c r="BG127" i="48" s="1"/>
  <c r="BH105" i="48"/>
  <c r="BH106" i="48" s="1"/>
  <c r="BH107" i="48" s="1"/>
  <c r="BI101" i="48"/>
  <c r="BC111" i="70" l="1"/>
  <c r="BG111" i="66"/>
  <c r="BG111" i="65"/>
  <c r="BG117" i="65" s="1"/>
  <c r="BH118" i="65" s="1"/>
  <c r="BG117" i="66"/>
  <c r="BH118" i="66" s="1"/>
  <c r="BB128" i="70"/>
  <c r="BB129" i="70" s="1"/>
  <c r="BB154" i="70"/>
  <c r="BC115" i="70"/>
  <c r="BD92" i="70"/>
  <c r="BD93" i="70" s="1"/>
  <c r="BC113" i="70"/>
  <c r="BD87" i="70" s="1"/>
  <c r="BF155" i="65"/>
  <c r="BF157" i="65"/>
  <c r="BC117" i="70"/>
  <c r="BD118" i="70" s="1"/>
  <c r="BF155" i="66"/>
  <c r="BF157" i="66"/>
  <c r="BB106" i="63"/>
  <c r="BB107" i="63" s="1"/>
  <c r="BB108" i="63" s="1"/>
  <c r="BC102" i="63"/>
  <c r="BA154" i="63"/>
  <c r="BA128" i="63"/>
  <c r="BA129" i="63" s="1"/>
  <c r="BG113" i="65"/>
  <c r="BH87" i="65" s="1"/>
  <c r="BG115" i="65"/>
  <c r="BG93" i="65"/>
  <c r="BB114" i="63"/>
  <c r="BB110" i="63"/>
  <c r="BB121" i="63"/>
  <c r="BB122" i="63" s="1"/>
  <c r="AZ156" i="63"/>
  <c r="AZ159" i="63" s="1"/>
  <c r="AZ158" i="63"/>
  <c r="AY142" i="63" s="1"/>
  <c r="BG113" i="66"/>
  <c r="BH87" i="66" s="1"/>
  <c r="BG93" i="66"/>
  <c r="BG115" i="66"/>
  <c r="BH110" i="48"/>
  <c r="BH116" i="48" s="1"/>
  <c r="BI117" i="48" s="1"/>
  <c r="BH125" i="62"/>
  <c r="BH106" i="62"/>
  <c r="BH107" i="62" s="1"/>
  <c r="BH108" i="62" s="1"/>
  <c r="BI102" i="62"/>
  <c r="BG154" i="62"/>
  <c r="BH114" i="62"/>
  <c r="BI92" i="62" s="1"/>
  <c r="BH121" i="62"/>
  <c r="BH122" i="62" s="1"/>
  <c r="BH110" i="62"/>
  <c r="BH114" i="48"/>
  <c r="BH112" i="48"/>
  <c r="BI87" i="48" s="1"/>
  <c r="BH93" i="48"/>
  <c r="BG128" i="48"/>
  <c r="BG150" i="48"/>
  <c r="BG151" i="48" s="1"/>
  <c r="BG124" i="65" l="1"/>
  <c r="BG124" i="66"/>
  <c r="BG126" i="66" s="1"/>
  <c r="BF158" i="66"/>
  <c r="BE142" i="66" s="1"/>
  <c r="BF156" i="66"/>
  <c r="BF159" i="66" s="1"/>
  <c r="BH125" i="65"/>
  <c r="BH105" i="65"/>
  <c r="BH101" i="66"/>
  <c r="BH100" i="66" s="1"/>
  <c r="BH88" i="66"/>
  <c r="BI89" i="66"/>
  <c r="BB111" i="63"/>
  <c r="BH101" i="65"/>
  <c r="BH100" i="65" s="1"/>
  <c r="BH88" i="65"/>
  <c r="BI89" i="65"/>
  <c r="BC124" i="70"/>
  <c r="BF156" i="65"/>
  <c r="BF159" i="65" s="1"/>
  <c r="BF158" i="65"/>
  <c r="BE142" i="65" s="1"/>
  <c r="BG127" i="65"/>
  <c r="BG126" i="65"/>
  <c r="BB115" i="63"/>
  <c r="BB113" i="63"/>
  <c r="BC87" i="63" s="1"/>
  <c r="BC92" i="63"/>
  <c r="BC93" i="63" s="1"/>
  <c r="BD125" i="70"/>
  <c r="BD105" i="70"/>
  <c r="BD101" i="70"/>
  <c r="BD100" i="70" s="1"/>
  <c r="BD88" i="70"/>
  <c r="BE89" i="70"/>
  <c r="BF90" i="70" s="1"/>
  <c r="BB155" i="70"/>
  <c r="BB157" i="70"/>
  <c r="BA157" i="63"/>
  <c r="BA155" i="63"/>
  <c r="BH125" i="66"/>
  <c r="BH105" i="66"/>
  <c r="BH111" i="62"/>
  <c r="BH117" i="62" s="1"/>
  <c r="BI118" i="62" s="1"/>
  <c r="BH113" i="62"/>
  <c r="BI87" i="62" s="1"/>
  <c r="BH115" i="62"/>
  <c r="BH93" i="62"/>
  <c r="BH123" i="48"/>
  <c r="BH126" i="48" s="1"/>
  <c r="BH127" i="48" s="1"/>
  <c r="BG155" i="62"/>
  <c r="BG157" i="62"/>
  <c r="BI100" i="48"/>
  <c r="BI99" i="48" s="1"/>
  <c r="BI88" i="48"/>
  <c r="BG154" i="48"/>
  <c r="BF138" i="48" s="1"/>
  <c r="BG153" i="48"/>
  <c r="BG152" i="48"/>
  <c r="BG155" i="48" s="1"/>
  <c r="BI124" i="48"/>
  <c r="BI104" i="48"/>
  <c r="BG127" i="66" l="1"/>
  <c r="BG128" i="66" s="1"/>
  <c r="BG129" i="66" s="1"/>
  <c r="BC126" i="70"/>
  <c r="BC127" i="70"/>
  <c r="BG154" i="65"/>
  <c r="BG128" i="65"/>
  <c r="BG129" i="65" s="1"/>
  <c r="BH106" i="65"/>
  <c r="BH107" i="65" s="1"/>
  <c r="BH108" i="65" s="1"/>
  <c r="BI102" i="65"/>
  <c r="BA158" i="63"/>
  <c r="AZ142" i="63" s="1"/>
  <c r="BA156" i="63"/>
  <c r="BA159" i="63" s="1"/>
  <c r="BD106" i="70"/>
  <c r="BD107" i="70" s="1"/>
  <c r="BD108" i="70" s="1"/>
  <c r="BE102" i="70"/>
  <c r="BC101" i="63"/>
  <c r="BC100" i="63" s="1"/>
  <c r="BD89" i="63"/>
  <c r="BE90" i="63" s="1"/>
  <c r="BC88" i="63"/>
  <c r="BB117" i="63"/>
  <c r="BC118" i="63" s="1"/>
  <c r="BH106" i="66"/>
  <c r="BH107" i="66" s="1"/>
  <c r="BH108" i="66" s="1"/>
  <c r="BI102" i="66"/>
  <c r="BH110" i="66"/>
  <c r="BH121" i="66"/>
  <c r="BH122" i="66" s="1"/>
  <c r="BH114" i="66"/>
  <c r="BI92" i="66" s="1"/>
  <c r="BB158" i="70"/>
  <c r="BA142" i="70" s="1"/>
  <c r="BB156" i="70"/>
  <c r="BB159" i="70" s="1"/>
  <c r="BD110" i="70"/>
  <c r="BD121" i="70"/>
  <c r="BD122" i="70" s="1"/>
  <c r="BD114" i="70"/>
  <c r="BH121" i="65"/>
  <c r="BH122" i="65" s="1"/>
  <c r="BH114" i="65"/>
  <c r="BI92" i="65" s="1"/>
  <c r="BH110" i="65"/>
  <c r="BH124" i="62"/>
  <c r="BH127" i="62" s="1"/>
  <c r="BH128" i="62" s="1"/>
  <c r="BH129" i="62" s="1"/>
  <c r="BH125" i="48"/>
  <c r="BG158" i="62"/>
  <c r="BF142" i="62" s="1"/>
  <c r="BG156" i="62"/>
  <c r="BG159" i="62" s="1"/>
  <c r="BI88" i="62"/>
  <c r="BI101" i="62"/>
  <c r="BI100" i="62" s="1"/>
  <c r="BI125" i="62"/>
  <c r="BI105" i="62"/>
  <c r="BI120" i="48"/>
  <c r="BI121" i="48" s="1"/>
  <c r="BI109" i="48"/>
  <c r="BI113" i="48"/>
  <c r="BH128" i="48"/>
  <c r="BH150" i="48"/>
  <c r="BH151" i="48" s="1"/>
  <c r="BI105" i="48"/>
  <c r="BI106" i="48" s="1"/>
  <c r="BI107" i="48" s="1"/>
  <c r="BI110" i="48" s="1"/>
  <c r="BG154" i="66" l="1"/>
  <c r="BH111" i="65"/>
  <c r="BH117" i="65" s="1"/>
  <c r="BH111" i="66"/>
  <c r="BH117" i="66" s="1"/>
  <c r="BI118" i="66" s="1"/>
  <c r="BB124" i="63"/>
  <c r="BB127" i="63" s="1"/>
  <c r="BD115" i="70"/>
  <c r="BE92" i="70"/>
  <c r="BE93" i="70" s="1"/>
  <c r="BD113" i="70"/>
  <c r="BE87" i="70" s="1"/>
  <c r="BD111" i="70"/>
  <c r="BC128" i="70"/>
  <c r="BC129" i="70" s="1"/>
  <c r="BC154" i="70"/>
  <c r="BH93" i="65"/>
  <c r="BH113" i="65"/>
  <c r="BI87" i="65" s="1"/>
  <c r="BH115" i="65"/>
  <c r="BH115" i="66"/>
  <c r="BH93" i="66"/>
  <c r="BH113" i="66"/>
  <c r="BI87" i="66" s="1"/>
  <c r="BC106" i="63"/>
  <c r="BD102" i="63"/>
  <c r="BG155" i="66"/>
  <c r="BG157" i="66"/>
  <c r="BH124" i="65"/>
  <c r="BI118" i="65"/>
  <c r="BC125" i="63"/>
  <c r="BC105" i="63"/>
  <c r="BG157" i="65"/>
  <c r="BG155" i="65"/>
  <c r="BH126" i="62"/>
  <c r="BI114" i="62"/>
  <c r="BI110" i="62"/>
  <c r="BI121" i="62"/>
  <c r="BI122" i="62" s="1"/>
  <c r="BI106" i="62"/>
  <c r="BI107" i="62" s="1"/>
  <c r="BI108" i="62" s="1"/>
  <c r="BH154" i="62"/>
  <c r="BI116" i="48"/>
  <c r="BH154" i="48"/>
  <c r="BG138" i="48" s="1"/>
  <c r="BH152" i="48"/>
  <c r="BH155" i="48" s="1"/>
  <c r="BH153" i="48"/>
  <c r="BI112" i="48"/>
  <c r="BI114" i="48"/>
  <c r="BI93" i="48"/>
  <c r="B94" i="48" s="1"/>
  <c r="BB126" i="63" l="1"/>
  <c r="B162" i="48"/>
  <c r="D162" i="48" s="1"/>
  <c r="D166" i="65"/>
  <c r="F166" i="65" s="1"/>
  <c r="G166" i="65" s="1"/>
  <c r="BH124" i="66"/>
  <c r="BH126" i="66" s="1"/>
  <c r="BC121" i="63"/>
  <c r="BC122" i="63" s="1"/>
  <c r="BC110" i="63"/>
  <c r="BC114" i="63"/>
  <c r="BI88" i="65"/>
  <c r="BI101" i="65"/>
  <c r="BI100" i="65" s="1"/>
  <c r="BI106" i="65" s="1"/>
  <c r="BD117" i="70"/>
  <c r="BE118" i="70" s="1"/>
  <c r="BG158" i="65"/>
  <c r="BF142" i="65" s="1"/>
  <c r="BG156" i="65"/>
  <c r="BG159" i="65" s="1"/>
  <c r="BG156" i="66"/>
  <c r="BG159" i="66" s="1"/>
  <c r="BG158" i="66"/>
  <c r="BF142" i="66" s="1"/>
  <c r="BB128" i="63"/>
  <c r="BB129" i="63" s="1"/>
  <c r="BB154" i="63"/>
  <c r="BE101" i="70"/>
  <c r="BE100" i="70" s="1"/>
  <c r="BE88" i="70"/>
  <c r="BF89" i="70"/>
  <c r="BG90" i="70" s="1"/>
  <c r="BI125" i="65"/>
  <c r="BI105" i="65"/>
  <c r="BI101" i="66"/>
  <c r="BI100" i="66" s="1"/>
  <c r="BI106" i="66" s="1"/>
  <c r="BI88" i="66"/>
  <c r="BI125" i="66"/>
  <c r="BI105" i="66"/>
  <c r="BC155" i="70"/>
  <c r="BC157" i="70"/>
  <c r="BH127" i="65"/>
  <c r="BH126" i="65"/>
  <c r="BC107" i="63"/>
  <c r="BC108" i="63" s="1"/>
  <c r="BI111" i="62"/>
  <c r="BI117" i="62" s="1"/>
  <c r="BH155" i="62"/>
  <c r="BH157" i="62"/>
  <c r="BI123" i="48"/>
  <c r="BI126" i="48" s="1"/>
  <c r="BI127" i="48" s="1"/>
  <c r="BI115" i="62"/>
  <c r="BI113" i="62"/>
  <c r="BI93" i="62"/>
  <c r="B94" i="62" s="1"/>
  <c r="D166" i="62"/>
  <c r="F166" i="62" s="1"/>
  <c r="G166" i="62" s="1"/>
  <c r="D166" i="66" l="1"/>
  <c r="F166" i="66" s="1"/>
  <c r="G166" i="66" s="1"/>
  <c r="BH127" i="66"/>
  <c r="BC111" i="63"/>
  <c r="BC117" i="63" s="1"/>
  <c r="BD118" i="63" s="1"/>
  <c r="BD124" i="70"/>
  <c r="BD127" i="70" s="1"/>
  <c r="BH128" i="66"/>
  <c r="BH129" i="66" s="1"/>
  <c r="BH154" i="66"/>
  <c r="BC115" i="63"/>
  <c r="BC113" i="63"/>
  <c r="BD87" i="63" s="1"/>
  <c r="BD92" i="63"/>
  <c r="BD93" i="63" s="1"/>
  <c r="BC158" i="70"/>
  <c r="BB142" i="70" s="1"/>
  <c r="BC156" i="70"/>
  <c r="BC159" i="70" s="1"/>
  <c r="BE125" i="70"/>
  <c r="BE105" i="70"/>
  <c r="BI107" i="66"/>
  <c r="BI108" i="66" s="1"/>
  <c r="BI121" i="66"/>
  <c r="BI122" i="66" s="1"/>
  <c r="BI110" i="66"/>
  <c r="BI114" i="66"/>
  <c r="BB155" i="63"/>
  <c r="BB157" i="63"/>
  <c r="BH154" i="65"/>
  <c r="BH128" i="65"/>
  <c r="BH129" i="65" s="1"/>
  <c r="BI110" i="65"/>
  <c r="BI121" i="65"/>
  <c r="BI122" i="65" s="1"/>
  <c r="BI114" i="65"/>
  <c r="BI107" i="65"/>
  <c r="BI108" i="65" s="1"/>
  <c r="BE106" i="70"/>
  <c r="BF102" i="70"/>
  <c r="BI125" i="48"/>
  <c r="BI124" i="62"/>
  <c r="BI127" i="62" s="1"/>
  <c r="BI128" i="62" s="1"/>
  <c r="BI129" i="62" s="1"/>
  <c r="BH158" i="62"/>
  <c r="BG142" i="62" s="1"/>
  <c r="BH156" i="62"/>
  <c r="BH159" i="62" s="1"/>
  <c r="BI150" i="48"/>
  <c r="BI151" i="48" s="1"/>
  <c r="BI128" i="48"/>
  <c r="BE107" i="70" l="1"/>
  <c r="BE108" i="70" s="1"/>
  <c r="BD126" i="70"/>
  <c r="BI111" i="66"/>
  <c r="BI111" i="65"/>
  <c r="BI117" i="65" s="1"/>
  <c r="BB158" i="63"/>
  <c r="BA142" i="63" s="1"/>
  <c r="BB156" i="63"/>
  <c r="BB159" i="63" s="1"/>
  <c r="BD105" i="63"/>
  <c r="BD125" i="63"/>
  <c r="BD128" i="70"/>
  <c r="BD129" i="70" s="1"/>
  <c r="BD154" i="70"/>
  <c r="BI117" i="66"/>
  <c r="BI124" i="66" s="1"/>
  <c r="BI113" i="65"/>
  <c r="BI93" i="65"/>
  <c r="B94" i="65" s="1"/>
  <c r="BI115" i="65"/>
  <c r="BH155" i="65"/>
  <c r="BH157" i="65"/>
  <c r="BI113" i="66"/>
  <c r="BI115" i="66"/>
  <c r="BI93" i="66"/>
  <c r="B94" i="66" s="1"/>
  <c r="BE110" i="70"/>
  <c r="BE111" i="70" s="1"/>
  <c r="BE121" i="70"/>
  <c r="BE122" i="70" s="1"/>
  <c r="BE114" i="70"/>
  <c r="BD88" i="63"/>
  <c r="BD101" i="63"/>
  <c r="BD100" i="63" s="1"/>
  <c r="BE89" i="63"/>
  <c r="BF90" i="63" s="1"/>
  <c r="BH157" i="66"/>
  <c r="BH155" i="66"/>
  <c r="BC124" i="63"/>
  <c r="BI126" i="62"/>
  <c r="B166" i="62"/>
  <c r="BI154" i="62"/>
  <c r="BI152" i="48"/>
  <c r="BI155" i="48" s="1"/>
  <c r="BI153" i="48"/>
  <c r="BI154" i="48"/>
  <c r="BH138" i="48" s="1"/>
  <c r="B163" i="48" l="1"/>
  <c r="D163" i="48" s="1"/>
  <c r="D167" i="66"/>
  <c r="F167" i="66" s="1"/>
  <c r="G167" i="66" s="1"/>
  <c r="BI124" i="65"/>
  <c r="D167" i="65" s="1"/>
  <c r="F167" i="65" s="1"/>
  <c r="G167" i="65" s="1"/>
  <c r="BE117" i="70"/>
  <c r="BF118" i="70" s="1"/>
  <c r="BD106" i="63"/>
  <c r="BD107" i="63" s="1"/>
  <c r="BD108" i="63" s="1"/>
  <c r="BE102" i="63"/>
  <c r="BD155" i="70"/>
  <c r="BD157" i="70"/>
  <c r="BH156" i="65"/>
  <c r="BH159" i="65" s="1"/>
  <c r="B166" i="65" s="1"/>
  <c r="BH158" i="65"/>
  <c r="BG142" i="65" s="1"/>
  <c r="BH158" i="66"/>
  <c r="BG142" i="66" s="1"/>
  <c r="BH156" i="66"/>
  <c r="BH159" i="66" s="1"/>
  <c r="B166" i="66" s="1"/>
  <c r="BE113" i="70"/>
  <c r="BF87" i="70" s="1"/>
  <c r="BF92" i="70"/>
  <c r="BF93" i="70" s="1"/>
  <c r="BE115" i="70"/>
  <c r="BI127" i="66"/>
  <c r="BI126" i="66"/>
  <c r="BI127" i="65"/>
  <c r="BI126" i="65"/>
  <c r="BC127" i="63"/>
  <c r="BC126" i="63"/>
  <c r="BD121" i="63"/>
  <c r="BD122" i="63" s="1"/>
  <c r="BD110" i="63"/>
  <c r="BD114" i="63"/>
  <c r="BI157" i="62"/>
  <c r="BI155" i="62"/>
  <c r="BE124" i="70" l="1"/>
  <c r="BI154" i="66"/>
  <c r="BI128" i="66"/>
  <c r="BI129" i="66" s="1"/>
  <c r="B130" i="66" s="1"/>
  <c r="BD111" i="63"/>
  <c r="BC128" i="63"/>
  <c r="BC129" i="63" s="1"/>
  <c r="BC154" i="63"/>
  <c r="BI154" i="65"/>
  <c r="BI128" i="65"/>
  <c r="BI129" i="65" s="1"/>
  <c r="B130" i="65" s="1"/>
  <c r="BD156" i="70"/>
  <c r="BD159" i="70" s="1"/>
  <c r="BD158" i="70"/>
  <c r="BC142" i="70" s="1"/>
  <c r="BE127" i="70"/>
  <c r="BE126" i="70"/>
  <c r="BD115" i="63"/>
  <c r="BD113" i="63"/>
  <c r="BE87" i="63" s="1"/>
  <c r="BE92" i="63"/>
  <c r="BE93" i="63" s="1"/>
  <c r="BG89" i="70"/>
  <c r="BH90" i="70" s="1"/>
  <c r="BF101" i="70"/>
  <c r="BF100" i="70" s="1"/>
  <c r="BF88" i="70"/>
  <c r="BF125" i="70"/>
  <c r="BF105" i="70"/>
  <c r="BI158" i="62"/>
  <c r="BH142" i="62" s="1"/>
  <c r="BI156" i="62"/>
  <c r="BI159" i="62" s="1"/>
  <c r="B168" i="65" l="1"/>
  <c r="D168" i="65"/>
  <c r="F168" i="65" s="1"/>
  <c r="G168" i="65" s="1"/>
  <c r="D130" i="66"/>
  <c r="U130" i="66" s="1"/>
  <c r="B168" i="66"/>
  <c r="D168" i="66"/>
  <c r="F168" i="66" s="1"/>
  <c r="G168" i="66" s="1"/>
  <c r="BE101" i="63"/>
  <c r="BE100" i="63" s="1"/>
  <c r="BF89" i="63"/>
  <c r="BG90" i="63" s="1"/>
  <c r="BE88" i="63"/>
  <c r="BE128" i="70"/>
  <c r="BE129" i="70" s="1"/>
  <c r="BE154" i="70"/>
  <c r="BI157" i="65"/>
  <c r="BI155" i="65"/>
  <c r="BF110" i="70"/>
  <c r="BF121" i="70"/>
  <c r="BF122" i="70" s="1"/>
  <c r="BF114" i="70"/>
  <c r="BF106" i="70"/>
  <c r="BF107" i="70" s="1"/>
  <c r="BF108" i="70" s="1"/>
  <c r="BF111" i="70" s="1"/>
  <c r="BG102" i="70"/>
  <c r="BC155" i="63"/>
  <c r="BC157" i="63"/>
  <c r="D51" i="65"/>
  <c r="G51" i="65" s="1"/>
  <c r="D130" i="65"/>
  <c r="BD117" i="63"/>
  <c r="BE118" i="63" s="1"/>
  <c r="BI155" i="66"/>
  <c r="BI157" i="66"/>
  <c r="BD124" i="63" l="1"/>
  <c r="BI156" i="66"/>
  <c r="BI159" i="66" s="1"/>
  <c r="B167" i="66" s="1"/>
  <c r="BI158" i="66"/>
  <c r="BH142" i="66" s="1"/>
  <c r="U130" i="65"/>
  <c r="C49" i="65"/>
  <c r="BF117" i="70"/>
  <c r="BG118" i="70" s="1"/>
  <c r="BI156" i="65"/>
  <c r="BI159" i="65" s="1"/>
  <c r="BI158" i="65"/>
  <c r="BH142" i="65" s="1"/>
  <c r="BE105" i="63"/>
  <c r="BE125" i="63"/>
  <c r="BF115" i="70"/>
  <c r="BF113" i="70"/>
  <c r="BG87" i="70" s="1"/>
  <c r="BG92" i="70"/>
  <c r="BG93" i="70" s="1"/>
  <c r="BC158" i="63"/>
  <c r="BB142" i="63" s="1"/>
  <c r="BC156" i="63"/>
  <c r="BC159" i="63" s="1"/>
  <c r="BE155" i="70"/>
  <c r="BE157" i="70"/>
  <c r="BE106" i="63"/>
  <c r="BF102" i="63"/>
  <c r="B129" i="48"/>
  <c r="D50" i="48"/>
  <c r="BD127" i="63" l="1"/>
  <c r="B167" i="65"/>
  <c r="F130" i="65" s="1"/>
  <c r="C130" i="63"/>
  <c r="B164" i="48"/>
  <c r="D164" i="48" s="1"/>
  <c r="BD126" i="63"/>
  <c r="BG125" i="70"/>
  <c r="BG105" i="70"/>
  <c r="BE107" i="63"/>
  <c r="BE108" i="63" s="1"/>
  <c r="BF124" i="70"/>
  <c r="BD128" i="63"/>
  <c r="BD129" i="63" s="1"/>
  <c r="BD154" i="63"/>
  <c r="BE110" i="63"/>
  <c r="BE114" i="63"/>
  <c r="BE121" i="63"/>
  <c r="BE122" i="63" s="1"/>
  <c r="BE156" i="70"/>
  <c r="BE159" i="70" s="1"/>
  <c r="BE158" i="70"/>
  <c r="BD142" i="70" s="1"/>
  <c r="BG88" i="70"/>
  <c r="BH89" i="70"/>
  <c r="BI90" i="70" s="1"/>
  <c r="BG101" i="70"/>
  <c r="BG100" i="70" s="1"/>
  <c r="D129" i="48"/>
  <c r="D51" i="48"/>
  <c r="BF92" i="63" l="1"/>
  <c r="BF93" i="63" s="1"/>
  <c r="BE113" i="63"/>
  <c r="BF87" i="63" s="1"/>
  <c r="BE115" i="63"/>
  <c r="BF127" i="70"/>
  <c r="BF126" i="70"/>
  <c r="BG106" i="70"/>
  <c r="BG107" i="70" s="1"/>
  <c r="BG108" i="70" s="1"/>
  <c r="BH102" i="70"/>
  <c r="BE111" i="63"/>
  <c r="BD157" i="63"/>
  <c r="BD155" i="63"/>
  <c r="BG110" i="70"/>
  <c r="BG121" i="70"/>
  <c r="BG122" i="70" s="1"/>
  <c r="BG114" i="70"/>
  <c r="B167" i="62"/>
  <c r="BG111" i="70" l="1"/>
  <c r="BD158" i="63"/>
  <c r="BC142" i="63" s="1"/>
  <c r="BD156" i="63"/>
  <c r="BD159" i="63" s="1"/>
  <c r="BG117" i="70"/>
  <c r="BH118" i="70" s="1"/>
  <c r="BF128" i="70"/>
  <c r="BF129" i="70" s="1"/>
  <c r="BF154" i="70"/>
  <c r="BF88" i="63"/>
  <c r="BF101" i="63"/>
  <c r="BF100" i="63" s="1"/>
  <c r="BG89" i="63"/>
  <c r="BH90" i="63" s="1"/>
  <c r="BH92" i="70"/>
  <c r="BH93" i="70" s="1"/>
  <c r="BG113" i="70"/>
  <c r="BH87" i="70" s="1"/>
  <c r="BG115" i="70"/>
  <c r="BE117" i="63"/>
  <c r="BF118" i="63" s="1"/>
  <c r="D167" i="62"/>
  <c r="F167" i="62" s="1"/>
  <c r="G167" i="62" s="1"/>
  <c r="B130" i="62"/>
  <c r="F130" i="62" l="1"/>
  <c r="B168" i="62"/>
  <c r="BG124" i="70"/>
  <c r="BE124" i="63"/>
  <c r="BF106" i="63"/>
  <c r="BG102" i="63"/>
  <c r="BG127" i="70"/>
  <c r="BH88" i="70"/>
  <c r="BI89" i="70"/>
  <c r="BH101" i="70"/>
  <c r="BH100" i="70" s="1"/>
  <c r="BH125" i="70"/>
  <c r="BH105" i="70"/>
  <c r="BF155" i="70"/>
  <c r="BF157" i="70"/>
  <c r="BF125" i="63"/>
  <c r="BF105" i="63"/>
  <c r="D168" i="62"/>
  <c r="F168" i="62" s="1"/>
  <c r="G168" i="62" s="1"/>
  <c r="D51" i="62"/>
  <c r="D130" i="62"/>
  <c r="U130" i="62" s="1"/>
  <c r="BG126" i="70" l="1"/>
  <c r="BE127" i="63"/>
  <c r="BE126" i="63"/>
  <c r="BF110" i="63"/>
  <c r="BF121" i="63"/>
  <c r="BF122" i="63" s="1"/>
  <c r="BF114" i="63"/>
  <c r="BH110" i="70"/>
  <c r="BH121" i="70"/>
  <c r="BH122" i="70" s="1"/>
  <c r="BH114" i="70"/>
  <c r="BG128" i="70"/>
  <c r="BG129" i="70" s="1"/>
  <c r="BG154" i="70"/>
  <c r="BH106" i="70"/>
  <c r="BH107" i="70" s="1"/>
  <c r="BH108" i="70" s="1"/>
  <c r="BI102" i="70"/>
  <c r="BF158" i="70"/>
  <c r="BE142" i="70" s="1"/>
  <c r="BF156" i="70"/>
  <c r="BF159" i="70" s="1"/>
  <c r="BE128" i="63"/>
  <c r="BE129" i="63" s="1"/>
  <c r="BE154" i="63"/>
  <c r="BF107" i="63"/>
  <c r="BF108" i="63" s="1"/>
  <c r="BF111" i="63" s="1"/>
  <c r="BH111" i="70" l="1"/>
  <c r="BF117" i="63"/>
  <c r="BG118" i="63" s="1"/>
  <c r="BG155" i="70"/>
  <c r="BG157" i="70"/>
  <c r="BE155" i="63"/>
  <c r="BE157" i="63"/>
  <c r="BG92" i="63"/>
  <c r="BG93" i="63" s="1"/>
  <c r="BF115" i="63"/>
  <c r="BF113" i="63"/>
  <c r="BG87" i="63" s="1"/>
  <c r="BH117" i="70"/>
  <c r="BI118" i="70" s="1"/>
  <c r="BH113" i="70"/>
  <c r="BI87" i="70" s="1"/>
  <c r="BH115" i="70"/>
  <c r="BI92" i="70"/>
  <c r="BI93" i="70" s="1"/>
  <c r="B94" i="70" s="1"/>
  <c r="BH124" i="70" l="1"/>
  <c r="BF124" i="63"/>
  <c r="BI101" i="70"/>
  <c r="BI100" i="70" s="1"/>
  <c r="BI106" i="70" s="1"/>
  <c r="BI88" i="70"/>
  <c r="BH127" i="70"/>
  <c r="BH126" i="70"/>
  <c r="BG156" i="70"/>
  <c r="BG159" i="70" s="1"/>
  <c r="BG158" i="70"/>
  <c r="BF142" i="70" s="1"/>
  <c r="BI125" i="70"/>
  <c r="BI105" i="70"/>
  <c r="BG88" i="63"/>
  <c r="BG101" i="63"/>
  <c r="BG100" i="63" s="1"/>
  <c r="BH89" i="63"/>
  <c r="BI90" i="63" s="1"/>
  <c r="BE158" i="63"/>
  <c r="BD142" i="63" s="1"/>
  <c r="BE156" i="63"/>
  <c r="BE159" i="63" s="1"/>
  <c r="BG125" i="63"/>
  <c r="BG105" i="63"/>
  <c r="D166" i="70" l="1"/>
  <c r="F166" i="70" s="1"/>
  <c r="G166" i="70" s="1"/>
  <c r="BF127" i="63"/>
  <c r="BF126" i="63"/>
  <c r="BG106" i="63"/>
  <c r="BG107" i="63" s="1"/>
  <c r="BG108" i="63" s="1"/>
  <c r="BH102" i="63"/>
  <c r="BI121" i="70"/>
  <c r="BI122" i="70" s="1"/>
  <c r="BI107" i="70"/>
  <c r="BI108" i="70" s="1"/>
  <c r="BI110" i="70"/>
  <c r="BI114" i="70"/>
  <c r="BG114" i="63"/>
  <c r="BG121" i="63"/>
  <c r="BG122" i="63" s="1"/>
  <c r="BG110" i="63"/>
  <c r="BF128" i="63"/>
  <c r="BF129" i="63" s="1"/>
  <c r="BF154" i="63"/>
  <c r="BH128" i="70"/>
  <c r="BH129" i="70" s="1"/>
  <c r="BH154" i="70"/>
  <c r="BG115" i="63" l="1"/>
  <c r="BG113" i="63"/>
  <c r="BH87" i="63" s="1"/>
  <c r="BH92" i="63"/>
  <c r="BH93" i="63" s="1"/>
  <c r="BF155" i="63"/>
  <c r="BF157" i="63"/>
  <c r="BI115" i="70"/>
  <c r="BI113" i="70"/>
  <c r="BH155" i="70"/>
  <c r="BH157" i="70"/>
  <c r="BI111" i="70"/>
  <c r="BI117" i="70" s="1"/>
  <c r="BI124" i="70" s="1"/>
  <c r="D167" i="70" s="1"/>
  <c r="F167" i="70" s="1"/>
  <c r="G167" i="70" s="1"/>
  <c r="BG111" i="63"/>
  <c r="BG117" i="63" s="1"/>
  <c r="BG124" i="63" l="1"/>
  <c r="BH118" i="63"/>
  <c r="BF158" i="63"/>
  <c r="BE142" i="63" s="1"/>
  <c r="BF156" i="63"/>
  <c r="BF159" i="63" s="1"/>
  <c r="BI89" i="63"/>
  <c r="BH88" i="63"/>
  <c r="BH101" i="63"/>
  <c r="BH100" i="63" s="1"/>
  <c r="BI126" i="70"/>
  <c r="BI127" i="70"/>
  <c r="BH158" i="70"/>
  <c r="BG142" i="70" s="1"/>
  <c r="BH156" i="70"/>
  <c r="BH159" i="70" s="1"/>
  <c r="B166" i="70" s="1"/>
  <c r="BH106" i="63" l="1"/>
  <c r="BI102" i="63"/>
  <c r="BH125" i="63"/>
  <c r="BH105" i="63"/>
  <c r="BI128" i="70"/>
  <c r="BI129" i="70" s="1"/>
  <c r="B130" i="70" s="1"/>
  <c r="BI154" i="70"/>
  <c r="BG126" i="63"/>
  <c r="BG127" i="63"/>
  <c r="B168" i="70" l="1"/>
  <c r="D168" i="70"/>
  <c r="F168" i="70" s="1"/>
  <c r="G168" i="70" s="1"/>
  <c r="BI155" i="70"/>
  <c r="BI157" i="70"/>
  <c r="D51" i="70"/>
  <c r="D130" i="70"/>
  <c r="U130" i="70" s="1"/>
  <c r="BG128" i="63"/>
  <c r="BG129" i="63" s="1"/>
  <c r="BG154" i="63"/>
  <c r="BH121" i="63"/>
  <c r="BH122" i="63" s="1"/>
  <c r="BH107" i="63"/>
  <c r="BH108" i="63" s="1"/>
  <c r="BH114" i="63"/>
  <c r="BH110" i="63"/>
  <c r="BG155" i="63" l="1"/>
  <c r="BG157" i="63"/>
  <c r="BH115" i="63"/>
  <c r="BI92" i="63"/>
  <c r="BI93" i="63" s="1"/>
  <c r="B94" i="63" s="1"/>
  <c r="BH113" i="63"/>
  <c r="BI87" i="63" s="1"/>
  <c r="BH111" i="63"/>
  <c r="BI156" i="70"/>
  <c r="BI159" i="70" s="1"/>
  <c r="B167" i="70" s="1"/>
  <c r="BI158" i="70"/>
  <c r="BH142" i="70" s="1"/>
  <c r="BH117" i="63" l="1"/>
  <c r="BI118" i="63" s="1"/>
  <c r="BI101" i="63"/>
  <c r="BI100" i="63" s="1"/>
  <c r="BI88" i="63"/>
  <c r="BG158" i="63"/>
  <c r="BF142" i="63" s="1"/>
  <c r="BG156" i="63"/>
  <c r="BG159" i="63" s="1"/>
  <c r="BH124" i="63" l="1"/>
  <c r="BI106" i="63"/>
  <c r="A2" i="63"/>
  <c r="BH127" i="63"/>
  <c r="BI125" i="63"/>
  <c r="BI105" i="63"/>
  <c r="BH126" i="63" l="1"/>
  <c r="D166" i="63"/>
  <c r="F166" i="63" s="1"/>
  <c r="G166" i="63" s="1"/>
  <c r="BI121" i="63"/>
  <c r="BI122" i="63" s="1"/>
  <c r="BI107" i="63"/>
  <c r="BI108" i="63" s="1"/>
  <c r="BI114" i="63"/>
  <c r="BI110" i="63"/>
  <c r="BH154" i="63"/>
  <c r="BH128" i="63"/>
  <c r="BH129" i="63" s="1"/>
  <c r="BI111" i="63" l="1"/>
  <c r="BI117" i="63" s="1"/>
  <c r="BI124" i="63" s="1"/>
  <c r="BI115" i="63"/>
  <c r="BI113" i="63"/>
  <c r="BH157" i="63"/>
  <c r="BH155" i="63"/>
  <c r="BI127" i="63" l="1"/>
  <c r="BI128" i="63" s="1"/>
  <c r="BI129" i="63" s="1"/>
  <c r="B130" i="63" s="1"/>
  <c r="D167" i="63"/>
  <c r="F167" i="63" s="1"/>
  <c r="G167" i="63" s="1"/>
  <c r="BI126" i="63"/>
  <c r="BI154" i="63"/>
  <c r="BH158" i="63"/>
  <c r="BG142" i="63" s="1"/>
  <c r="BH156" i="63"/>
  <c r="BH159" i="63" s="1"/>
  <c r="B166" i="63" s="1"/>
  <c r="D168" i="63" l="1"/>
  <c r="F168" i="63" s="1"/>
  <c r="G168" i="63" s="1"/>
  <c r="B168" i="63"/>
  <c r="BI157" i="63"/>
  <c r="BI155" i="63"/>
  <c r="D51" i="63"/>
  <c r="D130" i="63"/>
  <c r="U130" i="63" s="1"/>
  <c r="BI158" i="63" l="1"/>
  <c r="BH142" i="63" s="1"/>
  <c r="BI156" i="63"/>
  <c r="BI159" i="63" s="1"/>
  <c r="B167" i="63" s="1"/>
</calcChain>
</file>

<file path=xl/sharedStrings.xml><?xml version="1.0" encoding="utf-8"?>
<sst xmlns="http://schemas.openxmlformats.org/spreadsheetml/2006/main" count="1229" uniqueCount="348">
  <si>
    <t xml:space="preserve">           Decline rate of land emissions per decade</t>
  </si>
  <si>
    <t>Concentration in biosphere and upper oceans (GTC)</t>
  </si>
  <si>
    <t>Concentration in deep oceans (GTC)</t>
  </si>
  <si>
    <t>PARTICIPATION</t>
  </si>
  <si>
    <t>Consumption discount rate</t>
  </si>
  <si>
    <t>Initial temperature of deep oceans (deg. C above 1900)</t>
  </si>
  <si>
    <t>Cumulative Emissions to date</t>
  </si>
  <si>
    <t>Ratio to Max</t>
  </si>
  <si>
    <t>CARBON LIMITS</t>
  </si>
  <si>
    <t>Output after damages before abatement</t>
  </si>
  <si>
    <t>CONCENTRATIONS</t>
  </si>
  <si>
    <t>Net output (net of damages and abatement, $trill p.a.)</t>
  </si>
  <si>
    <t>CAPITAL ACCUMULATION</t>
  </si>
  <si>
    <t>Initial K</t>
  </si>
  <si>
    <t>Atmospheric temperature (degrees Celsius above preindustrial)</t>
  </si>
  <si>
    <t>PRODUCTIVITY</t>
  </si>
  <si>
    <t>Coefficient of heat gain by deep oceans</t>
  </si>
  <si>
    <t>POPULATION</t>
  </si>
  <si>
    <t>Population (millions)</t>
  </si>
  <si>
    <t>FCO22x</t>
  </si>
  <si>
    <t>Exponent on damages</t>
  </si>
  <si>
    <t>2000 forcings other ghg</t>
  </si>
  <si>
    <t>Initial output (2005 US International $, trillions)</t>
  </si>
  <si>
    <t>Japan</t>
  </si>
  <si>
    <t>Russia</t>
  </si>
  <si>
    <t>China</t>
  </si>
  <si>
    <t>India</t>
  </si>
  <si>
    <t>Control variables: Optimized for 2015 and beyond.</t>
  </si>
  <si>
    <t>Maximum carbon resources (GtC)</t>
  </si>
  <si>
    <t>Maximum ratio</t>
  </si>
  <si>
    <t>Rate of social time preference (% py)</t>
  </si>
  <si>
    <t>Calculated A</t>
  </si>
  <si>
    <t>First period gross MPK</t>
  </si>
  <si>
    <t>All period gross MPK</t>
  </si>
  <si>
    <t>Elasticity of MU of consumption (set)</t>
  </si>
  <si>
    <t>OUTPUT AND CAPITAL ACCUMULATION</t>
  </si>
  <si>
    <t>Abatement cost function coefficient</t>
  </si>
  <si>
    <t>Exponent of control cost function</t>
  </si>
  <si>
    <t>EMISSIONS</t>
  </si>
  <si>
    <t>Speed of adjustment parameter for atmospheric temperature</t>
  </si>
  <si>
    <t>Initial emissions controls</t>
  </si>
  <si>
    <t>2100 forcings other ghg</t>
  </si>
  <si>
    <t>Exogenous forcing (Watts per square meter)</t>
  </si>
  <si>
    <t xml:space="preserve">   Upper limit of control rate</t>
  </si>
  <si>
    <t>Lower ocean temperature (degrees Celsius above preindustrial)</t>
  </si>
  <si>
    <t>Consumption ($trill per year)</t>
  </si>
  <si>
    <t>Initial atmospheric concentration of CO2 (GTC)</t>
  </si>
  <si>
    <t>US</t>
  </si>
  <si>
    <t>Rate of depreciation (percent per year)</t>
  </si>
  <si>
    <t>ABATEMENT COST</t>
  </si>
  <si>
    <t>DAMAGE FUNCTION</t>
  </si>
  <si>
    <t>Capital share</t>
  </si>
  <si>
    <t>WELFARE</t>
  </si>
  <si>
    <t>Social time preference factor</t>
  </si>
  <si>
    <t>Multiplicative scaling coefficient in utility function</t>
  </si>
  <si>
    <t>Additive scaling coefficient in utility function</t>
  </si>
  <si>
    <t xml:space="preserve">OUTPUT  </t>
  </si>
  <si>
    <t>Output gross of abatement cost and climate damage ($trill)</t>
  </si>
  <si>
    <t>Elasticity of MU of consumption</t>
  </si>
  <si>
    <t>Calibration</t>
  </si>
  <si>
    <t>Atmospheric concentration of carbon (ppm)</t>
  </si>
  <si>
    <t>Present value consumption (trillions)</t>
  </si>
  <si>
    <t xml:space="preserve">  through 2300</t>
  </si>
  <si>
    <t xml:space="preserve">  through end</t>
  </si>
  <si>
    <t xml:space="preserve">  through 2200</t>
  </si>
  <si>
    <t>Consumption per capita ($thous per year)</t>
  </si>
  <si>
    <t xml:space="preserve">      atmosphere to atmosphere (b11)</t>
  </si>
  <si>
    <t xml:space="preserve">      biosphere/shallow oceans to atmosphere (b21)</t>
  </si>
  <si>
    <t xml:space="preserve">      atmosphere to biosphere/shallow oceans (b12)</t>
  </si>
  <si>
    <t xml:space="preserve">    Abatement cost (fraction of output)</t>
  </si>
  <si>
    <t xml:space="preserve">    Abatement cost ($ trillion)</t>
  </si>
  <si>
    <t>Initial A</t>
  </si>
  <si>
    <t>Equilibrium temperature increase for CO2 doubling</t>
  </si>
  <si>
    <t>Coefficient of heat loss from atmosphere to oceans</t>
  </si>
  <si>
    <t>TEMPERATURE</t>
  </si>
  <si>
    <t>Threshold for catastrophic damages</t>
  </si>
  <si>
    <t>Exponent for catastrophic damages</t>
  </si>
  <si>
    <t>Damage rate at threshold for catastrophic damages</t>
  </si>
  <si>
    <t xml:space="preserve">   Ratio asymptotic to initial price</t>
  </si>
  <si>
    <t xml:space="preserve">Upper limit of control rate </t>
  </si>
  <si>
    <t xml:space="preserve">      Initial sigma (tC per $1000 GDP US $, 2005 prices) 2005</t>
  </si>
  <si>
    <t>Damage coefficient on temperature</t>
  </si>
  <si>
    <t>Damage coefficient on temperature squared</t>
  </si>
  <si>
    <t xml:space="preserve">      biosphere/shallow oceans to biosphere/shallow oceans (b22)</t>
  </si>
  <si>
    <t xml:space="preserve">      deep oceans to biosphere/shallow oceans (b32)</t>
  </si>
  <si>
    <t xml:space="preserve">      biosphere/shallow oceans to deep oceans (b23)</t>
  </si>
  <si>
    <t xml:space="preserve">      deep oceans to deep oceans (b33)</t>
  </si>
  <si>
    <t>Total increase in radiative forcing since preindustrial (Watts per square meter)</t>
  </si>
  <si>
    <t>Total factor productivity</t>
  </si>
  <si>
    <t xml:space="preserve">     Initial level of total factor productivity</t>
  </si>
  <si>
    <t>Savings Rate (fraction of gross output)</t>
  </si>
  <si>
    <t>assumed</t>
  </si>
  <si>
    <t>data</t>
  </si>
  <si>
    <t>calibrated</t>
  </si>
  <si>
    <t>calculated</t>
  </si>
  <si>
    <t>GISS</t>
  </si>
  <si>
    <t>DISCOUNT RATES</t>
  </si>
  <si>
    <t>Utility discount rate (per year)</t>
  </si>
  <si>
    <t>SCALING</t>
  </si>
  <si>
    <t>Other</t>
  </si>
  <si>
    <t>World emissions intensity (sigma)</t>
  </si>
  <si>
    <t>Exponent on Hotelling</t>
  </si>
  <si>
    <t>Assumed</t>
  </si>
  <si>
    <t>OUTPUT and PRODUCTION</t>
  </si>
  <si>
    <t>KEY PARAMETERS</t>
  </si>
  <si>
    <t>Trend sigma growth (per year)</t>
  </si>
  <si>
    <t>Calibrated</t>
  </si>
  <si>
    <t>If damage function is on (1=yes, 0=no)</t>
  </si>
  <si>
    <t>Net capital accumulation ($trill per year)</t>
  </si>
  <si>
    <t>Coefficient of Hotelling rent on ratio</t>
  </si>
  <si>
    <t>HOTELLING PARAMETERS</t>
  </si>
  <si>
    <t>Notes</t>
  </si>
  <si>
    <t>This parameter is part of the calibration for the real interest rate. It should be adjusted along with the EMUC</t>
  </si>
  <si>
    <t>Damage coefficients are calibrated to impact analysis and should be adjusted together</t>
  </si>
  <si>
    <r>
      <t xml:space="preserve">See </t>
    </r>
    <r>
      <rPr>
        <i/>
        <sz val="11"/>
        <rFont val="Book Antiqua"/>
        <family val="1"/>
      </rPr>
      <t xml:space="preserve">A Question of Balance </t>
    </r>
    <r>
      <rPr>
        <sz val="11"/>
        <rFont val="Book Antiqua"/>
        <family val="1"/>
      </rPr>
      <t>for discussion. This parameter also affects the abatement costs.</t>
    </r>
  </si>
  <si>
    <t xml:space="preserve">Backstop inflection year </t>
  </si>
  <si>
    <t>Backstop price and abatement costs fall rapidly after this year.</t>
  </si>
  <si>
    <r>
      <t xml:space="preserve">See </t>
    </r>
    <r>
      <rPr>
        <i/>
        <sz val="11"/>
        <rFont val="Book Antiqua"/>
        <family val="1"/>
      </rPr>
      <t xml:space="preserve">A Question of Balance </t>
    </r>
    <r>
      <rPr>
        <sz val="11"/>
        <rFont val="Book Antiqua"/>
        <family val="1"/>
      </rPr>
      <t>for discussion.</t>
    </r>
  </si>
  <si>
    <t>This parameter is one of two essential assumptions for decarbonization -- relevant to very long run growth.</t>
  </si>
  <si>
    <t>Base</t>
  </si>
  <si>
    <t>Equil. conc. of CO2 in atmos. (GTC)</t>
  </si>
  <si>
    <t>Equil. conc. of CO2 in biosphere/shallow oceans (GTC)</t>
  </si>
  <si>
    <t>Equil. conc. of CO2 in deep oceans (GTC)</t>
  </si>
  <si>
    <t>Carbon cycle adjustment coefficient</t>
  </si>
  <si>
    <t>Parameter value</t>
  </si>
  <si>
    <t xml:space="preserve">     Total damage (fraction of gross output)</t>
  </si>
  <si>
    <t xml:space="preserve">     Climate damages (trillion $)</t>
  </si>
  <si>
    <t>Updated from IPCC FAR, p. 140.</t>
  </si>
  <si>
    <t>Updated from IPCC FAR, median of models, Table 8.2.</t>
  </si>
  <si>
    <t>Adjusted to fit transient and equilibrium with new temperature sensitivty coefficient of 3.2</t>
  </si>
  <si>
    <t xml:space="preserve">EU </t>
  </si>
  <si>
    <t>c1</t>
  </si>
  <si>
    <t>Gross investment ($trill per year, 2005$)</t>
  </si>
  <si>
    <t>Capital ($trill, 2005$)</t>
  </si>
  <si>
    <t>Time step</t>
  </si>
  <si>
    <t>Time preference plus risk (per year)</t>
  </si>
  <si>
    <t>LargeAdv (CAK)</t>
  </si>
  <si>
    <t>LargeMid (9)</t>
  </si>
  <si>
    <t>LargeDev(10)</t>
  </si>
  <si>
    <t>OilExport</t>
  </si>
  <si>
    <t>Atmospheric concentration of carbon (GTC)</t>
  </si>
  <si>
    <t>5 year</t>
  </si>
  <si>
    <t>Damage function multiplier</t>
  </si>
  <si>
    <t xml:space="preserve">   Time premium</t>
  </si>
  <si>
    <t>Depreciation</t>
  </si>
  <si>
    <t xml:space="preserve">     Rate of growth of productivity (per 5 year, log)</t>
  </si>
  <si>
    <t>PV-W(0)</t>
  </si>
  <si>
    <t>Initial concentration of CO2 in biosphere/shallow oceans (GTC, end 2007)</t>
  </si>
  <si>
    <t>Initial concentration of CO2 in deep oceans (GTC, end 2007)</t>
  </si>
  <si>
    <t>Initial atmospheric concentration of CO2 (GTC, end 2007)</t>
  </si>
  <si>
    <t>Initial atmospheric concentration of CO2 (GTC, end 2012)</t>
  </si>
  <si>
    <t>ppm</t>
  </si>
  <si>
    <t>GtC</t>
  </si>
  <si>
    <t>CARBON CYCLE (beginning of period)</t>
  </si>
  <si>
    <t>Initial atmospheric temperature, 2010 (deg. C above 1900)</t>
  </si>
  <si>
    <t>Backstop price (1000$ per ton CO2)</t>
  </si>
  <si>
    <t>From Tol study using quadratic only</t>
  </si>
  <si>
    <t>From informal survey</t>
  </si>
  <si>
    <t>If catastrophic damages (=1 if on)</t>
  </si>
  <si>
    <t>Decline rate of backstop price (per 5 years)</t>
  </si>
  <si>
    <t xml:space="preserve">     Rate of pop growth (per half-decade)</t>
  </si>
  <si>
    <t>Backstop competitive year (pback declines rapidly for periods beyond)</t>
  </si>
  <si>
    <t>Initial capital-output ratio</t>
  </si>
  <si>
    <t>New FAO report</t>
  </si>
  <si>
    <t>Carbon emissions from land use change (GTCO2 per year)</t>
  </si>
  <si>
    <t>Initial carbon emissions from land use change (GTCO2 per year)</t>
  </si>
  <si>
    <t>World risk as fraction of US risk (pure number)</t>
  </si>
  <si>
    <t>World capital risk premium (percent per year)</t>
  </si>
  <si>
    <t>Fraction diversifiable risk</t>
  </si>
  <si>
    <t xml:space="preserve">  Non-diversifiable global risk (percent per year)</t>
  </si>
  <si>
    <t>Fraction global or non-diversifiable risk (pure number)</t>
  </si>
  <si>
    <t>Mature economy capital risk premium (percent per year)</t>
  </si>
  <si>
    <t>Represents missing sectors. Also corresponds to RICE-2010 version Tol at 3 degC.</t>
  </si>
  <si>
    <t>Technological change in backstop. Relatively slow here.</t>
  </si>
  <si>
    <t>PARTICIPATION RATE</t>
  </si>
  <si>
    <t>Year</t>
  </si>
  <si>
    <t>Participation group</t>
  </si>
  <si>
    <t>1 = Copenhagen; 2 = Copenhagen rich; 3 = Realistically optimistic; 4 = All</t>
  </si>
  <si>
    <t>All immediate</t>
  </si>
  <si>
    <t>Diversifiable risk ( per year)</t>
  </si>
  <si>
    <t>Expert survey (n=1)</t>
  </si>
  <si>
    <t>Industrial CO2 emissions for 2010 (MtC)</t>
  </si>
  <si>
    <t xml:space="preserve">  MtCO2</t>
  </si>
  <si>
    <t>Carbon cycle transition coefficients</t>
  </si>
  <si>
    <t>per five years</t>
  </si>
  <si>
    <t>estimated</t>
  </si>
  <si>
    <t>2000 forcings, non-CO2 GHG and influences</t>
  </si>
  <si>
    <t>2100 forcings, non-CO2 GHG and influences</t>
  </si>
  <si>
    <t>Initial temperature (2008-2011)</t>
  </si>
  <si>
    <t>Data 2008-2011</t>
  </si>
  <si>
    <t>IPCC FAR</t>
  </si>
  <si>
    <t>Adjustment exponent in damage function</t>
  </si>
  <si>
    <t>[Technical correction so that damages approach 100% in formula. It reads Damage fraction = x/(1+x^10). Earlier versions would have too low damages at catastrophic threshold.</t>
  </si>
  <si>
    <t>Function</t>
  </si>
  <si>
    <t>Capital discussion</t>
  </si>
  <si>
    <t>Climate model parameters</t>
  </si>
  <si>
    <t>Population (time scale below)</t>
  </si>
  <si>
    <t>Global</t>
  </si>
  <si>
    <t>Carbon tax (of participants per ton CO2)</t>
  </si>
  <si>
    <t>Limit 2 deg C carbon price</t>
  </si>
  <si>
    <t>Optimal</t>
  </si>
  <si>
    <t>World economic parameters</t>
  </si>
  <si>
    <t>Economic Endogenous Variables</t>
  </si>
  <si>
    <t>Global parameters</t>
  </si>
  <si>
    <t>Global Environmental Variables</t>
  </si>
  <si>
    <t>CLIMATE MODULE</t>
  </si>
  <si>
    <t>If Hotelling rents are calculated (1=yes, 0=no)</t>
  </si>
  <si>
    <t xml:space="preserve">   Price of backstop technology (1000$ per tC)</t>
  </si>
  <si>
    <t xml:space="preserve">   Ratio of asymptotic to initial backstop price</t>
  </si>
  <si>
    <t xml:space="preserve">   Decline rate of backstop price (per half-decade)</t>
  </si>
  <si>
    <t>Sigma (industrial, MTCO2/$1000 2000 US$)</t>
  </si>
  <si>
    <t xml:space="preserve">      Sigma, 2010</t>
  </si>
  <si>
    <t xml:space="preserve">     Growth rate of sigma (per year, log)</t>
  </si>
  <si>
    <t xml:space="preserve">      CO2 emissions, land use (GTCO2 per year, 2010)</t>
  </si>
  <si>
    <t>CO2 in biosphere/shallow oceans (GTC), 2008</t>
  </si>
  <si>
    <t>Initial concentration of CO2 in deep oceans (GTC), 2008</t>
  </si>
  <si>
    <t>CARBON CYCLE INITIAL CONDITIONS</t>
  </si>
  <si>
    <t>CARBON CYCLE PARAMETERS (per 5 year period)</t>
  </si>
  <si>
    <t xml:space="preserve">      Atmosphere to atmosphere (b11)</t>
  </si>
  <si>
    <t xml:space="preserve">       Biosphere/shallow oceans to atmosphere (b21)</t>
  </si>
  <si>
    <t xml:space="preserve">      Atmosphere to biosphere/shallow oceans (b12)</t>
  </si>
  <si>
    <t xml:space="preserve">      Deep oceans to biosphere/shallow oceans (b32)</t>
  </si>
  <si>
    <t xml:space="preserve">      Biosphere/shallow oceans to deep oceans (b23)</t>
  </si>
  <si>
    <t xml:space="preserve">      Deep oceans to deep oceans (b33)</t>
  </si>
  <si>
    <t xml:space="preserve">      Biosphere/shallow oceans to B/SO (b22)</t>
  </si>
  <si>
    <t>TEMPERATURE DATA</t>
  </si>
  <si>
    <t>Forcings at CO2 doubling (W/m2)</t>
  </si>
  <si>
    <t>CLIMATE MODEL PARAMETERS</t>
  </si>
  <si>
    <t>CLIMATE MODULE TRANSITION PARAMETERS (per 5 years)</t>
  </si>
  <si>
    <t>Net National Income (Consumption basis)</t>
  </si>
  <si>
    <t>Utility of p. c. consumption</t>
  </si>
  <si>
    <t>Total period utility</t>
  </si>
  <si>
    <t xml:space="preserve">Discounted utility (in trillions 2000$) </t>
  </si>
  <si>
    <t>Capital output ratio</t>
  </si>
  <si>
    <t>CUMULATIVE EMISSIONS/HOTELLING RENTS</t>
  </si>
  <si>
    <t>Total carbon emissions (GTCO2 per year)</t>
  </si>
  <si>
    <t>Industrial emissions (GTCO2 per year)</t>
  </si>
  <si>
    <t>Components of discount rate</t>
  </si>
  <si>
    <t xml:space="preserve">   Population growth</t>
  </si>
  <si>
    <t xml:space="preserve">   Time and risk preference</t>
  </si>
  <si>
    <t xml:space="preserve">   Ratio MU</t>
  </si>
  <si>
    <t>Product</t>
  </si>
  <si>
    <t>Risk-free rate of return</t>
  </si>
  <si>
    <t>Real rate of return on capital (with full risks)</t>
  </si>
  <si>
    <t xml:space="preserve">  through 2100</t>
  </si>
  <si>
    <t>Consumption discount factor</t>
  </si>
  <si>
    <t>Base discounting</t>
  </si>
  <si>
    <t>Value</t>
  </si>
  <si>
    <t>Diff</t>
  </si>
  <si>
    <t>PDV utility</t>
  </si>
  <si>
    <t>Diff using base discounting</t>
  </si>
  <si>
    <t>x1</t>
  </si>
  <si>
    <t>x1000000</t>
  </si>
  <si>
    <t>Hotelling on (1) or off(0)</t>
  </si>
  <si>
    <t>Hotelling rent on carbon fuels (2005$/t CO2)</t>
  </si>
  <si>
    <t>Current settings</t>
  </si>
  <si>
    <t>1. The current settings are optimized for each of the scenarios.</t>
  </si>
  <si>
    <t>2. You can generally make small changes without doing any renormalization or other settings.</t>
  </si>
  <si>
    <t>3. You will only need to reoptimize and look at the results.</t>
  </si>
  <si>
    <t>4. If you use Risk Solver Platform, you may need to check the settings. Make sure that it uses "Excel Interpreter" in third line of "Platform" in Risk Solver Platform</t>
  </si>
  <si>
    <t>Hotelling rents</t>
  </si>
  <si>
    <t>Net savings rate (delta K/delta K + C)</t>
  </si>
  <si>
    <t>CDIAC preliminary data/Edgar/updated 010813</t>
  </si>
  <si>
    <t>data*</t>
  </si>
  <si>
    <t>*IMF from Fall 2012.</t>
  </si>
  <si>
    <t>Decline rate of sigma (per year)</t>
  </si>
  <si>
    <t>See lab notes. This is MAGICC plus an adjustment for aerosols, split base and opt.</t>
  </si>
  <si>
    <t>Price backstop technology (2005 US 000 $ per tCO2)</t>
  </si>
  <si>
    <t>Decline fraction backstop cost after inflection year (per 5 years)</t>
  </si>
  <si>
    <t>Cumulative carbon fuels emissions, 2008 (GtC)</t>
  </si>
  <si>
    <t>MaxT=</t>
  </si>
  <si>
    <t xml:space="preserve">  At end 2007</t>
  </si>
  <si>
    <t xml:space="preserve">  At end 2012</t>
  </si>
  <si>
    <t>New parameter sheet of January 24, 2013</t>
  </si>
  <si>
    <t>William Nordhaus (william.nordhaus@yale.edu).</t>
  </si>
  <si>
    <t>Asymptotic population</t>
  </si>
  <si>
    <t>Population adjustment</t>
  </si>
  <si>
    <t xml:space="preserve">A0       Initial level of total factor productivity     </t>
  </si>
  <si>
    <t>ga(T)=ga0*EXP(-dela*T_STEP*(ORD(T)-1)*exp(-ddela*T_STEP*(ORD(T)-1)));</t>
  </si>
  <si>
    <t>al("1") = a0;</t>
  </si>
  <si>
    <t>LOOP(T, al(T+1)=al(T)/((1-ga(T))););</t>
  </si>
  <si>
    <t>ga</t>
  </si>
  <si>
    <t>Al</t>
  </si>
  <si>
    <t>AL excel</t>
  </si>
  <si>
    <t>Ratio (new gams to excel)</t>
  </si>
  <si>
    <t>SIGMA</t>
  </si>
  <si>
    <t>Sigma new</t>
  </si>
  <si>
    <t>g sigma (per year)</t>
  </si>
  <si>
    <t>simga old</t>
  </si>
  <si>
    <t>g sig</t>
  </si>
  <si>
    <t>new</t>
  </si>
  <si>
    <t>old</t>
  </si>
  <si>
    <t>lim</t>
  </si>
  <si>
    <t>base</t>
  </si>
  <si>
    <t xml:space="preserve"> GA0      Initial growth rate for technology per half-decade</t>
  </si>
  <si>
    <t xml:space="preserve"> DELA     Decline rate of technol change per half-decade    </t>
  </si>
  <si>
    <t xml:space="preserve"> DDELA     Decline rate of technol change per half-decade  </t>
  </si>
  <si>
    <t>Rate of growth of Hotelling rent</t>
  </si>
  <si>
    <t>Copenhagen: All</t>
  </si>
  <si>
    <t>Copenhagen: Rich only</t>
  </si>
  <si>
    <t>Realistically optimistic</t>
  </si>
  <si>
    <t>Carbon price (per t CO2)</t>
  </si>
  <si>
    <t>Carbon price (per ton CO2 plus Hotelling rent)</t>
  </si>
  <si>
    <t>Emissions control rate (total)</t>
  </si>
  <si>
    <t>Emissions control rate (participants)</t>
  </si>
  <si>
    <t xml:space="preserve">    Carbon price [per t C]</t>
  </si>
  <si>
    <t>Global average carbon price (per t CO2)</t>
  </si>
  <si>
    <t>Carbon price (zero Hotelling rents)</t>
  </si>
  <si>
    <t xml:space="preserve">    Copenhagen estimate (optimistic)</t>
  </si>
  <si>
    <t>Copenhagen estimates</t>
  </si>
  <si>
    <t xml:space="preserve">   Participation rate</t>
  </si>
  <si>
    <t xml:space="preserve">    Global emissions control rate</t>
  </si>
  <si>
    <t>From worksheet</t>
  </si>
  <si>
    <t>Copy paste for this program</t>
  </si>
  <si>
    <t>Emissions control rate, calculated (total)</t>
  </si>
  <si>
    <r>
      <t>Depreciation</t>
    </r>
    <r>
      <rPr>
        <sz val="11"/>
        <color theme="2" tint="-9.9978637043366805E-2"/>
        <rFont val="Book Antiqua"/>
        <family val="1"/>
      </rPr>
      <t xml:space="preserve"> (with no risk)</t>
    </r>
  </si>
  <si>
    <t>Consumption discount rate (end of period, % per year)</t>
  </si>
  <si>
    <t>Solution notes for DICE 2013, April 22, 2013</t>
  </si>
  <si>
    <t>1. Hotelling rents are only included in the "Base" case. In other cases, resource limits are not reached, so Hotelling rents are turned off.</t>
  </si>
  <si>
    <t>Reference should be to:</t>
  </si>
  <si>
    <t>DICE-2013 model, beta version of April 22, 2013, developed by William Nordhaus, Yale University.</t>
  </si>
  <si>
    <t>This is a version in development. It is subject to modification before publication and may contain errors. Please send comments or suggestions to</t>
  </si>
  <si>
    <t xml:space="preserve">  Hotelling rent, 2010</t>
  </si>
  <si>
    <t>Scenarios</t>
  </si>
  <si>
    <t xml:space="preserve">1. Base: This is a no controls or "reference" run. The carbon price is set equal to the Hotelling rents for the first 45 period, and </t>
  </si>
  <si>
    <t>the carbon policy has zero carbon price. Then the carbon price is optimized.</t>
  </si>
  <si>
    <t>2. Opt: Carbon price is optimized from the second  period.</t>
  </si>
  <si>
    <t>3. Limt2: Same as 2 + limit temperature change to 2 degrees C from 1900.</t>
  </si>
  <si>
    <t>4. Stern. Same as 2 with Stern discounting.</t>
  </si>
  <si>
    <t>5. Sterncalib. Same as 2 with Stern social rate of time preference but elasticity calibrated to get same interest rate as optimal.</t>
  </si>
  <si>
    <t>6. Copen: The emissions control rate and the participation rate are set to match the Copenhagen pledges with optimistic phase in.</t>
  </si>
  <si>
    <t>Note that the solutions in the Excel are sensitive and need careful nudging to find the optimal solution. They are</t>
  </si>
  <si>
    <t xml:space="preserve">particularly apt to crash or find the wrong solution in the Limt2 case and the Sterncalib case. I have found that </t>
  </si>
  <si>
    <t xml:space="preserve">moving slowly, one variable at a time, is the best way to get a solution. </t>
  </si>
  <si>
    <t>Comparison with GAMS solution</t>
  </si>
  <si>
    <t>We have done extensive comparisons with a GAMS version of the same model. The answers are as of now the</t>
  </si>
  <si>
    <t>same (up to 4 digits of accuracy) for all solutions except the Copenhagen. There are small differences due to the</t>
  </si>
  <si>
    <t xml:space="preserve">treatment of the Hotelling rents in the base case as well. </t>
  </si>
  <si>
    <t>Version notes</t>
  </si>
  <si>
    <t xml:space="preserve">DERIVATION OF DISCOUNT RATES  </t>
  </si>
  <si>
    <t>Base discount rate and base values</t>
  </si>
  <si>
    <t>Difference using base discount rate</t>
  </si>
  <si>
    <t>Using discount rate</t>
  </si>
  <si>
    <t>Using base discount rate</t>
  </si>
  <si>
    <t xml:space="preserve">This is an updated version of the DICE model contained in William Nordhaus, "Integrated Economic and Climate Modeling," </t>
  </si>
  <si>
    <t xml:space="preserve">Handbook of Computable General Equilibrium Modeling, Peter Dixon and Dale Jorgenson, eds., Elsevier, 2012. </t>
  </si>
  <si>
    <t xml:space="preserve">That paper contains a full description and documentation. It is available at </t>
  </si>
  <si>
    <t>http://www.econ.yale.edu/~nordhaus/homepage/documents/Nordhaus_IntegratedAssessmentModels_Handbook_2013.pdf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</si>
</sst>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4">
    <numFmt numFmtId="43" formatCode="_(* #,##0.00_);_(* \(#,##0.00\);_(* &quot;-&quot;??_);_(@_)"/>
    <numFmt numFmtId="164" formatCode="0.00000"/>
    <numFmt numFmtId="165" formatCode="_(* #,##0.0000_);_(* \(#,##0.0000\);_(* &quot;-&quot;??_);_(@_)"/>
    <numFmt numFmtId="166" formatCode="_(* #,##0.0_);_(* \(#,##0.0\);_(* &quot;-&quot;??_);_(@_)"/>
    <numFmt numFmtId="167" formatCode="_(* #,##0.000_);_(* \(#,##0.000\);_(* &quot;-&quot;??_);_(@_)"/>
    <numFmt numFmtId="168" formatCode="_(* #,##0_);_(* \(#,##0\);_(* &quot;-&quot;??_);_(@_)"/>
    <numFmt numFmtId="169" formatCode="_(* #,##0.00000_);_(* \(#,##0.00000\);_(* &quot;-&quot;??_);_(@_)"/>
    <numFmt numFmtId="170" formatCode="_(* #,##0.000000_);_(* \(#,##0.000000\);_(* &quot;-&quot;??_);_(@_)"/>
    <numFmt numFmtId="171" formatCode="#,##0.000000"/>
    <numFmt numFmtId="172" formatCode="#,##0.0000_);\(#,##0.0000\)"/>
    <numFmt numFmtId="173" formatCode="#,##0.000_);\(#,##0.000\)"/>
    <numFmt numFmtId="174" formatCode="#,##0.00000_);\(#,##0.00000\)"/>
    <numFmt numFmtId="175" formatCode="0.000"/>
    <numFmt numFmtId="176" formatCode="#,##0.0000000_);\(#,##0.0000000\)"/>
  </numFmts>
  <fonts count="29" x14ac:knownFonts="1">
    <font>
      <sz val="10"/>
      <name val="Arial"/>
    </font>
    <font>
      <sz val="10"/>
      <name val="Arial"/>
      <family val="2"/>
    </font>
    <font>
      <sz val="10"/>
      <name val="Arial"/>
      <family val="2"/>
    </font>
    <font>
      <sz val="11"/>
      <name val="Book Antiqua"/>
      <family val="1"/>
    </font>
    <font>
      <sz val="10"/>
      <name val="Arial"/>
      <family val="2"/>
    </font>
    <font>
      <sz val="10"/>
      <name val="Book Antiqua"/>
      <family val="1"/>
    </font>
    <font>
      <sz val="8"/>
      <name val="Verdana"/>
      <family val="2"/>
    </font>
    <font>
      <b/>
      <sz val="10"/>
      <name val="Book Antiqua"/>
      <family val="1"/>
    </font>
    <font>
      <sz val="10"/>
      <color indexed="21"/>
      <name val="Book Antiqua"/>
      <family val="1"/>
    </font>
    <font>
      <i/>
      <sz val="11"/>
      <name val="Book Antiqua"/>
      <family val="1"/>
    </font>
    <font>
      <i/>
      <sz val="10"/>
      <name val="Book Antiqua"/>
      <family val="1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sz val="11"/>
      <color theme="0" tint="-0.249977111117893"/>
      <name val="Book Antiqua"/>
      <family val="1"/>
    </font>
    <font>
      <b/>
      <sz val="18"/>
      <color theme="3"/>
      <name val="Cambria"/>
      <family val="2"/>
      <scheme val="major"/>
    </font>
    <font>
      <sz val="11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name val="Book Antiqua"/>
      <family val="1"/>
    </font>
    <font>
      <b/>
      <sz val="10"/>
      <color theme="3"/>
      <name val="Cambria"/>
      <family val="2"/>
      <scheme val="major"/>
    </font>
    <font>
      <b/>
      <sz val="10"/>
      <color theme="3"/>
      <name val="Calibri"/>
      <family val="2"/>
      <scheme val="minor"/>
    </font>
    <font>
      <sz val="10"/>
      <color theme="3"/>
      <name val="Calibri"/>
      <family val="2"/>
      <scheme val="minor"/>
    </font>
    <font>
      <sz val="11"/>
      <color theme="2" tint="-9.9978637043366805E-2"/>
      <name val="Book Antiqua"/>
      <family val="1"/>
    </font>
    <font>
      <sz val="11"/>
      <color theme="2"/>
      <name val="Book Antiqua"/>
      <family val="1"/>
    </font>
    <font>
      <b/>
      <sz val="11"/>
      <name val="Cambria"/>
      <family val="1"/>
      <scheme val="major"/>
    </font>
    <font>
      <b/>
      <sz val="15"/>
      <color theme="3"/>
      <name val="Cambria"/>
      <family val="1"/>
      <scheme val="major"/>
    </font>
    <font>
      <sz val="10"/>
      <name val="Cambria"/>
      <family val="1"/>
      <scheme val="major"/>
    </font>
    <font>
      <b/>
      <sz val="13"/>
      <color theme="3"/>
      <name val="Cambria"/>
      <family val="1"/>
      <scheme val="major"/>
    </font>
    <font>
      <b/>
      <sz val="15"/>
      <color theme="3"/>
      <name val="Book Antiqua"/>
      <family val="1"/>
    </font>
    <font>
      <b/>
      <sz val="13"/>
      <color theme="3"/>
      <name val="Book Antiqua"/>
      <family val="1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/>
        <bgColor indexed="9"/>
      </patternFill>
    </fill>
    <fill>
      <patternFill patternType="solid">
        <fgColor rgb="FFFFCCFF"/>
        <bgColor indexed="64"/>
      </patternFill>
    </fill>
    <fill>
      <patternFill patternType="solid">
        <fgColor theme="3" tint="0.79998168889431442"/>
        <bgColor indexed="9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5">
    <xf numFmtId="0" fontId="0" fillId="0" borderId="0"/>
    <xf numFmtId="43" fontId="2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9" fontId="4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1" fillId="0" borderId="3" applyNumberFormat="0" applyFill="0" applyAlignment="0" applyProtection="0"/>
    <xf numFmtId="0" fontId="12" fillId="0" borderId="4" applyNumberFormat="0" applyFill="0" applyAlignment="0" applyProtection="0"/>
  </cellStyleXfs>
  <cellXfs count="174">
    <xf numFmtId="0" fontId="0" fillId="0" borderId="0" xfId="0"/>
    <xf numFmtId="0" fontId="1" fillId="0" borderId="0" xfId="0" applyFont="1"/>
    <xf numFmtId="167" fontId="3" fillId="2" borderId="2" xfId="1" applyNumberFormat="1" applyFont="1" applyFill="1" applyBorder="1"/>
    <xf numFmtId="165" fontId="3" fillId="2" borderId="2" xfId="1" applyNumberFormat="1" applyFont="1" applyFill="1" applyBorder="1"/>
    <xf numFmtId="168" fontId="3" fillId="2" borderId="2" xfId="1" applyNumberFormat="1" applyFont="1" applyFill="1" applyBorder="1" applyAlignment="1">
      <alignment horizontal="right"/>
    </xf>
    <xf numFmtId="168" fontId="3" fillId="2" borderId="2" xfId="1" applyNumberFormat="1" applyFont="1" applyFill="1" applyBorder="1"/>
    <xf numFmtId="166" fontId="3" fillId="2" borderId="2" xfId="1" applyNumberFormat="1" applyFont="1" applyFill="1" applyBorder="1"/>
    <xf numFmtId="168" fontId="3" fillId="2" borderId="0" xfId="7" applyNumberFormat="1" applyFont="1" applyFill="1" applyAlignment="1">
      <alignment horizontal="center" vertical="center"/>
    </xf>
    <xf numFmtId="167" fontId="3" fillId="2" borderId="2" xfId="1" applyNumberFormat="1" applyFont="1" applyFill="1" applyBorder="1" applyAlignment="1">
      <alignment horizontal="right"/>
    </xf>
    <xf numFmtId="169" fontId="3" fillId="2" borderId="2" xfId="1" applyNumberFormat="1" applyFont="1" applyFill="1" applyBorder="1"/>
    <xf numFmtId="167" fontId="5" fillId="2" borderId="2" xfId="1" applyNumberFormat="1" applyFont="1" applyFill="1" applyBorder="1"/>
    <xf numFmtId="43" fontId="3" fillId="6" borderId="2" xfId="1" applyFont="1" applyFill="1" applyBorder="1" applyAlignment="1">
      <alignment horizontal="right"/>
    </xf>
    <xf numFmtId="167" fontId="3" fillId="6" borderId="2" xfId="1" applyNumberFormat="1" applyFont="1" applyFill="1" applyBorder="1"/>
    <xf numFmtId="167" fontId="3" fillId="2" borderId="2" xfId="1" applyNumberFormat="1" applyFont="1" applyFill="1" applyBorder="1" applyAlignment="1">
      <alignment horizontal="left" vertical="center" wrapText="1"/>
    </xf>
    <xf numFmtId="43" fontId="3" fillId="2" borderId="2" xfId="1" applyFont="1" applyFill="1" applyBorder="1" applyAlignment="1">
      <alignment horizontal="left" vertical="center" wrapText="1"/>
    </xf>
    <xf numFmtId="165" fontId="3" fillId="2" borderId="2" xfId="1" applyNumberFormat="1" applyFont="1" applyFill="1" applyBorder="1" applyAlignment="1">
      <alignment horizontal="left" vertical="center" wrapText="1"/>
    </xf>
    <xf numFmtId="165" fontId="3" fillId="6" borderId="2" xfId="1" applyNumberFormat="1" applyFont="1" applyFill="1" applyBorder="1"/>
    <xf numFmtId="165" fontId="3" fillId="6" borderId="2" xfId="1" applyNumberFormat="1" applyFont="1" applyFill="1" applyBorder="1" applyAlignment="1">
      <alignment horizontal="right"/>
    </xf>
    <xf numFmtId="164" fontId="3" fillId="2" borderId="2" xfId="2" applyNumberFormat="1" applyFont="1" applyFill="1" applyBorder="1"/>
    <xf numFmtId="164" fontId="3" fillId="2" borderId="2" xfId="2" applyNumberFormat="1" applyFont="1" applyFill="1" applyBorder="1" applyAlignment="1">
      <alignment horizontal="left" vertical="center" wrapText="1"/>
    </xf>
    <xf numFmtId="165" fontId="3" fillId="4" borderId="2" xfId="1" applyNumberFormat="1" applyFont="1" applyFill="1" applyBorder="1" applyAlignment="1">
      <alignment horizontal="left" vertical="center" wrapText="1"/>
    </xf>
    <xf numFmtId="165" fontId="3" fillId="4" borderId="2" xfId="1" applyNumberFormat="1" applyFont="1" applyFill="1" applyBorder="1" applyAlignment="1">
      <alignment horizontal="right"/>
    </xf>
    <xf numFmtId="165" fontId="3" fillId="4" borderId="2" xfId="1" applyNumberFormat="1" applyFont="1" applyFill="1" applyBorder="1"/>
    <xf numFmtId="165" fontId="5" fillId="2" borderId="2" xfId="1" applyNumberFormat="1" applyFont="1" applyFill="1" applyBorder="1"/>
    <xf numFmtId="43" fontId="3" fillId="2" borderId="2" xfId="1" applyFont="1" applyFill="1" applyBorder="1" applyAlignment="1">
      <alignment horizontal="right"/>
    </xf>
    <xf numFmtId="165" fontId="9" fillId="2" borderId="2" xfId="1" applyNumberFormat="1" applyFont="1" applyFill="1" applyBorder="1"/>
    <xf numFmtId="167" fontId="3" fillId="4" borderId="2" xfId="1" applyNumberFormat="1" applyFont="1" applyFill="1" applyBorder="1" applyAlignment="1"/>
    <xf numFmtId="167" fontId="3" fillId="4" borderId="2" xfId="1" applyNumberFormat="1" applyFont="1" applyFill="1" applyBorder="1" applyAlignment="1">
      <alignment horizontal="right"/>
    </xf>
    <xf numFmtId="167" fontId="3" fillId="4" borderId="2" xfId="1" applyNumberFormat="1" applyFont="1" applyFill="1" applyBorder="1"/>
    <xf numFmtId="167" fontId="3" fillId="4" borderId="2" xfId="1" applyNumberFormat="1" applyFont="1" applyFill="1" applyBorder="1" applyAlignment="1">
      <alignment horizontal="left" vertical="center" wrapText="1"/>
    </xf>
    <xf numFmtId="167" fontId="9" fillId="2" borderId="2" xfId="1" applyNumberFormat="1" applyFont="1" applyFill="1" applyBorder="1" applyAlignment="1">
      <alignment horizontal="left" vertical="center" wrapText="1"/>
    </xf>
    <xf numFmtId="167" fontId="14" fillId="2" borderId="3" xfId="1" applyNumberFormat="1" applyFont="1" applyFill="1" applyBorder="1" applyAlignment="1">
      <alignment horizontal="left" vertical="center" wrapText="1"/>
    </xf>
    <xf numFmtId="167" fontId="12" fillId="2" borderId="4" xfId="1" applyNumberFormat="1" applyFont="1" applyFill="1" applyBorder="1" applyAlignment="1">
      <alignment horizontal="left" vertical="center" wrapText="1"/>
    </xf>
    <xf numFmtId="167" fontId="12" fillId="3" borderId="4" xfId="1" applyNumberFormat="1" applyFont="1" applyFill="1" applyBorder="1" applyAlignment="1">
      <alignment horizontal="left" vertical="center" wrapText="1"/>
    </xf>
    <xf numFmtId="167" fontId="3" fillId="2" borderId="2" xfId="1" applyNumberFormat="1" applyFont="1" applyFill="1" applyBorder="1" applyAlignment="1">
      <alignment horizontal="left"/>
    </xf>
    <xf numFmtId="167" fontId="3" fillId="2" borderId="2" xfId="1" applyNumberFormat="1" applyFont="1" applyFill="1" applyBorder="1" applyAlignment="1">
      <alignment wrapText="1"/>
    </xf>
    <xf numFmtId="167" fontId="5" fillId="2" borderId="1" xfId="1" applyNumberFormat="1" applyFont="1" applyFill="1" applyBorder="1"/>
    <xf numFmtId="167" fontId="1" fillId="2" borderId="2" xfId="1" applyNumberFormat="1" applyFont="1" applyFill="1" applyBorder="1"/>
    <xf numFmtId="167" fontId="7" fillId="2" borderId="2" xfId="1" applyNumberFormat="1" applyFont="1" applyFill="1" applyBorder="1"/>
    <xf numFmtId="167" fontId="1" fillId="2" borderId="2" xfId="1" applyNumberFormat="1" applyFont="1" applyFill="1" applyBorder="1" applyAlignment="1"/>
    <xf numFmtId="167" fontId="11" fillId="2" borderId="3" xfId="1" applyNumberFormat="1" applyFont="1" applyFill="1" applyBorder="1" applyAlignment="1">
      <alignment horizontal="left" vertical="center" wrapText="1"/>
    </xf>
    <xf numFmtId="167" fontId="3" fillId="2" borderId="2" xfId="1" applyNumberFormat="1" applyFont="1" applyFill="1" applyBorder="1" applyAlignment="1">
      <alignment horizontal="center"/>
    </xf>
    <xf numFmtId="167" fontId="5" fillId="2" borderId="0" xfId="1" applyNumberFormat="1" applyFont="1" applyFill="1"/>
    <xf numFmtId="167" fontId="10" fillId="2" borderId="2" xfId="1" applyNumberFormat="1" applyFont="1" applyFill="1" applyBorder="1"/>
    <xf numFmtId="167" fontId="14" fillId="2" borderId="2" xfId="1" applyNumberFormat="1" applyFont="1" applyFill="1" applyBorder="1" applyAlignment="1">
      <alignment horizontal="left" vertical="center" wrapText="1"/>
    </xf>
    <xf numFmtId="167" fontId="3" fillId="5" borderId="2" xfId="1" applyNumberFormat="1" applyFont="1" applyFill="1" applyBorder="1" applyAlignment="1">
      <alignment horizontal="left" vertical="center" wrapText="1"/>
    </xf>
    <xf numFmtId="167" fontId="14" fillId="2" borderId="3" xfId="1" applyNumberFormat="1" applyFont="1" applyFill="1" applyBorder="1" applyAlignment="1">
      <alignment horizontal="left" vertical="center"/>
    </xf>
    <xf numFmtId="167" fontId="3" fillId="2" borderId="2" xfId="1" applyNumberFormat="1" applyFont="1" applyFill="1" applyBorder="1" applyAlignment="1"/>
    <xf numFmtId="167" fontId="9" fillId="2" borderId="2" xfId="1" applyNumberFormat="1" applyFont="1" applyFill="1" applyBorder="1"/>
    <xf numFmtId="167" fontId="16" fillId="2" borderId="2" xfId="1" applyNumberFormat="1" applyFont="1" applyFill="1" applyBorder="1" applyAlignment="1">
      <alignment horizontal="left"/>
    </xf>
    <xf numFmtId="165" fontId="5" fillId="2" borderId="2" xfId="1" applyNumberFormat="1" applyFont="1" applyFill="1" applyBorder="1" applyAlignment="1">
      <alignment horizontal="left" vertical="center" wrapText="1"/>
    </xf>
    <xf numFmtId="165" fontId="3" fillId="2" borderId="2" xfId="1" applyNumberFormat="1" applyFont="1" applyFill="1" applyBorder="1" applyAlignment="1">
      <alignment horizontal="right"/>
    </xf>
    <xf numFmtId="165" fontId="10" fillId="2" borderId="2" xfId="1" applyNumberFormat="1" applyFont="1" applyFill="1" applyBorder="1" applyAlignment="1">
      <alignment horizontal="left" vertical="center" wrapText="1"/>
    </xf>
    <xf numFmtId="165" fontId="18" fillId="2" borderId="3" xfId="1" applyNumberFormat="1" applyFont="1" applyFill="1" applyBorder="1" applyAlignment="1">
      <alignment horizontal="left" vertical="center" wrapText="1"/>
    </xf>
    <xf numFmtId="165" fontId="19" fillId="2" borderId="4" xfId="1" applyNumberFormat="1" applyFont="1" applyFill="1" applyBorder="1" applyAlignment="1">
      <alignment horizontal="left" vertical="center" wrapText="1"/>
    </xf>
    <xf numFmtId="165" fontId="19" fillId="3" borderId="4" xfId="1" applyNumberFormat="1" applyFont="1" applyFill="1" applyBorder="1" applyAlignment="1">
      <alignment horizontal="left" vertical="center" wrapText="1"/>
    </xf>
    <xf numFmtId="165" fontId="3" fillId="2" borderId="2" xfId="1" applyNumberFormat="1" applyFont="1" applyFill="1" applyBorder="1" applyAlignment="1">
      <alignment horizontal="left"/>
    </xf>
    <xf numFmtId="165" fontId="3" fillId="2" borderId="2" xfId="1" applyNumberFormat="1" applyFont="1" applyFill="1" applyBorder="1" applyAlignment="1">
      <alignment wrapText="1"/>
    </xf>
    <xf numFmtId="165" fontId="5" fillId="2" borderId="1" xfId="1" applyNumberFormat="1" applyFont="1" applyFill="1" applyBorder="1"/>
    <xf numFmtId="165" fontId="1" fillId="2" borderId="2" xfId="1" applyNumberFormat="1" applyFont="1" applyFill="1" applyBorder="1"/>
    <xf numFmtId="165" fontId="7" fillId="2" borderId="2" xfId="1" applyNumberFormat="1" applyFont="1" applyFill="1" applyBorder="1"/>
    <xf numFmtId="165" fontId="1" fillId="2" borderId="2" xfId="1" applyNumberFormat="1" applyFont="1" applyFill="1" applyBorder="1" applyAlignment="1"/>
    <xf numFmtId="165" fontId="19" fillId="2" borderId="3" xfId="1" applyNumberFormat="1" applyFont="1" applyFill="1" applyBorder="1" applyAlignment="1">
      <alignment horizontal="left" vertical="center" wrapText="1"/>
    </xf>
    <xf numFmtId="165" fontId="5" fillId="2" borderId="2" xfId="1" applyNumberFormat="1" applyFont="1" applyFill="1" applyBorder="1" applyAlignment="1">
      <alignment horizontal="left"/>
    </xf>
    <xf numFmtId="165" fontId="17" fillId="2" borderId="2" xfId="1" applyNumberFormat="1" applyFont="1" applyFill="1" applyBorder="1" applyAlignment="1">
      <alignment horizontal="center"/>
    </xf>
    <xf numFmtId="165" fontId="3" fillId="2" borderId="2" xfId="1" applyNumberFormat="1" applyFont="1" applyFill="1" applyBorder="1" applyAlignment="1">
      <alignment horizontal="center"/>
    </xf>
    <xf numFmtId="165" fontId="5" fillId="2" borderId="0" xfId="1" applyNumberFormat="1" applyFont="1" applyFill="1" applyBorder="1" applyAlignment="1">
      <alignment horizontal="left" vertical="center" wrapText="1"/>
    </xf>
    <xf numFmtId="165" fontId="5" fillId="2" borderId="0" xfId="1" applyNumberFormat="1" applyFont="1" applyFill="1"/>
    <xf numFmtId="165" fontId="8" fillId="2" borderId="2" xfId="1" applyNumberFormat="1" applyFont="1" applyFill="1" applyBorder="1"/>
    <xf numFmtId="165" fontId="10" fillId="2" borderId="2" xfId="1" applyNumberFormat="1" applyFont="1" applyFill="1" applyBorder="1"/>
    <xf numFmtId="165" fontId="18" fillId="2" borderId="2" xfId="1" applyNumberFormat="1" applyFont="1" applyFill="1" applyBorder="1" applyAlignment="1">
      <alignment horizontal="left" vertical="center" wrapText="1"/>
    </xf>
    <xf numFmtId="165" fontId="18" fillId="2" borderId="3" xfId="1" applyNumberFormat="1" applyFont="1" applyFill="1" applyBorder="1" applyAlignment="1">
      <alignment horizontal="left" vertical="center"/>
    </xf>
    <xf numFmtId="165" fontId="3" fillId="2" borderId="2" xfId="1" applyNumberFormat="1" applyFont="1" applyFill="1" applyBorder="1" applyAlignment="1"/>
    <xf numFmtId="165" fontId="5" fillId="4" borderId="2" xfId="1" applyNumberFormat="1" applyFont="1" applyFill="1" applyBorder="1" applyAlignment="1">
      <alignment horizontal="left" vertical="center" wrapText="1"/>
    </xf>
    <xf numFmtId="165" fontId="20" fillId="2" borderId="3" xfId="1" applyNumberFormat="1" applyFont="1" applyFill="1" applyBorder="1" applyAlignment="1">
      <alignment horizontal="left" vertical="center" wrapText="1"/>
    </xf>
    <xf numFmtId="165" fontId="19" fillId="2" borderId="2" xfId="1" applyNumberFormat="1" applyFont="1" applyFill="1" applyBorder="1" applyAlignment="1">
      <alignment horizontal="left"/>
    </xf>
    <xf numFmtId="165" fontId="5" fillId="2" borderId="2" xfId="1" applyNumberFormat="1" applyFont="1" applyFill="1" applyBorder="1" applyAlignment="1">
      <alignment horizontal="right"/>
    </xf>
    <xf numFmtId="43" fontId="5" fillId="5" borderId="2" xfId="1" applyFont="1" applyFill="1" applyBorder="1" applyAlignment="1">
      <alignment horizontal="left" vertical="center" wrapText="1"/>
    </xf>
    <xf numFmtId="43" fontId="3" fillId="6" borderId="2" xfId="1" applyFont="1" applyFill="1" applyBorder="1"/>
    <xf numFmtId="43" fontId="3" fillId="2" borderId="2" xfId="1" applyFont="1" applyFill="1" applyBorder="1"/>
    <xf numFmtId="165" fontId="9" fillId="2" borderId="2" xfId="1" applyNumberFormat="1" applyFont="1" applyFill="1" applyBorder="1" applyAlignment="1">
      <alignment horizontal="left" vertical="center" wrapText="1"/>
    </xf>
    <xf numFmtId="165" fontId="14" fillId="2" borderId="3" xfId="1" applyNumberFormat="1" applyFont="1" applyFill="1" applyBorder="1" applyAlignment="1">
      <alignment horizontal="left" vertical="center" wrapText="1"/>
    </xf>
    <xf numFmtId="165" fontId="12" fillId="2" borderId="4" xfId="1" applyNumberFormat="1" applyFont="1" applyFill="1" applyBorder="1" applyAlignment="1">
      <alignment horizontal="left" vertical="center" wrapText="1"/>
    </xf>
    <xf numFmtId="165" fontId="12" fillId="3" borderId="4" xfId="1" applyNumberFormat="1" applyFont="1" applyFill="1" applyBorder="1" applyAlignment="1">
      <alignment horizontal="left" vertical="center" wrapText="1"/>
    </xf>
    <xf numFmtId="165" fontId="11" fillId="2" borderId="3" xfId="1" applyNumberFormat="1" applyFont="1" applyFill="1" applyBorder="1" applyAlignment="1">
      <alignment horizontal="left" vertical="center" wrapText="1"/>
    </xf>
    <xf numFmtId="165" fontId="3" fillId="2" borderId="0" xfId="1" applyNumberFormat="1" applyFont="1" applyFill="1" applyBorder="1" applyAlignment="1">
      <alignment horizontal="left" vertical="center" wrapText="1"/>
    </xf>
    <xf numFmtId="165" fontId="14" fillId="2" borderId="2" xfId="1" applyNumberFormat="1" applyFont="1" applyFill="1" applyBorder="1" applyAlignment="1">
      <alignment horizontal="left" vertical="center" wrapText="1"/>
    </xf>
    <xf numFmtId="165" fontId="3" fillId="5" borderId="2" xfId="1" applyNumberFormat="1" applyFont="1" applyFill="1" applyBorder="1" applyAlignment="1">
      <alignment horizontal="left" vertical="center" wrapText="1"/>
    </xf>
    <xf numFmtId="165" fontId="14" fillId="2" borderId="3" xfId="1" applyNumberFormat="1" applyFont="1" applyFill="1" applyBorder="1" applyAlignment="1">
      <alignment horizontal="left" vertical="center"/>
    </xf>
    <xf numFmtId="165" fontId="15" fillId="2" borderId="3" xfId="1" applyNumberFormat="1" applyFont="1" applyFill="1" applyBorder="1" applyAlignment="1">
      <alignment horizontal="left" vertical="center" wrapText="1"/>
    </xf>
    <xf numFmtId="165" fontId="16" fillId="2" borderId="2" xfId="1" applyNumberFormat="1" applyFont="1" applyFill="1" applyBorder="1" applyAlignment="1">
      <alignment horizontal="left"/>
    </xf>
    <xf numFmtId="169" fontId="3" fillId="6" borderId="2" xfId="1" applyNumberFormat="1" applyFont="1" applyFill="1" applyBorder="1" applyAlignment="1">
      <alignment horizontal="right"/>
    </xf>
    <xf numFmtId="165" fontId="3" fillId="2" borderId="2" xfId="1" applyNumberFormat="1" applyFont="1" applyFill="1" applyBorder="1" applyAlignment="1">
      <alignment horizontal="left" vertical="center"/>
    </xf>
    <xf numFmtId="165" fontId="12" fillId="2" borderId="4" xfId="1" applyNumberFormat="1" applyFont="1" applyFill="1" applyBorder="1" applyAlignment="1">
      <alignment horizontal="left" vertical="center"/>
    </xf>
    <xf numFmtId="165" fontId="12" fillId="3" borderId="4" xfId="1" applyNumberFormat="1" applyFont="1" applyFill="1" applyBorder="1" applyAlignment="1">
      <alignment horizontal="left" vertical="center"/>
    </xf>
    <xf numFmtId="165" fontId="11" fillId="2" borderId="3" xfId="1" applyNumberFormat="1" applyFont="1" applyFill="1" applyBorder="1" applyAlignment="1">
      <alignment horizontal="left" vertical="center"/>
    </xf>
    <xf numFmtId="165" fontId="3" fillId="2" borderId="0" xfId="1" applyNumberFormat="1" applyFont="1" applyFill="1" applyBorder="1" applyAlignment="1">
      <alignment horizontal="left" vertical="center"/>
    </xf>
    <xf numFmtId="165" fontId="14" fillId="2" borderId="2" xfId="1" applyNumberFormat="1" applyFont="1" applyFill="1" applyBorder="1" applyAlignment="1">
      <alignment horizontal="left" vertical="center"/>
    </xf>
    <xf numFmtId="167" fontId="3" fillId="2" borderId="2" xfId="1" applyNumberFormat="1" applyFont="1" applyFill="1" applyBorder="1" applyAlignment="1">
      <alignment horizontal="left" vertical="center"/>
    </xf>
    <xf numFmtId="165" fontId="3" fillId="5" borderId="2" xfId="1" applyNumberFormat="1" applyFont="1" applyFill="1" applyBorder="1" applyAlignment="1">
      <alignment horizontal="left" vertical="center"/>
    </xf>
    <xf numFmtId="165" fontId="15" fillId="2" borderId="3" xfId="1" applyNumberFormat="1" applyFont="1" applyFill="1" applyBorder="1" applyAlignment="1">
      <alignment horizontal="left" vertical="center"/>
    </xf>
    <xf numFmtId="165" fontId="3" fillId="4" borderId="2" xfId="1" applyNumberFormat="1" applyFont="1" applyFill="1" applyBorder="1" applyAlignment="1">
      <alignment horizontal="left" vertical="center"/>
    </xf>
    <xf numFmtId="168" fontId="9" fillId="2" borderId="2" xfId="1" applyNumberFormat="1" applyFont="1" applyFill="1" applyBorder="1" applyAlignment="1">
      <alignment horizontal="left" vertical="center"/>
    </xf>
    <xf numFmtId="167" fontId="9" fillId="4" borderId="2" xfId="1" applyNumberFormat="1" applyFont="1" applyFill="1" applyBorder="1"/>
    <xf numFmtId="43" fontId="3" fillId="2" borderId="2" xfId="1" applyFont="1" applyFill="1" applyBorder="1" applyAlignment="1">
      <alignment horizontal="left" vertical="center"/>
    </xf>
    <xf numFmtId="167" fontId="3" fillId="0" borderId="2" xfId="1" applyNumberFormat="1" applyFont="1" applyFill="1" applyBorder="1" applyAlignment="1">
      <alignment horizontal="left" vertical="center" wrapText="1"/>
    </xf>
    <xf numFmtId="167" fontId="3" fillId="0" borderId="2" xfId="1" applyNumberFormat="1" applyFont="1" applyFill="1" applyBorder="1"/>
    <xf numFmtId="167" fontId="3" fillId="0" borderId="2" xfId="1" applyNumberFormat="1" applyFont="1" applyFill="1" applyBorder="1" applyAlignment="1">
      <alignment horizontal="right"/>
    </xf>
    <xf numFmtId="172" fontId="3" fillId="2" borderId="2" xfId="1" applyNumberFormat="1" applyFont="1" applyFill="1" applyBorder="1" applyAlignment="1"/>
    <xf numFmtId="172" fontId="3" fillId="2" borderId="2" xfId="1" applyNumberFormat="1" applyFont="1" applyFill="1" applyBorder="1" applyAlignment="1">
      <alignment horizontal="right"/>
    </xf>
    <xf numFmtId="172" fontId="3" fillId="2" borderId="2" xfId="1" applyNumberFormat="1" applyFont="1" applyFill="1" applyBorder="1"/>
    <xf numFmtId="172" fontId="3" fillId="2" borderId="2" xfId="1" applyNumberFormat="1" applyFont="1" applyFill="1" applyBorder="1" applyAlignment="1">
      <alignment horizontal="left" vertical="center" wrapText="1"/>
    </xf>
    <xf numFmtId="172" fontId="9" fillId="2" borderId="2" xfId="1" applyNumberFormat="1" applyFont="1" applyFill="1" applyBorder="1"/>
    <xf numFmtId="167" fontId="22" fillId="2" borderId="2" xfId="1" applyNumberFormat="1" applyFont="1" applyFill="1" applyBorder="1" applyAlignment="1">
      <alignment horizontal="left" vertical="center" wrapText="1"/>
    </xf>
    <xf numFmtId="167" fontId="22" fillId="2" borderId="2" xfId="1" applyNumberFormat="1" applyFont="1" applyFill="1" applyBorder="1" applyAlignment="1">
      <alignment horizontal="right"/>
    </xf>
    <xf numFmtId="167" fontId="22" fillId="2" borderId="2" xfId="1" applyNumberFormat="1" applyFont="1" applyFill="1" applyBorder="1"/>
    <xf numFmtId="173" fontId="3" fillId="4" borderId="2" xfId="1" applyNumberFormat="1" applyFont="1" applyFill="1" applyBorder="1" applyAlignment="1"/>
    <xf numFmtId="173" fontId="0" fillId="4" borderId="0" xfId="1" applyNumberFormat="1" applyFont="1" applyFill="1"/>
    <xf numFmtId="173" fontId="3" fillId="4" borderId="2" xfId="1" applyNumberFormat="1" applyFont="1" applyFill="1" applyBorder="1" applyAlignment="1">
      <alignment horizontal="right"/>
    </xf>
    <xf numFmtId="173" fontId="3" fillId="4" borderId="2" xfId="1" applyNumberFormat="1" applyFont="1" applyFill="1" applyBorder="1"/>
    <xf numFmtId="172" fontId="3" fillId="2" borderId="5" xfId="1" applyNumberFormat="1" applyFont="1" applyFill="1" applyBorder="1" applyAlignment="1">
      <alignment horizontal="left" vertical="center" wrapText="1"/>
    </xf>
    <xf numFmtId="172" fontId="3" fillId="2" borderId="5" xfId="1" applyNumberFormat="1" applyFont="1" applyFill="1" applyBorder="1"/>
    <xf numFmtId="172" fontId="9" fillId="2" borderId="5" xfId="1" applyNumberFormat="1" applyFont="1" applyFill="1" applyBorder="1"/>
    <xf numFmtId="169" fontId="3" fillId="2" borderId="2" xfId="1" applyNumberFormat="1" applyFont="1" applyFill="1" applyBorder="1" applyAlignment="1">
      <alignment horizontal="right"/>
    </xf>
    <xf numFmtId="0" fontId="24" fillId="0" borderId="3" xfId="13" applyFont="1"/>
    <xf numFmtId="0" fontId="25" fillId="0" borderId="0" xfId="0" applyFont="1"/>
    <xf numFmtId="0" fontId="26" fillId="0" borderId="4" xfId="14" applyFont="1"/>
    <xf numFmtId="0" fontId="25" fillId="0" borderId="0" xfId="2" applyFont="1"/>
    <xf numFmtId="43" fontId="3" fillId="2" borderId="0" xfId="1" applyFont="1" applyFill="1"/>
    <xf numFmtId="167" fontId="3" fillId="2" borderId="0" xfId="1" applyNumberFormat="1" applyFont="1" applyFill="1"/>
    <xf numFmtId="170" fontId="3" fillId="2" borderId="0" xfId="1" applyNumberFormat="1" applyFont="1" applyFill="1"/>
    <xf numFmtId="167" fontId="3" fillId="2" borderId="0" xfId="7" applyNumberFormat="1" applyFont="1" applyFill="1"/>
    <xf numFmtId="43" fontId="3" fillId="2" borderId="0" xfId="1" applyFont="1" applyFill="1" applyAlignment="1">
      <alignment horizontal="center" vertical="center"/>
    </xf>
    <xf numFmtId="1" fontId="3" fillId="2" borderId="0" xfId="1" applyNumberFormat="1" applyFont="1" applyFill="1"/>
    <xf numFmtId="169" fontId="3" fillId="2" borderId="0" xfId="1" applyNumberFormat="1" applyFont="1" applyFill="1"/>
    <xf numFmtId="165" fontId="3" fillId="2" borderId="0" xfId="1" applyNumberFormat="1" applyFont="1" applyFill="1"/>
    <xf numFmtId="43" fontId="3" fillId="2" borderId="0" xfId="1" applyFont="1" applyFill="1" applyAlignment="1">
      <alignment horizontal="right"/>
    </xf>
    <xf numFmtId="167" fontId="3" fillId="2" borderId="0" xfId="1" quotePrefix="1" applyNumberFormat="1" applyFont="1" applyFill="1"/>
    <xf numFmtId="167" fontId="13" fillId="2" borderId="0" xfId="1" applyNumberFormat="1" applyFont="1" applyFill="1"/>
    <xf numFmtId="43" fontId="13" fillId="2" borderId="0" xfId="1" applyFont="1" applyFill="1"/>
    <xf numFmtId="171" fontId="3" fillId="2" borderId="0" xfId="1" applyNumberFormat="1" applyFont="1" applyFill="1"/>
    <xf numFmtId="10" fontId="3" fillId="2" borderId="0" xfId="5" applyNumberFormat="1" applyFont="1" applyFill="1"/>
    <xf numFmtId="167" fontId="27" fillId="2" borderId="3" xfId="1" applyNumberFormat="1" applyFont="1" applyFill="1" applyBorder="1"/>
    <xf numFmtId="43" fontId="5" fillId="2" borderId="0" xfId="1" applyFont="1" applyFill="1" applyAlignment="1">
      <alignment horizontal="center" vertical="center"/>
    </xf>
    <xf numFmtId="167" fontId="28" fillId="2" borderId="4" xfId="14" applyNumberFormat="1" applyFont="1" applyFill="1"/>
    <xf numFmtId="167" fontId="27" fillId="2" borderId="3" xfId="13" applyNumberFormat="1" applyFont="1" applyFill="1"/>
    <xf numFmtId="0" fontId="5" fillId="2" borderId="0" xfId="2" applyFont="1" applyFill="1"/>
    <xf numFmtId="174" fontId="0" fillId="4" borderId="0" xfId="1" applyNumberFormat="1" applyFont="1" applyFill="1"/>
    <xf numFmtId="165" fontId="0" fillId="4" borderId="0" xfId="1" applyNumberFormat="1" applyFont="1" applyFill="1"/>
    <xf numFmtId="165" fontId="22" fillId="2" borderId="2" xfId="1" applyNumberFormat="1" applyFont="1" applyFill="1" applyBorder="1" applyAlignment="1">
      <alignment horizontal="left" vertical="center" wrapText="1"/>
    </xf>
    <xf numFmtId="165" fontId="22" fillId="2" borderId="2" xfId="1" applyNumberFormat="1" applyFont="1" applyFill="1" applyBorder="1" applyAlignment="1">
      <alignment horizontal="right"/>
    </xf>
    <xf numFmtId="165" fontId="22" fillId="2" borderId="2" xfId="1" applyNumberFormat="1" applyFont="1" applyFill="1" applyBorder="1"/>
    <xf numFmtId="165" fontId="3" fillId="4" borderId="2" xfId="1" applyNumberFormat="1" applyFont="1" applyFill="1" applyBorder="1" applyAlignment="1"/>
    <xf numFmtId="165" fontId="3" fillId="2" borderId="2" xfId="1" applyNumberFormat="1" applyFont="1" applyFill="1" applyBorder="1" applyAlignment="1">
      <alignment vertical="center"/>
    </xf>
    <xf numFmtId="165" fontId="3" fillId="7" borderId="2" xfId="1" applyNumberFormat="1" applyFont="1" applyFill="1" applyBorder="1"/>
    <xf numFmtId="167" fontId="3" fillId="7" borderId="2" xfId="1" applyNumberFormat="1" applyFont="1" applyFill="1" applyBorder="1"/>
    <xf numFmtId="165" fontId="3" fillId="7" borderId="2" xfId="1" applyNumberFormat="1" applyFont="1" applyFill="1" applyBorder="1" applyAlignment="1">
      <alignment horizontal="right"/>
    </xf>
    <xf numFmtId="43" fontId="3" fillId="7" borderId="2" xfId="1" applyFont="1" applyFill="1" applyBorder="1" applyAlignment="1">
      <alignment horizontal="right"/>
    </xf>
    <xf numFmtId="166" fontId="3" fillId="7" borderId="2" xfId="1" applyNumberFormat="1" applyFont="1" applyFill="1" applyBorder="1" applyAlignment="1">
      <alignment horizontal="right"/>
    </xf>
    <xf numFmtId="43" fontId="3" fillId="7" borderId="2" xfId="1" applyFont="1" applyFill="1" applyBorder="1"/>
    <xf numFmtId="10" fontId="23" fillId="8" borderId="6" xfId="5" applyNumberFormat="1" applyFont="1" applyFill="1" applyBorder="1" applyAlignment="1">
      <alignment horizontal="left" vertical="center" wrapText="1"/>
    </xf>
    <xf numFmtId="10" fontId="3" fillId="8" borderId="6" xfId="5" applyNumberFormat="1" applyFont="1" applyFill="1" applyBorder="1" applyAlignment="1">
      <alignment horizontal="right"/>
    </xf>
    <xf numFmtId="10" fontId="3" fillId="8" borderId="6" xfId="5" applyNumberFormat="1" applyFont="1" applyFill="1" applyBorder="1"/>
    <xf numFmtId="165" fontId="23" fillId="8" borderId="6" xfId="1" applyNumberFormat="1" applyFont="1" applyFill="1" applyBorder="1" applyAlignment="1">
      <alignment horizontal="left" vertical="center" wrapText="1"/>
    </xf>
    <xf numFmtId="165" fontId="3" fillId="8" borderId="6" xfId="1" applyNumberFormat="1" applyFont="1" applyFill="1" applyBorder="1" applyAlignment="1">
      <alignment horizontal="right"/>
    </xf>
    <xf numFmtId="165" fontId="3" fillId="8" borderId="6" xfId="1" applyNumberFormat="1" applyFont="1" applyFill="1" applyBorder="1"/>
    <xf numFmtId="167" fontId="0" fillId="4" borderId="0" xfId="1" applyNumberFormat="1" applyFont="1" applyFill="1"/>
    <xf numFmtId="167" fontId="3" fillId="2" borderId="5" xfId="1" applyNumberFormat="1" applyFont="1" applyFill="1" applyBorder="1"/>
    <xf numFmtId="167" fontId="3" fillId="4" borderId="2" xfId="7" applyNumberFormat="1" applyFont="1" applyFill="1" applyBorder="1" applyAlignment="1">
      <alignment horizontal="left" vertical="center" wrapText="1"/>
    </xf>
    <xf numFmtId="175" fontId="3" fillId="4" borderId="0" xfId="7" applyNumberFormat="1" applyFont="1" applyFill="1"/>
    <xf numFmtId="167" fontId="3" fillId="4" borderId="0" xfId="7" applyNumberFormat="1" applyFont="1" applyFill="1"/>
    <xf numFmtId="167" fontId="3" fillId="4" borderId="2" xfId="7" applyNumberFormat="1" applyFont="1" applyFill="1" applyBorder="1" applyAlignment="1">
      <alignment horizontal="right"/>
    </xf>
    <xf numFmtId="167" fontId="3" fillId="4" borderId="2" xfId="7" applyNumberFormat="1" applyFont="1" applyFill="1" applyBorder="1"/>
    <xf numFmtId="176" fontId="3" fillId="2" borderId="2" xfId="1" applyNumberFormat="1" applyFont="1" applyFill="1" applyBorder="1"/>
  </cellXfs>
  <cellStyles count="15">
    <cellStyle name="Comma" xfId="1" builtinId="3"/>
    <cellStyle name="Comma 2" xfId="7"/>
    <cellStyle name="Heading 1" xfId="13" builtinId="16"/>
    <cellStyle name="Heading 2" xfId="14" builtinId="17"/>
    <cellStyle name="Normal" xfId="0" builtinId="0"/>
    <cellStyle name="Normal 2" xfId="2"/>
    <cellStyle name="Normal 2 2" xfId="3"/>
    <cellStyle name="Normal 3" xfId="4"/>
    <cellStyle name="Normal 4" xfId="6"/>
    <cellStyle name="Normal 5" xfId="8"/>
    <cellStyle name="Normal 6" xfId="9"/>
    <cellStyle name="Normal 6 2" xfId="11"/>
    <cellStyle name="Normal 7" xfId="10"/>
    <cellStyle name="Percent" xfId="5" builtinId="5"/>
    <cellStyle name="Percent 2" xfId="12"/>
  </cellStyles>
  <dxfs count="0"/>
  <tableStyles count="1" defaultTableStyle="TableStyleMedium9" defaultPivotStyle="PivotStyleLight16">
    <tableStyle name="Table Style 1" pivot="0" count="0"/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CCFF"/>
      <color rgb="FFF8F8F8"/>
      <color rgb="FFD6FEB8"/>
      <color rgb="FFFF66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972462817147859"/>
          <c:y val="0.19480351414406533"/>
          <c:w val="0.84971784776902892"/>
          <c:h val="0.68921660834062393"/>
        </c:manualLayout>
      </c:layout>
      <c:lineChart>
        <c:grouping val="standard"/>
        <c:varyColors val="0"/>
        <c:ser>
          <c:idx val="0"/>
          <c:order val="0"/>
          <c:tx>
            <c:strRef>
              <c:f>Parameters!$A$108</c:f>
              <c:strCache>
                <c:ptCount val="1"/>
                <c:pt idx="0">
                  <c:v>Ratio (new gams to excel)</c:v>
                </c:pt>
              </c:strCache>
            </c:strRef>
          </c:tx>
          <c:cat>
            <c:numRef>
              <c:f>Parameters!$B$102:$CF$102</c:f>
              <c:numCache>
                <c:formatCode>_(* #,##0.000_);_(* \(#,##0.000\);_(* "-"??_);_(@_)</c:formatCode>
                <c:ptCount val="83"/>
                <c:pt idx="0" formatCode="_(* #,##0.00_);_(* \(#,##0.00\);_(* &quot;-&quot;??_);_(@_)">
                  <c:v>2010</c:v>
                </c:pt>
                <c:pt idx="1">
                  <c:v>2015</c:v>
                </c:pt>
                <c:pt idx="2">
                  <c:v>2020</c:v>
                </c:pt>
                <c:pt idx="3">
                  <c:v>2025</c:v>
                </c:pt>
                <c:pt idx="4">
                  <c:v>2030</c:v>
                </c:pt>
                <c:pt idx="5">
                  <c:v>2035</c:v>
                </c:pt>
                <c:pt idx="6">
                  <c:v>2040</c:v>
                </c:pt>
                <c:pt idx="7">
                  <c:v>2045</c:v>
                </c:pt>
                <c:pt idx="8">
                  <c:v>2050</c:v>
                </c:pt>
                <c:pt idx="9">
                  <c:v>2055</c:v>
                </c:pt>
                <c:pt idx="10">
                  <c:v>2060</c:v>
                </c:pt>
                <c:pt idx="11">
                  <c:v>2065</c:v>
                </c:pt>
                <c:pt idx="12">
                  <c:v>2070</c:v>
                </c:pt>
                <c:pt idx="13">
                  <c:v>2075</c:v>
                </c:pt>
                <c:pt idx="14">
                  <c:v>2080</c:v>
                </c:pt>
                <c:pt idx="15">
                  <c:v>2085</c:v>
                </c:pt>
                <c:pt idx="16">
                  <c:v>2090</c:v>
                </c:pt>
                <c:pt idx="17">
                  <c:v>2095</c:v>
                </c:pt>
                <c:pt idx="18">
                  <c:v>2100</c:v>
                </c:pt>
                <c:pt idx="19">
                  <c:v>2105</c:v>
                </c:pt>
                <c:pt idx="20">
                  <c:v>2110</c:v>
                </c:pt>
                <c:pt idx="21">
                  <c:v>2115</c:v>
                </c:pt>
                <c:pt idx="22">
                  <c:v>2120</c:v>
                </c:pt>
                <c:pt idx="23">
                  <c:v>2125</c:v>
                </c:pt>
                <c:pt idx="24">
                  <c:v>2130</c:v>
                </c:pt>
                <c:pt idx="25">
                  <c:v>2135</c:v>
                </c:pt>
                <c:pt idx="26">
                  <c:v>2140</c:v>
                </c:pt>
                <c:pt idx="27">
                  <c:v>2145</c:v>
                </c:pt>
                <c:pt idx="28">
                  <c:v>2150</c:v>
                </c:pt>
                <c:pt idx="29">
                  <c:v>2155</c:v>
                </c:pt>
                <c:pt idx="30">
                  <c:v>2160</c:v>
                </c:pt>
                <c:pt idx="31">
                  <c:v>2165</c:v>
                </c:pt>
                <c:pt idx="32">
                  <c:v>2170</c:v>
                </c:pt>
                <c:pt idx="33">
                  <c:v>2175</c:v>
                </c:pt>
                <c:pt idx="34">
                  <c:v>2180</c:v>
                </c:pt>
                <c:pt idx="35">
                  <c:v>2185</c:v>
                </c:pt>
                <c:pt idx="36">
                  <c:v>2190</c:v>
                </c:pt>
                <c:pt idx="37">
                  <c:v>2195</c:v>
                </c:pt>
                <c:pt idx="38">
                  <c:v>2200</c:v>
                </c:pt>
                <c:pt idx="39">
                  <c:v>2205</c:v>
                </c:pt>
                <c:pt idx="40">
                  <c:v>2210</c:v>
                </c:pt>
                <c:pt idx="41">
                  <c:v>2215</c:v>
                </c:pt>
                <c:pt idx="42">
                  <c:v>2220</c:v>
                </c:pt>
                <c:pt idx="43">
                  <c:v>2225</c:v>
                </c:pt>
                <c:pt idx="44">
                  <c:v>2230</c:v>
                </c:pt>
                <c:pt idx="45">
                  <c:v>2235</c:v>
                </c:pt>
                <c:pt idx="46">
                  <c:v>2240</c:v>
                </c:pt>
                <c:pt idx="47">
                  <c:v>2245</c:v>
                </c:pt>
                <c:pt idx="48">
                  <c:v>2250</c:v>
                </c:pt>
                <c:pt idx="49">
                  <c:v>2255</c:v>
                </c:pt>
                <c:pt idx="50">
                  <c:v>2260</c:v>
                </c:pt>
                <c:pt idx="51">
                  <c:v>2265</c:v>
                </c:pt>
                <c:pt idx="52">
                  <c:v>2270</c:v>
                </c:pt>
                <c:pt idx="53">
                  <c:v>2275</c:v>
                </c:pt>
                <c:pt idx="54">
                  <c:v>2280</c:v>
                </c:pt>
                <c:pt idx="55">
                  <c:v>2285</c:v>
                </c:pt>
                <c:pt idx="56">
                  <c:v>2290</c:v>
                </c:pt>
                <c:pt idx="57">
                  <c:v>2295</c:v>
                </c:pt>
                <c:pt idx="58">
                  <c:v>2300</c:v>
                </c:pt>
                <c:pt idx="59">
                  <c:v>2305</c:v>
                </c:pt>
                <c:pt idx="60">
                  <c:v>2310</c:v>
                </c:pt>
                <c:pt idx="61">
                  <c:v>2315</c:v>
                </c:pt>
                <c:pt idx="62">
                  <c:v>2320</c:v>
                </c:pt>
                <c:pt idx="63">
                  <c:v>2325</c:v>
                </c:pt>
                <c:pt idx="64">
                  <c:v>2330</c:v>
                </c:pt>
                <c:pt idx="65">
                  <c:v>2335</c:v>
                </c:pt>
                <c:pt idx="66">
                  <c:v>2340</c:v>
                </c:pt>
                <c:pt idx="67">
                  <c:v>2345</c:v>
                </c:pt>
                <c:pt idx="68">
                  <c:v>2350</c:v>
                </c:pt>
                <c:pt idx="69">
                  <c:v>2355</c:v>
                </c:pt>
                <c:pt idx="70">
                  <c:v>2360</c:v>
                </c:pt>
                <c:pt idx="71">
                  <c:v>2365</c:v>
                </c:pt>
                <c:pt idx="72">
                  <c:v>2370</c:v>
                </c:pt>
                <c:pt idx="73">
                  <c:v>2375</c:v>
                </c:pt>
                <c:pt idx="74">
                  <c:v>2380</c:v>
                </c:pt>
                <c:pt idx="75">
                  <c:v>2385</c:v>
                </c:pt>
                <c:pt idx="76">
                  <c:v>2390</c:v>
                </c:pt>
                <c:pt idx="77">
                  <c:v>2395</c:v>
                </c:pt>
                <c:pt idx="78">
                  <c:v>2400</c:v>
                </c:pt>
                <c:pt idx="79">
                  <c:v>2405</c:v>
                </c:pt>
                <c:pt idx="80">
                  <c:v>2410</c:v>
                </c:pt>
                <c:pt idx="81">
                  <c:v>2415</c:v>
                </c:pt>
                <c:pt idx="82">
                  <c:v>2420</c:v>
                </c:pt>
              </c:numCache>
            </c:numRef>
          </c:cat>
          <c:val>
            <c:numRef>
              <c:f>Parameters!$B$108:$CF$108</c:f>
              <c:numCache>
                <c:formatCode>_(* #,##0.000_);_(* \(#,##0.000\);_(* "-"??_);_(@_)</c:formatCode>
                <c:ptCount val="83"/>
                <c:pt idx="0" formatCode="_(* #,##0.00_);_(* \(#,##0.00\);_(* &quot;-&quot;??_);_(@_)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5625856"/>
        <c:axId val="125627392"/>
      </c:lineChart>
      <c:catAx>
        <c:axId val="125625856"/>
        <c:scaling>
          <c:orientation val="minMax"/>
        </c:scaling>
        <c:delete val="0"/>
        <c:axPos val="b"/>
        <c:numFmt formatCode="_(* #,##0.00_);_(* \(#,##0.00\);_(* &quot;-&quot;??_);_(@_)" sourceLinked="1"/>
        <c:majorTickMark val="out"/>
        <c:minorTickMark val="none"/>
        <c:tickLblPos val="nextTo"/>
        <c:crossAx val="125627392"/>
        <c:crosses val="autoZero"/>
        <c:auto val="1"/>
        <c:lblAlgn val="ctr"/>
        <c:lblOffset val="100"/>
        <c:noMultiLvlLbl val="0"/>
      </c:catAx>
      <c:valAx>
        <c:axId val="125627392"/>
        <c:scaling>
          <c:orientation val="minMax"/>
        </c:scaling>
        <c:delete val="0"/>
        <c:axPos val="l"/>
        <c:majorGridlines/>
        <c:numFmt formatCode="_(* #,##0.00_);_(* \(#,##0.00\);_(* &quot;-&quot;??_);_(@_)" sourceLinked="1"/>
        <c:majorTickMark val="out"/>
        <c:minorTickMark val="none"/>
        <c:tickLblPos val="nextTo"/>
        <c:crossAx val="12562585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val>
            <c:numRef>
              <c:f>Parameters!$B$174:$BN$174</c:f>
              <c:numCache>
                <c:formatCode>_(* #,##0.000_);_(* \(#,##0.000\);_(* "-"??_);_(@_)</c:formatCode>
                <c:ptCount val="65"/>
                <c:pt idx="0" formatCode="_(* #,##0.00_);_(* \(#,##0.00\);_(* &quot;-&quot;??_);_(@_)">
                  <c:v>1</c:v>
                </c:pt>
                <c:pt idx="1">
                  <c:v>1.0277725133260716</c:v>
                </c:pt>
                <c:pt idx="2">
                  <c:v>1.0538702967542071</c:v>
                </c:pt>
                <c:pt idx="3">
                  <c:v>1.0782627713833006</c:v>
                </c:pt>
                <c:pt idx="4">
                  <c:v>1.1009327156674156</c:v>
                </c:pt>
                <c:pt idx="5">
                  <c:v>1.1218752276973532</c:v>
                </c:pt>
                <c:pt idx="6">
                  <c:v>1.1410966426135631</c:v>
                </c:pt>
                <c:pt idx="7">
                  <c:v>1.158613429486578</c:v>
                </c:pt>
                <c:pt idx="8">
                  <c:v>1.1744510886171884</c:v>
                </c:pt>
                <c:pt idx="9">
                  <c:v>1.1886430669046615</c:v>
                </c:pt>
                <c:pt idx="10">
                  <c:v>1.201229705786921</c:v>
                </c:pt>
                <c:pt idx="11">
                  <c:v>1.2122572333289661</c:v>
                </c:pt>
                <c:pt idx="12">
                  <c:v>1.2217768093629053</c:v>
                </c:pt>
                <c:pt idx="13">
                  <c:v>1.2298436301865934</c:v>
                </c:pt>
                <c:pt idx="14">
                  <c:v>1.236516097216583</c:v>
                </c:pt>
                <c:pt idx="15">
                  <c:v>1.2418550521630858</c:v>
                </c:pt>
                <c:pt idx="16">
                  <c:v>1.2459230797400014</c:v>
                </c:pt>
                <c:pt idx="17">
                  <c:v>1.248783877626239</c:v>
                </c:pt>
                <c:pt idx="18">
                  <c:v>1.2505016923358889</c:v>
                </c:pt>
                <c:pt idx="19">
                  <c:v>1.251140818812378</c:v>
                </c:pt>
                <c:pt idx="20">
                  <c:v>1.2507651609123602</c:v>
                </c:pt>
                <c:pt idx="21">
                  <c:v>1.2494378494654832</c:v>
                </c:pt>
                <c:pt idx="22">
                  <c:v>1.2472209142635462</c:v>
                </c:pt>
                <c:pt idx="23">
                  <c:v>1.2441750061252799</c:v>
                </c:pt>
                <c:pt idx="24">
                  <c:v>1.2403591650808667</c:v>
                </c:pt>
                <c:pt idx="25">
                  <c:v>1.2358306307049336</c:v>
                </c:pt>
                <c:pt idx="26">
                  <c:v>1.2306446906814446</c:v>
                </c:pt>
                <c:pt idx="27">
                  <c:v>1.2248545637939638</c:v>
                </c:pt>
                <c:pt idx="28">
                  <c:v>1.2185113136872361</c:v>
                </c:pt>
                <c:pt idx="29">
                  <c:v>1.2116637899297835</c:v>
                </c:pt>
                <c:pt idx="30">
                  <c:v>1.2043585931127481</c:v>
                </c:pt>
                <c:pt idx="31">
                  <c:v>1.1966400609395309</c:v>
                </c:pt>
                <c:pt idx="32">
                  <c:v>1.1885502724872834</c:v>
                </c:pt>
                <c:pt idx="33">
                  <c:v>1.1801290680496026</c:v>
                </c:pt>
                <c:pt idx="34">
                  <c:v>1.1714140821955745</c:v>
                </c:pt>
                <c:pt idx="35">
                  <c:v>1.1624407879002241</c:v>
                </c:pt>
                <c:pt idx="36">
                  <c:v>1.1532425498129237</c:v>
                </c:pt>
                <c:pt idx="37">
                  <c:v>1.1438506849315064</c:v>
                </c:pt>
                <c:pt idx="38">
                  <c:v>1.1342945291394391</c:v>
                </c:pt>
                <c:pt idx="39">
                  <c:v>1.1246015082406378</c:v>
                </c:pt>
                <c:pt idx="40">
                  <c:v>1.1147972122909029</c:v>
                </c:pt>
                <c:pt idx="41">
                  <c:v>1.1049054721764473</c:v>
                </c:pt>
                <c:pt idx="42">
                  <c:v>1.0949484375286995</c:v>
                </c:pt>
                <c:pt idx="43">
                  <c:v>1.0849466551908491</c:v>
                </c:pt>
                <c:pt idx="44">
                  <c:v>1.0749191475659148</c:v>
                </c:pt>
                <c:pt idx="45">
                  <c:v>1.0648834902790794</c:v>
                </c:pt>
                <c:pt idx="46">
                  <c:v>1.0548558886792618</c:v>
                </c:pt>
                <c:pt idx="47">
                  <c:v>1.044851252787115</c:v>
                </c:pt>
                <c:pt idx="48">
                  <c:v>1.0348832703695658</c:v>
                </c:pt>
                <c:pt idx="49">
                  <c:v>1.0249644778853508</c:v>
                </c:pt>
                <c:pt idx="50">
                  <c:v>1.0151063291024833</c:v>
                </c:pt>
                <c:pt idx="51">
                  <c:v>1.0053192612379103</c:v>
                </c:pt>
                <c:pt idx="52">
                  <c:v>0.99561275851241915</c:v>
                </c:pt>
                <c:pt idx="53">
                  <c:v>0.98599541305079352</c:v>
                </c:pt>
                <c:pt idx="54">
                  <c:v>0.97647498308887715</c:v>
                </c:pt>
                <c:pt idx="55">
                  <c:v>0.96705844847613842</c:v>
                </c:pt>
                <c:pt idx="56">
                  <c:v>0.95775206348505026</c:v>
                </c:pt>
                <c:pt idx="57">
                  <c:v>0.94856140695759228</c:v>
                </c:pt>
                <c:pt idx="58">
                  <c:v>0.93949142983487033</c:v>
                </c:pt>
                <c:pt idx="59">
                  <c:v>0.93054650012863493</c:v>
                </c:pt>
                <c:pt idx="60">
                  <c:v>0.92173044540372495</c:v>
                </c:pt>
                <c:pt idx="61">
                  <c:v>0.91304659284848921</c:v>
                </c:pt>
                <c:pt idx="62">
                  <c:v>0.90449780701634086</c:v>
                </c:pt>
                <c:pt idx="63">
                  <c:v>0.8960865253260456</c:v>
                </c:pt>
                <c:pt idx="64">
                  <c:v>0.88781479141136155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5410304"/>
        <c:axId val="125416192"/>
      </c:lineChart>
      <c:catAx>
        <c:axId val="125410304"/>
        <c:scaling>
          <c:orientation val="minMax"/>
        </c:scaling>
        <c:delete val="0"/>
        <c:axPos val="b"/>
        <c:majorTickMark val="out"/>
        <c:minorTickMark val="none"/>
        <c:tickLblPos val="nextTo"/>
        <c:crossAx val="125416192"/>
        <c:crosses val="autoZero"/>
        <c:auto val="1"/>
        <c:lblAlgn val="ctr"/>
        <c:lblOffset val="100"/>
        <c:noMultiLvlLbl val="0"/>
      </c:catAx>
      <c:valAx>
        <c:axId val="125416192"/>
        <c:scaling>
          <c:orientation val="minMax"/>
        </c:scaling>
        <c:delete val="0"/>
        <c:axPos val="l"/>
        <c:majorGridlines/>
        <c:numFmt formatCode="_(* #,##0.00_);_(* \(#,##0.00\);_(* &quot;-&quot;??_);_(@_)" sourceLinked="1"/>
        <c:majorTickMark val="out"/>
        <c:minorTickMark val="none"/>
        <c:tickLblPos val="nextTo"/>
        <c:crossAx val="12541030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val>
            <c:numRef>
              <c:f>Parameters!$B$155:$V$155</c:f>
              <c:numCache>
                <c:formatCode>#,##0.000000</c:formatCode>
                <c:ptCount val="21"/>
                <c:pt idx="0" formatCode="_(* #,##0.00_);_(* \(#,##0.00\);_(* &quot;-&quot;??_);_(@_)">
                  <c:v>0.48898252427184469</c:v>
                </c:pt>
                <c:pt idx="1">
                  <c:v>0.46513456515401325</c:v>
                </c:pt>
                <c:pt idx="2">
                  <c:v>0.44256008991679779</c:v>
                </c:pt>
                <c:pt idx="3">
                  <c:v>0.42118577521279577</c:v>
                </c:pt>
                <c:pt idx="4">
                  <c:v>0.40094280263881599</c:v>
                </c:pt>
                <c:pt idx="5">
                  <c:v>0.38176656563022343</c:v>
                </c:pt>
                <c:pt idx="6">
                  <c:v>0.36359639643184688</c:v>
                </c:pt>
                <c:pt idx="7">
                  <c:v>0.3463753117045314</c:v>
                </c:pt>
                <c:pt idx="8">
                  <c:v>0.33004977543436226</c:v>
                </c:pt>
                <c:pt idx="9">
                  <c:v>0.31456947791111545</c:v>
                </c:pt>
                <c:pt idx="10">
                  <c:v>0.29988712963428726</c:v>
                </c:pt>
                <c:pt idx="11">
                  <c:v>0.28595826908974353</c:v>
                </c:pt>
                <c:pt idx="12">
                  <c:v>0.27274108341817926</c:v>
                </c:pt>
                <c:pt idx="13">
                  <c:v>0.26019624106871514</c:v>
                </c:pt>
                <c:pt idx="14">
                  <c:v>0.24828673559755968</c:v>
                </c:pt>
                <c:pt idx="15">
                  <c:v>0.23697773983317538</c:v>
                </c:pt>
                <c:pt idx="16">
                  <c:v>0.22623646968620664</c:v>
                </c:pt>
                <c:pt idx="17">
                  <c:v>0.21603205693493088</c:v>
                </c:pt>
                <c:pt idx="18">
                  <c:v>0.20633543036551905</c:v>
                </c:pt>
                <c:pt idx="19">
                  <c:v>0.19711920469125327</c:v>
                </c:pt>
                <c:pt idx="20">
                  <c:v>0.18835757671633377</c:v>
                </c:pt>
              </c:numCache>
            </c:numRef>
          </c:val>
          <c:smooth val="0"/>
        </c:ser>
        <c:ser>
          <c:idx val="1"/>
          <c:order val="1"/>
          <c:tx>
            <c:v> </c:v>
          </c:tx>
          <c:val>
            <c:numRef>
              <c:f>Parameters!$B$172:$X$172</c:f>
              <c:numCache>
                <c:formatCode>0.00000</c:formatCode>
                <c:ptCount val="23"/>
                <c:pt idx="0" formatCode="_(* #,##0.00_);_(* \(#,##0.00\);_(* &quot;-&quot;??_);_(@_)">
                  <c:v>0.48898252427184469</c:v>
                </c:pt>
                <c:pt idx="1">
                  <c:v>0.45256567880838477</c:v>
                </c:pt>
                <c:pt idx="2">
                  <c:v>0.41993791008232162</c:v>
                </c:pt>
                <c:pt idx="3">
                  <c:v>0.39061515095476923</c:v>
                </c:pt>
                <c:pt idx="4">
                  <c:v>0.36418465627643143</c:v>
                </c:pt>
                <c:pt idx="5">
                  <c:v>0.34029324848699849</c:v>
                </c:pt>
                <c:pt idx="6">
                  <c:v>0.3186376883898871</c:v>
                </c:pt>
                <c:pt idx="7">
                  <c:v>0.29895675545382067</c:v>
                </c:pt>
                <c:pt idx="8">
                  <c:v>0.2810247090178668</c:v>
                </c:pt>
                <c:pt idx="9">
                  <c:v>0.26464586945371582</c:v>
                </c:pt>
                <c:pt idx="10">
                  <c:v>0.24965011120652594</c:v>
                </c:pt>
                <c:pt idx="11">
                  <c:v>0.235889101114684</c:v>
                </c:pt>
                <c:pt idx="12">
                  <c:v>0.2232331480906074</c:v>
                </c:pt>
                <c:pt idx="13">
                  <c:v>0.21156855610110192</c:v>
                </c:pt>
                <c:pt idx="14">
                  <c:v>0.20079539292408485</c:v>
                </c:pt>
                <c:pt idx="15">
                  <c:v>0.19082560353593864</c:v>
                </c:pt>
                <c:pt idx="16">
                  <c:v>0.18158141009268208</c:v>
                </c:pt>
                <c:pt idx="17">
                  <c:v>0.17299395099941328</c:v>
                </c:pt>
                <c:pt idx="18">
                  <c:v>0.16500212005318635</c:v>
                </c:pt>
                <c:pt idx="19">
                  <c:v>0.15755157351381516</c:v>
                </c:pt>
                <c:pt idx="20">
                  <c:v>0.15059387853347139</c:v>
                </c:pt>
                <c:pt idx="21">
                  <c:v>0.14408578091762977</c:v>
                </c:pt>
                <c:pt idx="22">
                  <c:v>0.13798857390075092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5433728"/>
        <c:axId val="125435264"/>
      </c:lineChart>
      <c:catAx>
        <c:axId val="125433728"/>
        <c:scaling>
          <c:orientation val="minMax"/>
        </c:scaling>
        <c:delete val="0"/>
        <c:axPos val="b"/>
        <c:majorTickMark val="out"/>
        <c:minorTickMark val="none"/>
        <c:tickLblPos val="nextTo"/>
        <c:crossAx val="125435264"/>
        <c:crosses val="autoZero"/>
        <c:auto val="1"/>
        <c:lblAlgn val="ctr"/>
        <c:lblOffset val="100"/>
        <c:noMultiLvlLbl val="0"/>
      </c:catAx>
      <c:valAx>
        <c:axId val="125435264"/>
        <c:scaling>
          <c:orientation val="minMax"/>
        </c:scaling>
        <c:delete val="0"/>
        <c:axPos val="l"/>
        <c:majorGridlines/>
        <c:numFmt formatCode="_(* #,##0.00_);_(* \(#,##0.00\);_(* &quot;-&quot;??_);_(@_)" sourceLinked="1"/>
        <c:majorTickMark val="out"/>
        <c:minorTickMark val="none"/>
        <c:tickLblPos val="nextTo"/>
        <c:crossAx val="12543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val>
            <c:numRef>
              <c:f>Parameters!$B$164:$AB$164</c:f>
              <c:numCache>
                <c:formatCode>_(* #,##0.000_);_(* \(#,##0.000\);_(* "-"??_);_(@_)</c:formatCode>
                <c:ptCount val="27"/>
                <c:pt idx="0" formatCode="_(* #,##0.00_);_(* \(#,##0.00\);_(* &quot;-&quot;??_);_(@_)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5911040"/>
        <c:axId val="125912576"/>
      </c:lineChart>
      <c:catAx>
        <c:axId val="125911040"/>
        <c:scaling>
          <c:orientation val="minMax"/>
        </c:scaling>
        <c:delete val="0"/>
        <c:axPos val="b"/>
        <c:majorTickMark val="out"/>
        <c:minorTickMark val="none"/>
        <c:tickLblPos val="nextTo"/>
        <c:crossAx val="125912576"/>
        <c:crosses val="autoZero"/>
        <c:auto val="1"/>
        <c:lblAlgn val="ctr"/>
        <c:lblOffset val="100"/>
        <c:noMultiLvlLbl val="0"/>
      </c:catAx>
      <c:valAx>
        <c:axId val="125912576"/>
        <c:scaling>
          <c:orientation val="minMax"/>
        </c:scaling>
        <c:delete val="0"/>
        <c:axPos val="l"/>
        <c:majorGridlines/>
        <c:numFmt formatCode="_(* #,##0.00_);_(* \(#,##0.00\);_(* &quot;-&quot;??_);_(@_)" sourceLinked="1"/>
        <c:majorTickMark val="out"/>
        <c:minorTickMark val="none"/>
        <c:tickLblPos val="nextTo"/>
        <c:crossAx val="12591104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Output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1401068842298327"/>
          <c:y val="2.6590499716947148E-2"/>
          <c:w val="0.85064794611520234"/>
          <c:h val="0.80675964524042365"/>
        </c:manualLayout>
      </c:layout>
      <c:lineChart>
        <c:grouping val="standard"/>
        <c:varyColors val="0"/>
        <c:ser>
          <c:idx val="0"/>
          <c:order val="0"/>
          <c:tx>
            <c:v>Y</c:v>
          </c:tx>
          <c:marker>
            <c:symbol val="circle"/>
            <c:size val="5"/>
            <c:spPr>
              <a:noFill/>
            </c:spPr>
          </c:marker>
          <c:cat>
            <c:numRef>
              <c:f>Base!$B$2:$T$2</c:f>
              <c:numCache>
                <c:formatCode>_(* #,##0.000_);_(* \(#,##0.000\);_(* "-"??_);_(@_)</c:formatCode>
                <c:ptCount val="19"/>
                <c:pt idx="0">
                  <c:v>2010</c:v>
                </c:pt>
                <c:pt idx="1">
                  <c:v>2015</c:v>
                </c:pt>
                <c:pt idx="2">
                  <c:v>2020</c:v>
                </c:pt>
                <c:pt idx="3">
                  <c:v>2025</c:v>
                </c:pt>
                <c:pt idx="4">
                  <c:v>2030</c:v>
                </c:pt>
                <c:pt idx="5">
                  <c:v>2035</c:v>
                </c:pt>
                <c:pt idx="6">
                  <c:v>2040</c:v>
                </c:pt>
                <c:pt idx="7">
                  <c:v>2045</c:v>
                </c:pt>
                <c:pt idx="8">
                  <c:v>2050</c:v>
                </c:pt>
                <c:pt idx="9">
                  <c:v>2055</c:v>
                </c:pt>
                <c:pt idx="10">
                  <c:v>2060</c:v>
                </c:pt>
                <c:pt idx="11">
                  <c:v>2065</c:v>
                </c:pt>
                <c:pt idx="12">
                  <c:v>2070</c:v>
                </c:pt>
                <c:pt idx="13">
                  <c:v>2075</c:v>
                </c:pt>
                <c:pt idx="14">
                  <c:v>2080</c:v>
                </c:pt>
                <c:pt idx="15">
                  <c:v>2085</c:v>
                </c:pt>
                <c:pt idx="16">
                  <c:v>2090</c:v>
                </c:pt>
                <c:pt idx="17">
                  <c:v>2095</c:v>
                </c:pt>
                <c:pt idx="18">
                  <c:v>2100</c:v>
                </c:pt>
              </c:numCache>
            </c:numRef>
          </c:cat>
          <c:val>
            <c:numRef>
              <c:f>Base!$B$110:$T$110</c:f>
              <c:numCache>
                <c:formatCode>_(* #,##0.000_);_(* \(#,##0.000\);_(* "-"??_);_(@_)</c:formatCode>
                <c:ptCount val="19"/>
                <c:pt idx="0">
                  <c:v>63.425151769215496</c:v>
                </c:pt>
                <c:pt idx="1">
                  <c:v>75.630039981995481</c:v>
                </c:pt>
                <c:pt idx="2">
                  <c:v>89.262167430638755</c:v>
                </c:pt>
                <c:pt idx="3">
                  <c:v>104.32664708194791</c:v>
                </c:pt>
                <c:pt idx="4">
                  <c:v>120.82422281630325</c:v>
                </c:pt>
                <c:pt idx="5">
                  <c:v>138.75080410290255</c:v>
                </c:pt>
                <c:pt idx="6">
                  <c:v>158.0971162374164</c:v>
                </c:pt>
                <c:pt idx="7">
                  <c:v>178.84845330761735</c:v>
                </c:pt>
                <c:pt idx="8">
                  <c:v>200.98451506586414</c:v>
                </c:pt>
                <c:pt idx="9">
                  <c:v>224.47938107207221</c:v>
                </c:pt>
                <c:pt idx="10">
                  <c:v>249.30165162587818</c:v>
                </c:pt>
                <c:pt idx="11">
                  <c:v>275.41476457583889</c:v>
                </c:pt>
                <c:pt idx="12">
                  <c:v>302.77745209996988</c:v>
                </c:pt>
                <c:pt idx="13">
                  <c:v>331.344295598239</c:v>
                </c:pt>
                <c:pt idx="14">
                  <c:v>361.06628750753072</c:v>
                </c:pt>
                <c:pt idx="15">
                  <c:v>391.89138444049888</c:v>
                </c:pt>
                <c:pt idx="16">
                  <c:v>423.76496789291923</c:v>
                </c:pt>
                <c:pt idx="17">
                  <c:v>456.6301724523189</c:v>
                </c:pt>
                <c:pt idx="18">
                  <c:v>490.4279188897487</c:v>
                </c:pt>
              </c:numCache>
            </c:numRef>
          </c:val>
          <c:smooth val="0"/>
        </c:ser>
        <c:ser>
          <c:idx val="1"/>
          <c:order val="1"/>
          <c:tx>
            <c:v>Lim2t</c:v>
          </c:tx>
          <c:val>
            <c:numRef>
              <c:f>Limt2!$B$111:$T$111</c:f>
              <c:numCache>
                <c:formatCode>_(* #,##0.0000_);_(* \(#,##0.0000\);_(* "-"??_);_(@_)</c:formatCode>
                <c:ptCount val="19"/>
                <c:pt idx="0">
                  <c:v>63.425151769215496</c:v>
                </c:pt>
                <c:pt idx="1">
                  <c:v>75.493096787704957</c:v>
                </c:pt>
                <c:pt idx="2">
                  <c:v>89.024910668425349</c:v>
                </c:pt>
                <c:pt idx="3">
                  <c:v>103.92852742555991</c:v>
                </c:pt>
                <c:pt idx="4">
                  <c:v>120.17555786974691</c:v>
                </c:pt>
                <c:pt idx="5">
                  <c:v>137.71986381929366</c:v>
                </c:pt>
                <c:pt idx="6">
                  <c:v>156.49274698911944</c:v>
                </c:pt>
                <c:pt idx="7">
                  <c:v>176.39739643931111</c:v>
                </c:pt>
                <c:pt idx="8">
                  <c:v>197.30154207658788</c:v>
                </c:pt>
                <c:pt idx="9">
                  <c:v>219.02600250970775</c:v>
                </c:pt>
                <c:pt idx="10">
                  <c:v>242.98130139595713</c:v>
                </c:pt>
                <c:pt idx="11">
                  <c:v>269.39340418300577</c:v>
                </c:pt>
                <c:pt idx="12">
                  <c:v>297.56434184282364</c:v>
                </c:pt>
                <c:pt idx="13">
                  <c:v>327.47216968164696</c:v>
                </c:pt>
                <c:pt idx="14">
                  <c:v>359.09698629063661</c:v>
                </c:pt>
                <c:pt idx="15">
                  <c:v>392.41887827822666</c:v>
                </c:pt>
                <c:pt idx="16">
                  <c:v>427.41556105004793</c:v>
                </c:pt>
                <c:pt idx="17">
                  <c:v>464.05914542905361</c:v>
                </c:pt>
                <c:pt idx="18">
                  <c:v>502.31081071327105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7998592"/>
        <c:axId val="128000384"/>
      </c:lineChart>
      <c:catAx>
        <c:axId val="127998592"/>
        <c:scaling>
          <c:orientation val="minMax"/>
        </c:scaling>
        <c:delete val="0"/>
        <c:axPos val="b"/>
        <c:numFmt formatCode="#,##0" sourceLinked="0"/>
        <c:majorTickMark val="out"/>
        <c:minorTickMark val="none"/>
        <c:tickLblPos val="nextTo"/>
        <c:crossAx val="128000384"/>
        <c:crosses val="autoZero"/>
        <c:auto val="1"/>
        <c:lblAlgn val="ctr"/>
        <c:lblOffset val="100"/>
        <c:tickLblSkip val="2"/>
        <c:noMultiLvlLbl val="0"/>
      </c:catAx>
      <c:valAx>
        <c:axId val="128000384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" sourceLinked="0"/>
        <c:majorTickMark val="out"/>
        <c:minorTickMark val="none"/>
        <c:tickLblPos val="nextTo"/>
        <c:crossAx val="12799859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Temperature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0.11401077942256292"/>
          <c:y val="2.6590471252256304E-2"/>
          <c:w val="0.85064794611520334"/>
          <c:h val="0.80675964524042365"/>
        </c:manualLayout>
      </c:layout>
      <c:lineChart>
        <c:grouping val="standard"/>
        <c:varyColors val="0"/>
        <c:ser>
          <c:idx val="0"/>
          <c:order val="0"/>
          <c:tx>
            <c:v>Base</c:v>
          </c:tx>
          <c:marker>
            <c:symbol val="circle"/>
            <c:size val="5"/>
            <c:spPr>
              <a:noFill/>
            </c:spPr>
          </c:marker>
          <c:cat>
            <c:numRef>
              <c:f>Base!$B$2:$BN$2</c:f>
              <c:numCache>
                <c:formatCode>_(* #,##0.000_);_(* \(#,##0.000\);_(* "-"??_);_(@_)</c:formatCode>
                <c:ptCount val="65"/>
                <c:pt idx="0">
                  <c:v>2010</c:v>
                </c:pt>
                <c:pt idx="1">
                  <c:v>2015</c:v>
                </c:pt>
                <c:pt idx="2">
                  <c:v>2020</c:v>
                </c:pt>
                <c:pt idx="3">
                  <c:v>2025</c:v>
                </c:pt>
                <c:pt idx="4">
                  <c:v>2030</c:v>
                </c:pt>
                <c:pt idx="5">
                  <c:v>2035</c:v>
                </c:pt>
                <c:pt idx="6">
                  <c:v>2040</c:v>
                </c:pt>
                <c:pt idx="7">
                  <c:v>2045</c:v>
                </c:pt>
                <c:pt idx="8">
                  <c:v>2050</c:v>
                </c:pt>
                <c:pt idx="9">
                  <c:v>2055</c:v>
                </c:pt>
                <c:pt idx="10">
                  <c:v>2060</c:v>
                </c:pt>
                <c:pt idx="11">
                  <c:v>2065</c:v>
                </c:pt>
                <c:pt idx="12">
                  <c:v>2070</c:v>
                </c:pt>
                <c:pt idx="13">
                  <c:v>2075</c:v>
                </c:pt>
                <c:pt idx="14">
                  <c:v>2080</c:v>
                </c:pt>
                <c:pt idx="15">
                  <c:v>2085</c:v>
                </c:pt>
                <c:pt idx="16">
                  <c:v>2090</c:v>
                </c:pt>
                <c:pt idx="17">
                  <c:v>2095</c:v>
                </c:pt>
                <c:pt idx="18">
                  <c:v>2100</c:v>
                </c:pt>
                <c:pt idx="19">
                  <c:v>2105</c:v>
                </c:pt>
                <c:pt idx="20">
                  <c:v>2110</c:v>
                </c:pt>
                <c:pt idx="21">
                  <c:v>2115</c:v>
                </c:pt>
                <c:pt idx="22">
                  <c:v>2120</c:v>
                </c:pt>
                <c:pt idx="23">
                  <c:v>2125</c:v>
                </c:pt>
                <c:pt idx="24">
                  <c:v>2130</c:v>
                </c:pt>
                <c:pt idx="25">
                  <c:v>2135</c:v>
                </c:pt>
                <c:pt idx="26">
                  <c:v>2140</c:v>
                </c:pt>
                <c:pt idx="27">
                  <c:v>2145</c:v>
                </c:pt>
                <c:pt idx="28">
                  <c:v>2150</c:v>
                </c:pt>
                <c:pt idx="29">
                  <c:v>2155</c:v>
                </c:pt>
                <c:pt idx="30">
                  <c:v>2160</c:v>
                </c:pt>
                <c:pt idx="31">
                  <c:v>2165</c:v>
                </c:pt>
                <c:pt idx="32">
                  <c:v>2170</c:v>
                </c:pt>
                <c:pt idx="33">
                  <c:v>2175</c:v>
                </c:pt>
                <c:pt idx="34">
                  <c:v>2180</c:v>
                </c:pt>
                <c:pt idx="35">
                  <c:v>2185</c:v>
                </c:pt>
                <c:pt idx="36">
                  <c:v>2190</c:v>
                </c:pt>
                <c:pt idx="37">
                  <c:v>2195</c:v>
                </c:pt>
                <c:pt idx="38">
                  <c:v>2200</c:v>
                </c:pt>
                <c:pt idx="39">
                  <c:v>2205</c:v>
                </c:pt>
                <c:pt idx="40">
                  <c:v>2210</c:v>
                </c:pt>
                <c:pt idx="41">
                  <c:v>2215</c:v>
                </c:pt>
                <c:pt idx="42">
                  <c:v>2220</c:v>
                </c:pt>
                <c:pt idx="43">
                  <c:v>2225</c:v>
                </c:pt>
                <c:pt idx="44">
                  <c:v>2230</c:v>
                </c:pt>
                <c:pt idx="45">
                  <c:v>2235</c:v>
                </c:pt>
                <c:pt idx="46">
                  <c:v>2240</c:v>
                </c:pt>
                <c:pt idx="47">
                  <c:v>2245</c:v>
                </c:pt>
                <c:pt idx="48">
                  <c:v>2250</c:v>
                </c:pt>
                <c:pt idx="49">
                  <c:v>2255</c:v>
                </c:pt>
                <c:pt idx="50">
                  <c:v>2260</c:v>
                </c:pt>
                <c:pt idx="51">
                  <c:v>2265</c:v>
                </c:pt>
                <c:pt idx="52">
                  <c:v>2270</c:v>
                </c:pt>
                <c:pt idx="53">
                  <c:v>2275</c:v>
                </c:pt>
                <c:pt idx="54">
                  <c:v>2280</c:v>
                </c:pt>
                <c:pt idx="55">
                  <c:v>2285</c:v>
                </c:pt>
                <c:pt idx="56">
                  <c:v>2290</c:v>
                </c:pt>
                <c:pt idx="57">
                  <c:v>2295</c:v>
                </c:pt>
                <c:pt idx="58">
                  <c:v>2300</c:v>
                </c:pt>
                <c:pt idx="59">
                  <c:v>2305</c:v>
                </c:pt>
              </c:numCache>
            </c:numRef>
          </c:cat>
          <c:val>
            <c:numRef>
              <c:f>Base!$C$99:$BH$99</c:f>
              <c:numCache>
                <c:formatCode>_(* #,##0.000_);_(* \(#,##0.000\);_(* "-"??_);_(@_)</c:formatCode>
                <c:ptCount val="58"/>
                <c:pt idx="0">
                  <c:v>0.93327295505360208</c:v>
                </c:pt>
                <c:pt idx="1">
                  <c:v>1.0477776225109487</c:v>
                </c:pt>
                <c:pt idx="2">
                  <c:v>1.173124030372938</c:v>
                </c:pt>
                <c:pt idx="3">
                  <c:v>1.3088265946692494</c:v>
                </c:pt>
                <c:pt idx="4">
                  <c:v>1.4542852611489643</c:v>
                </c:pt>
                <c:pt idx="5">
                  <c:v>1.6087865507060528</c:v>
                </c:pt>
                <c:pt idx="6">
                  <c:v>1.7715173892165228</c:v>
                </c:pt>
                <c:pt idx="7">
                  <c:v>1.9415861416265117</c:v>
                </c:pt>
                <c:pt idx="8">
                  <c:v>2.1180466793333728</c:v>
                </c:pt>
                <c:pt idx="9">
                  <c:v>2.2999225551644908</c:v>
                </c:pt>
                <c:pt idx="10">
                  <c:v>2.4862293921277097</c:v>
                </c:pt>
                <c:pt idx="11">
                  <c:v>2.6759943972373992</c:v>
                </c:pt>
                <c:pt idx="12">
                  <c:v>2.8682724999759777</c:v>
                </c:pt>
                <c:pt idx="13">
                  <c:v>3.0621590208313898</c:v>
                </c:pt>
                <c:pt idx="14">
                  <c:v>3.2567990311048653</c:v>
                </c:pt>
                <c:pt idx="15">
                  <c:v>3.4513937197337237</c:v>
                </c:pt>
                <c:pt idx="16">
                  <c:v>3.6452041549499774</c:v>
                </c:pt>
                <c:pt idx="17">
                  <c:v>3.8375528504260656</c:v>
                </c:pt>
                <c:pt idx="18">
                  <c:v>4.024287524260636</c:v>
                </c:pt>
                <c:pt idx="19">
                  <c:v>4.2053204477876092</c:v>
                </c:pt>
                <c:pt idx="20">
                  <c:v>4.3805587667401493</c:v>
                </c:pt>
                <c:pt idx="21">
                  <c:v>4.5499100690722534</c:v>
                </c:pt>
                <c:pt idx="22">
                  <c:v>4.7132859903155415</c:v>
                </c:pt>
                <c:pt idx="23">
                  <c:v>4.8706043542412756</c:v>
                </c:pt>
                <c:pt idx="24">
                  <c:v>5.0217902170064619</c:v>
                </c:pt>
                <c:pt idx="25">
                  <c:v>5.166776086925533</c:v>
                </c:pt>
                <c:pt idx="26">
                  <c:v>5.3055015268572836</c:v>
                </c:pt>
                <c:pt idx="27">
                  <c:v>5.4379122942059679</c:v>
                </c:pt>
                <c:pt idx="28">
                  <c:v>5.5639591370888501</c:v>
                </c:pt>
                <c:pt idx="29">
                  <c:v>5.6835963355696268</c:v>
                </c:pt>
                <c:pt idx="30">
                  <c:v>5.7967729607918237</c:v>
                </c:pt>
                <c:pt idx="31">
                  <c:v>5.9034398071405416</c:v>
                </c:pt>
                <c:pt idx="32">
                  <c:v>6.0035466149732803</c:v>
                </c:pt>
                <c:pt idx="33">
                  <c:v>6.0970394516889828</c:v>
                </c:pt>
                <c:pt idx="34">
                  <c:v>6.1838581556099896</c:v>
                </c:pt>
                <c:pt idx="35">
                  <c:v>6.2639337688997649</c:v>
                </c:pt>
                <c:pt idx="36">
                  <c:v>6.3371858967807206</c:v>
                </c:pt>
                <c:pt idx="37">
                  <c:v>6.4035199348596681</c:v>
                </c:pt>
                <c:pt idx="38">
                  <c:v>6.462824104409755</c:v>
                </c:pt>
                <c:pt idx="39">
                  <c:v>6.5149662301538696</c:v>
                </c:pt>
                <c:pt idx="40">
                  <c:v>6.5597901797503821</c:v>
                </c:pt>
                <c:pt idx="41">
                  <c:v>6.5971118598401182</c:v>
                </c:pt>
                <c:pt idx="42">
                  <c:v>6.6267146123641734</c:v>
                </c:pt>
                <c:pt idx="43">
                  <c:v>6.6483437555627152</c:v>
                </c:pt>
                <c:pt idx="44">
                  <c:v>6.6616998089271897</c:v>
                </c:pt>
                <c:pt idx="45">
                  <c:v>6.6612677666982041</c:v>
                </c:pt>
                <c:pt idx="46">
                  <c:v>6.6501723279147491</c:v>
                </c:pt>
                <c:pt idx="47">
                  <c:v>6.6310000452002811</c:v>
                </c:pt>
                <c:pt idx="48">
                  <c:v>6.6058781236681465</c:v>
                </c:pt>
                <c:pt idx="49">
                  <c:v>6.5765432849619305</c:v>
                </c:pt>
                <c:pt idx="50">
                  <c:v>6.544401745247681</c:v>
                </c:pt>
                <c:pt idx="51">
                  <c:v>6.5105812627841724</c:v>
                </c:pt>
                <c:pt idx="52">
                  <c:v>6.4759761294041223</c:v>
                </c:pt>
                <c:pt idx="53">
                  <c:v>6.4412859066511601</c:v>
                </c:pt>
                <c:pt idx="54">
                  <c:v>6.4070486388273933</c:v>
                </c:pt>
                <c:pt idx="55">
                  <c:v>6.3736692103742714</c:v>
                </c:pt>
                <c:pt idx="56">
                  <c:v>6.3414434531915331</c:v>
                </c:pt>
                <c:pt idx="57">
                  <c:v>6.3105785505475156</c:v>
                </c:pt>
              </c:numCache>
            </c:numRef>
          </c:val>
          <c:smooth val="0"/>
        </c:ser>
        <c:ser>
          <c:idx val="1"/>
          <c:order val="1"/>
          <c:tx>
            <c:v>Optimal tax</c:v>
          </c:tx>
          <c:marker>
            <c:symbol val="square"/>
            <c:size val="5"/>
            <c:spPr>
              <a:solidFill>
                <a:schemeClr val="accent6">
                  <a:lumMod val="20000"/>
                  <a:lumOff val="80000"/>
                </a:schemeClr>
              </a:solidFill>
            </c:spPr>
          </c:marker>
          <c:val>
            <c:numRef>
              <c:f>Opttax!$C$100:$BH$100</c:f>
              <c:numCache>
                <c:formatCode>_(* #,##0.0000_);_(* \(#,##0.0000\);_(* "-"??_);_(@_)</c:formatCode>
                <c:ptCount val="58"/>
                <c:pt idx="0">
                  <c:v>0.93327295505360208</c:v>
                </c:pt>
                <c:pt idx="1">
                  <c:v>1.0426471846351559</c:v>
                </c:pt>
                <c:pt idx="2">
                  <c:v>1.1578479687482126</c:v>
                </c:pt>
                <c:pt idx="3">
                  <c:v>1.2784053200011294</c:v>
                </c:pt>
                <c:pt idx="4">
                  <c:v>1.4036608444112624</c:v>
                </c:pt>
                <c:pt idx="5">
                  <c:v>1.532788579744333</c:v>
                </c:pt>
                <c:pt idx="6">
                  <c:v>1.6648233460391022</c:v>
                </c:pt>
                <c:pt idx="7">
                  <c:v>1.7986917356557233</c:v>
                </c:pt>
                <c:pt idx="8">
                  <c:v>1.9332422985587283</c:v>
                </c:pt>
                <c:pt idx="9">
                  <c:v>2.067272673057365</c:v>
                </c:pt>
                <c:pt idx="10">
                  <c:v>2.1995523473465695</c:v>
                </c:pt>
                <c:pt idx="11">
                  <c:v>2.3288404214039948</c:v>
                </c:pt>
                <c:pt idx="12">
                  <c:v>2.45389820146357</c:v>
                </c:pt>
                <c:pt idx="13">
                  <c:v>2.5734967385796033</c:v>
                </c:pt>
                <c:pt idx="14">
                  <c:v>2.6864195566902218</c:v>
                </c:pt>
                <c:pt idx="15">
                  <c:v>2.7914608356820816</c:v>
                </c:pt>
                <c:pt idx="16">
                  <c:v>2.8874192423663572</c:v>
                </c:pt>
                <c:pt idx="17">
                  <c:v>2.9730874437873451</c:v>
                </c:pt>
                <c:pt idx="18">
                  <c:v>3.0437010797209458</c:v>
                </c:pt>
                <c:pt idx="19">
                  <c:v>3.0984585032164342</c:v>
                </c:pt>
                <c:pt idx="20">
                  <c:v>3.1364283136310118</c:v>
                </c:pt>
                <c:pt idx="21">
                  <c:v>3.1588474716510251</c:v>
                </c:pt>
                <c:pt idx="22">
                  <c:v>3.1689543805294922</c:v>
                </c:pt>
                <c:pt idx="23">
                  <c:v>3.1694404157755893</c:v>
                </c:pt>
                <c:pt idx="24">
                  <c:v>3.1625307147773296</c:v>
                </c:pt>
                <c:pt idx="25">
                  <c:v>3.1500544488041418</c:v>
                </c:pt>
                <c:pt idx="26">
                  <c:v>3.1335057546522291</c:v>
                </c:pt>
                <c:pt idx="27">
                  <c:v>3.1140963927092207</c:v>
                </c:pt>
                <c:pt idx="28">
                  <c:v>3.0928010990304289</c:v>
                </c:pt>
                <c:pt idx="29">
                  <c:v>3.0703965081261249</c:v>
                </c:pt>
                <c:pt idx="30">
                  <c:v>3.047494438762254</c:v>
                </c:pt>
                <c:pt idx="31">
                  <c:v>3.0245702562138952</c:v>
                </c:pt>
                <c:pt idx="32">
                  <c:v>3.0019869506452799</c:v>
                </c:pt>
                <c:pt idx="33">
                  <c:v>2.9800155024811907</c:v>
                </c:pt>
                <c:pt idx="34">
                  <c:v>2.9588520417750033</c:v>
                </c:pt>
                <c:pt idx="35">
                  <c:v>2.9386322496916324</c:v>
                </c:pt>
                <c:pt idx="36">
                  <c:v>2.9194433963023729</c:v>
                </c:pt>
                <c:pt idx="37">
                  <c:v>2.90133435986729</c:v>
                </c:pt>
                <c:pt idx="38">
                  <c:v>2.8843239285264692</c:v>
                </c:pt>
                <c:pt idx="39">
                  <c:v>2.8684076456382632</c:v>
                </c:pt>
                <c:pt idx="40">
                  <c:v>2.8535634246432018</c:v>
                </c:pt>
                <c:pt idx="41">
                  <c:v>2.8397561280109147</c:v>
                </c:pt>
                <c:pt idx="42">
                  <c:v>2.8269412772348717</c:v>
                </c:pt>
                <c:pt idx="43">
                  <c:v>2.8150680366550693</c:v>
                </c:pt>
                <c:pt idx="44">
                  <c:v>2.8040815927905363</c:v>
                </c:pt>
                <c:pt idx="45">
                  <c:v>2.7939250325377816</c:v>
                </c:pt>
                <c:pt idx="46">
                  <c:v>2.784540807738165</c:v>
                </c:pt>
                <c:pt idx="47">
                  <c:v>2.7758718599548442</c:v>
                </c:pt>
                <c:pt idx="48">
                  <c:v>2.7678624675675678</c:v>
                </c:pt>
                <c:pt idx="49">
                  <c:v>2.7604588672523875</c:v>
                </c:pt>
                <c:pt idx="50">
                  <c:v>2.7536096933472032</c:v>
                </c:pt>
                <c:pt idx="51">
                  <c:v>2.747266271318813</c:v>
                </c:pt>
                <c:pt idx="52">
                  <c:v>2.7413827953699066</c:v>
                </c:pt>
                <c:pt idx="53">
                  <c:v>2.735916415002142</c:v>
                </c:pt>
                <c:pt idx="54">
                  <c:v>2.7308272509494023</c:v>
                </c:pt>
                <c:pt idx="55">
                  <c:v>2.7260783571956302</c:v>
                </c:pt>
                <c:pt idx="56">
                  <c:v>2.7216356426914903</c:v>
                </c:pt>
                <c:pt idx="57">
                  <c:v>2.7263036656072313</c:v>
                </c:pt>
              </c:numCache>
            </c:numRef>
          </c:val>
          <c:smooth val="0"/>
        </c:ser>
        <c:ser>
          <c:idx val="2"/>
          <c:order val="2"/>
          <c:tx>
            <c:v>Limit t = 2</c:v>
          </c:tx>
          <c:marker>
            <c:spPr>
              <a:noFill/>
            </c:spPr>
          </c:marker>
          <c:val>
            <c:numRef>
              <c:f>Limt2!$B$100:$BH$100</c:f>
              <c:numCache>
                <c:formatCode>_(* #,##0.0000_);_(* \(#,##0.0000\);_(* "-"??_);_(@_)</c:formatCode>
                <c:ptCount val="59"/>
                <c:pt idx="0">
                  <c:v>0.83</c:v>
                </c:pt>
                <c:pt idx="1">
                  <c:v>0.93327295505360208</c:v>
                </c:pt>
                <c:pt idx="2">
                  <c:v>1.0387189886324566</c:v>
                </c:pt>
                <c:pt idx="3">
                  <c:v>1.1457482800287877</c:v>
                </c:pt>
                <c:pt idx="4">
                  <c:v>1.2533617782998827</c:v>
                </c:pt>
                <c:pt idx="5">
                  <c:v>1.3601388124544229</c:v>
                </c:pt>
                <c:pt idx="6">
                  <c:v>1.4642296741210414</c:v>
                </c:pt>
                <c:pt idx="7">
                  <c:v>1.5633438393134449</c:v>
                </c:pt>
                <c:pt idx="8">
                  <c:v>1.6547233481252352</c:v>
                </c:pt>
                <c:pt idx="9">
                  <c:v>1.7350862726649421</c:v>
                </c:pt>
                <c:pt idx="10">
                  <c:v>1.8005127899526534</c:v>
                </c:pt>
                <c:pt idx="11">
                  <c:v>1.8512217209828543</c:v>
                </c:pt>
                <c:pt idx="12">
                  <c:v>1.890236287339442</c:v>
                </c:pt>
                <c:pt idx="13">
                  <c:v>1.9200731701488229</c:v>
                </c:pt>
                <c:pt idx="14">
                  <c:v>1.9428169588126818</c:v>
                </c:pt>
                <c:pt idx="15">
                  <c:v>1.9601849279419679</c:v>
                </c:pt>
                <c:pt idx="16">
                  <c:v>1.9735832267160129</c:v>
                </c:pt>
                <c:pt idx="17">
                  <c:v>1.9841554626337836</c:v>
                </c:pt>
                <c:pt idx="18">
                  <c:v>1.9928245696357241</c:v>
                </c:pt>
                <c:pt idx="19">
                  <c:v>1.9967927662773899</c:v>
                </c:pt>
                <c:pt idx="20">
                  <c:v>1.9971133889490218</c:v>
                </c:pt>
                <c:pt idx="21">
                  <c:v>1.9971572589464095</c:v>
                </c:pt>
                <c:pt idx="22">
                  <c:v>1.9972003764331847</c:v>
                </c:pt>
                <c:pt idx="23">
                  <c:v>1.9970212846088709</c:v>
                </c:pt>
                <c:pt idx="24">
                  <c:v>1.9944591024360292</c:v>
                </c:pt>
                <c:pt idx="25">
                  <c:v>1.9901220608261225</c:v>
                </c:pt>
                <c:pt idx="26">
                  <c:v>1.9845017123178366</c:v>
                </c:pt>
                <c:pt idx="27">
                  <c:v>1.977992567844798</c:v>
                </c:pt>
                <c:pt idx="28">
                  <c:v>1.9709087012923685</c:v>
                </c:pt>
                <c:pt idx="29">
                  <c:v>1.9634977555973097</c:v>
                </c:pt>
                <c:pt idx="30">
                  <c:v>1.9559527274568103</c:v>
                </c:pt>
                <c:pt idx="31">
                  <c:v>1.9484218574717385</c:v>
                </c:pt>
                <c:pt idx="32">
                  <c:v>1.9410169082052158</c:v>
                </c:pt>
                <c:pt idx="33">
                  <c:v>1.9338200736544831</c:v>
                </c:pt>
                <c:pt idx="34">
                  <c:v>1.9268897294918883</c:v>
                </c:pt>
                <c:pt idx="35">
                  <c:v>1.9202652036337149</c:v>
                </c:pt>
                <c:pt idx="36">
                  <c:v>1.9139707207761909</c:v>
                </c:pt>
                <c:pt idx="37">
                  <c:v>1.9080186520611664</c:v>
                </c:pt>
                <c:pt idx="38">
                  <c:v>1.9024121815985608</c:v>
                </c:pt>
                <c:pt idx="39">
                  <c:v>1.8971474848125185</c:v>
                </c:pt>
                <c:pt idx="40">
                  <c:v>1.892215499161723</c:v>
                </c:pt>
                <c:pt idx="41">
                  <c:v>1.8876033554134151</c:v>
                </c:pt>
                <c:pt idx="42">
                  <c:v>1.8832955270591647</c:v>
                </c:pt>
                <c:pt idx="43">
                  <c:v>1.879274746412041</c:v>
                </c:pt>
                <c:pt idx="44">
                  <c:v>1.875522728210723</c:v>
                </c:pt>
                <c:pt idx="45">
                  <c:v>1.8720207349927653</c:v>
                </c:pt>
                <c:pt idx="46">
                  <c:v>1.8687500129259054</c:v>
                </c:pt>
                <c:pt idx="47">
                  <c:v>1.8656921220627776</c:v>
                </c:pt>
                <c:pt idx="48">
                  <c:v>1.8628291809887088</c:v>
                </c:pt>
                <c:pt idx="49">
                  <c:v>1.8601440424587261</c:v>
                </c:pt>
                <c:pt idx="50">
                  <c:v>1.8576204137771029</c:v>
                </c:pt>
                <c:pt idx="51">
                  <c:v>1.8552429332819136</c:v>
                </c:pt>
                <c:pt idx="52">
                  <c:v>1.8529972122903404</c:v>
                </c:pt>
                <c:pt idx="53">
                  <c:v>1.8508698501796828</c:v>
                </c:pt>
                <c:pt idx="54">
                  <c:v>1.8488484288742912</c:v>
                </c:pt>
                <c:pt idx="55">
                  <c:v>1.8469214918373329</c:v>
                </c:pt>
                <c:pt idx="56">
                  <c:v>1.8450785116920096</c:v>
                </c:pt>
                <c:pt idx="57">
                  <c:v>1.8433098497885576</c:v>
                </c:pt>
                <c:pt idx="58">
                  <c:v>1.8621739819361063</c:v>
                </c:pt>
              </c:numCache>
            </c:numRef>
          </c:val>
          <c:smooth val="0"/>
        </c:ser>
        <c:ser>
          <c:idx val="3"/>
          <c:order val="3"/>
          <c:tx>
            <c:v>Copenhagen:Rich</c:v>
          </c:tx>
          <c:val>
            <c:numRef>
              <c:f>stern!$C$100:$BH$100</c:f>
              <c:numCache>
                <c:formatCode>_(* #,##0.0000_);_(* \(#,##0.0000\);_(* "-"??_);_(@_)</c:formatCode>
                <c:ptCount val="58"/>
                <c:pt idx="0">
                  <c:v>0.93470254320556811</c:v>
                </c:pt>
                <c:pt idx="1">
                  <c:v>1.0342318168430051</c:v>
                </c:pt>
                <c:pt idx="2">
                  <c:v>1.1288671312076459</c:v>
                </c:pt>
                <c:pt idx="3">
                  <c:v>1.2184407985285284</c:v>
                </c:pt>
                <c:pt idx="4">
                  <c:v>1.3023975371069516</c:v>
                </c:pt>
                <c:pt idx="5">
                  <c:v>1.3798389532788811</c:v>
                </c:pt>
                <c:pt idx="6">
                  <c:v>1.4495536833029128</c:v>
                </c:pt>
                <c:pt idx="7">
                  <c:v>1.510030402061934</c:v>
                </c:pt>
                <c:pt idx="8">
                  <c:v>1.5594473419918842</c:v>
                </c:pt>
                <c:pt idx="9">
                  <c:v>1.5983343442563094</c:v>
                </c:pt>
                <c:pt idx="10">
                  <c:v>1.628938633607772</c:v>
                </c:pt>
                <c:pt idx="11">
                  <c:v>1.6531231578708945</c:v>
                </c:pt>
                <c:pt idx="12">
                  <c:v>1.672424075327676</c:v>
                </c:pt>
                <c:pt idx="13">
                  <c:v>1.6881006253411561</c:v>
                </c:pt>
                <c:pt idx="14">
                  <c:v>1.7011782535078024</c:v>
                </c:pt>
                <c:pt idx="15">
                  <c:v>1.712485781468577</c:v>
                </c:pt>
                <c:pt idx="16">
                  <c:v>1.7226873366888689</c:v>
                </c:pt>
                <c:pt idx="17">
                  <c:v>1.7323096879200919</c:v>
                </c:pt>
                <c:pt idx="18">
                  <c:v>1.7382295670865548</c:v>
                </c:pt>
                <c:pt idx="19">
                  <c:v>1.7412345551994513</c:v>
                </c:pt>
                <c:pt idx="20">
                  <c:v>1.741971793204911</c:v>
                </c:pt>
                <c:pt idx="21">
                  <c:v>1.7409706513803456</c:v>
                </c:pt>
                <c:pt idx="22">
                  <c:v>1.7386620007618994</c:v>
                </c:pt>
                <c:pt idx="23">
                  <c:v>1.7353945606322039</c:v>
                </c:pt>
                <c:pt idx="24">
                  <c:v>1.7314487356215909</c:v>
                </c:pt>
                <c:pt idx="25">
                  <c:v>1.7270483022125609</c:v>
                </c:pt>
                <c:pt idx="26">
                  <c:v>1.7223702568235117</c:v>
                </c:pt>
                <c:pt idx="27">
                  <c:v>1.7175530956368761</c:v>
                </c:pt>
                <c:pt idx="28">
                  <c:v>1.7127037594021468</c:v>
                </c:pt>
                <c:pt idx="29">
                  <c:v>1.7079034440829817</c:v>
                </c:pt>
                <c:pt idx="30">
                  <c:v>1.7032124499546375</c:v>
                </c:pt>
                <c:pt idx="31">
                  <c:v>1.6986742171491764</c:v>
                </c:pt>
                <c:pt idx="32">
                  <c:v>1.6943186742797465</c:v>
                </c:pt>
                <c:pt idx="33">
                  <c:v>1.6901650082740698</c:v>
                </c:pt>
                <c:pt idx="34">
                  <c:v>1.6862239475671392</c:v>
                </c:pt>
                <c:pt idx="35">
                  <c:v>1.682499637033134</c:v>
                </c:pt>
                <c:pt idx="36">
                  <c:v>1.6789911711975434</c:v>
                </c:pt>
                <c:pt idx="37">
                  <c:v>1.6756938421132086</c:v>
                </c:pt>
                <c:pt idx="38">
                  <c:v>1.6726001495871361</c:v>
                </c:pt>
                <c:pt idx="39">
                  <c:v>1.669700614012938</c:v>
                </c:pt>
                <c:pt idx="40">
                  <c:v>1.6669844257244713</c:v>
                </c:pt>
                <c:pt idx="41">
                  <c:v>1.6644399593888248</c:v>
                </c:pt>
                <c:pt idx="42">
                  <c:v>1.6620551773694237</c:v>
                </c:pt>
                <c:pt idx="43">
                  <c:v>1.6598179420979144</c:v>
                </c:pt>
                <c:pt idx="44">
                  <c:v>1.6577162541970036</c:v>
                </c:pt>
                <c:pt idx="45">
                  <c:v>1.655738430309238</c:v>
                </c:pt>
                <c:pt idx="46">
                  <c:v>1.6538732322342742</c:v>
                </c:pt>
                <c:pt idx="47">
                  <c:v>1.6521099569952105</c:v>
                </c:pt>
                <c:pt idx="48">
                  <c:v>1.6504384957877511</c:v>
                </c:pt>
                <c:pt idx="49">
                  <c:v>1.6488493683668841</c:v>
                </c:pt>
                <c:pt idx="50">
                  <c:v>1.6473337382536699</c:v>
                </c:pt>
                <c:pt idx="51">
                  <c:v>1.6458834131648834</c:v>
                </c:pt>
                <c:pt idx="52">
                  <c:v>1.6444908342508715</c:v>
                </c:pt>
                <c:pt idx="53">
                  <c:v>1.6431490570467437</c:v>
                </c:pt>
                <c:pt idx="54">
                  <c:v>1.6418517264773183</c:v>
                </c:pt>
                <c:pt idx="55">
                  <c:v>1.6405930477887354</c:v>
                </c:pt>
                <c:pt idx="56">
                  <c:v>1.6393677548937586</c:v>
                </c:pt>
                <c:pt idx="57">
                  <c:v>1.6587923275978171</c:v>
                </c:pt>
              </c:numCache>
            </c:numRef>
          </c:val>
          <c:smooth val="0"/>
        </c:ser>
        <c:ser>
          <c:idx val="4"/>
          <c:order val="4"/>
          <c:tx>
            <c:v>Realistic</c:v>
          </c:tx>
          <c:val>
            <c:numRef>
              <c:f>Copen!$B$100:$BH$100</c:f>
              <c:numCache>
                <c:formatCode>_(* #,##0.0000_);_(* \(#,##0.0000\);_(* "-"??_);_(@_)</c:formatCode>
                <c:ptCount val="59"/>
                <c:pt idx="0">
                  <c:v>0.83</c:v>
                </c:pt>
                <c:pt idx="1">
                  <c:v>0.93416040568275083</c:v>
                </c:pt>
                <c:pt idx="2">
                  <c:v>1.048901453929969</c:v>
                </c:pt>
                <c:pt idx="3">
                  <c:v>1.1722093054338378</c:v>
                </c:pt>
                <c:pt idx="4">
                  <c:v>1.3022500602337435</c:v>
                </c:pt>
                <c:pt idx="5">
                  <c:v>1.4375956144111675</c:v>
                </c:pt>
                <c:pt idx="6">
                  <c:v>1.57712035699679</c:v>
                </c:pt>
                <c:pt idx="7">
                  <c:v>1.7186192398516469</c:v>
                </c:pt>
                <c:pt idx="8">
                  <c:v>1.8599377764387746</c:v>
                </c:pt>
                <c:pt idx="9">
                  <c:v>1.9992303162592937</c:v>
                </c:pt>
                <c:pt idx="10">
                  <c:v>2.1350117642368489</c:v>
                </c:pt>
                <c:pt idx="11">
                  <c:v>2.2658077767808638</c:v>
                </c:pt>
                <c:pt idx="12">
                  <c:v>2.39033275822587</c:v>
                </c:pt>
                <c:pt idx="13">
                  <c:v>2.5078538174237313</c:v>
                </c:pt>
                <c:pt idx="14">
                  <c:v>2.6180202067597396</c:v>
                </c:pt>
                <c:pt idx="15">
                  <c:v>2.7207998642416729</c:v>
                </c:pt>
                <c:pt idx="16">
                  <c:v>2.8163753553985393</c:v>
                </c:pt>
                <c:pt idx="17">
                  <c:v>2.9051005567526409</c:v>
                </c:pt>
                <c:pt idx="18">
                  <c:v>2.9874369999470463</c:v>
                </c:pt>
                <c:pt idx="19">
                  <c:v>3.0603058493763418</c:v>
                </c:pt>
                <c:pt idx="20">
                  <c:v>3.1237632838705984</c:v>
                </c:pt>
                <c:pt idx="21">
                  <c:v>3.178636037373499</c:v>
                </c:pt>
                <c:pt idx="22">
                  <c:v>3.2256945959526298</c:v>
                </c:pt>
                <c:pt idx="23">
                  <c:v>3.2656749676429953</c:v>
                </c:pt>
                <c:pt idx="24">
                  <c:v>3.2992583371532764</c:v>
                </c:pt>
                <c:pt idx="25">
                  <c:v>3.3270816143816981</c:v>
                </c:pt>
                <c:pt idx="26">
                  <c:v>3.3497324712347374</c:v>
                </c:pt>
                <c:pt idx="27">
                  <c:v>3.3686701156058705</c:v>
                </c:pt>
                <c:pt idx="28">
                  <c:v>3.3849176308216724</c:v>
                </c:pt>
                <c:pt idx="29">
                  <c:v>3.3992865242106434</c:v>
                </c:pt>
                <c:pt idx="30">
                  <c:v>3.4124130455501041</c:v>
                </c:pt>
                <c:pt idx="31">
                  <c:v>3.424789043484687</c:v>
                </c:pt>
                <c:pt idx="32">
                  <c:v>3.4367880747304618</c:v>
                </c:pt>
                <c:pt idx="33">
                  <c:v>3.4486874068746571</c:v>
                </c:pt>
                <c:pt idx="34">
                  <c:v>3.4606864848467542</c:v>
                </c:pt>
                <c:pt idx="35">
                  <c:v>3.4729223647521965</c:v>
                </c:pt>
                <c:pt idx="36">
                  <c:v>3.485482557369219</c:v>
                </c:pt>
                <c:pt idx="37">
                  <c:v>3.4984156675122606</c:v>
                </c:pt>
                <c:pt idx="38">
                  <c:v>3.5117401647116031</c:v>
                </c:pt>
                <c:pt idx="39">
                  <c:v>3.525451575094924</c:v>
                </c:pt>
                <c:pt idx="40">
                  <c:v>3.5395283436920177</c:v>
                </c:pt>
                <c:pt idx="41">
                  <c:v>3.5539365801628024</c:v>
                </c:pt>
                <c:pt idx="42">
                  <c:v>3.568633868650894</c:v>
                </c:pt>
                <c:pt idx="43">
                  <c:v>3.5835722933053855</c:v>
                </c:pt>
                <c:pt idx="44">
                  <c:v>3.598700804036032</c:v>
                </c:pt>
                <c:pt idx="45">
                  <c:v>3.6139670208263373</c:v>
                </c:pt>
                <c:pt idx="46">
                  <c:v>3.6293185472231548</c:v>
                </c:pt>
                <c:pt idx="47">
                  <c:v>3.6447038308748065</c:v>
                </c:pt>
                <c:pt idx="48">
                  <c:v>3.6600725650243189</c:v>
                </c:pt>
                <c:pt idx="49">
                  <c:v>3.6753755586468277</c:v>
                </c:pt>
                <c:pt idx="50">
                  <c:v>3.6905638931507156</c:v>
                </c:pt>
                <c:pt idx="51">
                  <c:v>3.7055869863523885</c:v>
                </c:pt>
                <c:pt idx="52">
                  <c:v>3.7204659780411498</c:v>
                </c:pt>
                <c:pt idx="53">
                  <c:v>3.7351959491307776</c:v>
                </c:pt>
                <c:pt idx="54">
                  <c:v>3.7497573970075506</c:v>
                </c:pt>
                <c:pt idx="55">
                  <c:v>3.7641236335858608</c:v>
                </c:pt>
                <c:pt idx="56">
                  <c:v>3.7782654680891263</c:v>
                </c:pt>
                <c:pt idx="57">
                  <c:v>3.7921540860055418</c:v>
                </c:pt>
                <c:pt idx="58">
                  <c:v>3.8057627366306201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8048512"/>
        <c:axId val="128054400"/>
      </c:lineChart>
      <c:catAx>
        <c:axId val="128048512"/>
        <c:scaling>
          <c:orientation val="minMax"/>
        </c:scaling>
        <c:delete val="0"/>
        <c:axPos val="b"/>
        <c:numFmt formatCode="#,##0" sourceLinked="0"/>
        <c:majorTickMark val="out"/>
        <c:minorTickMark val="none"/>
        <c:tickLblPos val="nextTo"/>
        <c:crossAx val="128054400"/>
        <c:crosses val="autoZero"/>
        <c:auto val="1"/>
        <c:lblAlgn val="ctr"/>
        <c:lblOffset val="100"/>
        <c:tickLblSkip val="8"/>
        <c:noMultiLvlLbl val="0"/>
      </c:catAx>
      <c:valAx>
        <c:axId val="128054400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0" sourceLinked="0"/>
        <c:majorTickMark val="out"/>
        <c:minorTickMark val="none"/>
        <c:tickLblPos val="nextTo"/>
        <c:crossAx val="128048512"/>
        <c:crosses val="autoZero"/>
        <c:crossBetween val="between"/>
      </c:valAx>
    </c:plotArea>
    <c:legend>
      <c:legendPos val="l"/>
      <c:layout>
        <c:manualLayout>
          <c:xMode val="edge"/>
          <c:yMode val="edge"/>
          <c:x val="0.16378479750923972"/>
          <c:y val="9.1464175007329646E-2"/>
          <c:w val="0.2627448143549419"/>
          <c:h val="0.27046542056735168"/>
        </c:manualLayout>
      </c:layout>
      <c:overlay val="1"/>
    </c:legend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CO2 concentrations 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0.11401077942256292"/>
          <c:y val="2.6590471252256304E-2"/>
          <c:w val="0.85064794611520334"/>
          <c:h val="0.80675964524042365"/>
        </c:manualLayout>
      </c:layout>
      <c:lineChart>
        <c:grouping val="standard"/>
        <c:varyColors val="0"/>
        <c:ser>
          <c:idx val="0"/>
          <c:order val="0"/>
          <c:tx>
            <c:v>Base</c:v>
          </c:tx>
          <c:marker>
            <c:symbol val="circle"/>
            <c:size val="5"/>
            <c:spPr>
              <a:noFill/>
            </c:spPr>
          </c:marker>
          <c:cat>
            <c:numRef>
              <c:f>Base!$B$2:$CI$2</c:f>
              <c:numCache>
                <c:formatCode>_(* #,##0.000_);_(* \(#,##0.000\);_(* "-"??_);_(@_)</c:formatCode>
                <c:ptCount val="86"/>
                <c:pt idx="0">
                  <c:v>2010</c:v>
                </c:pt>
                <c:pt idx="1">
                  <c:v>2015</c:v>
                </c:pt>
                <c:pt idx="2">
                  <c:v>2020</c:v>
                </c:pt>
                <c:pt idx="3">
                  <c:v>2025</c:v>
                </c:pt>
                <c:pt idx="4">
                  <c:v>2030</c:v>
                </c:pt>
                <c:pt idx="5">
                  <c:v>2035</c:v>
                </c:pt>
                <c:pt idx="6">
                  <c:v>2040</c:v>
                </c:pt>
                <c:pt idx="7">
                  <c:v>2045</c:v>
                </c:pt>
                <c:pt idx="8">
                  <c:v>2050</c:v>
                </c:pt>
                <c:pt idx="9">
                  <c:v>2055</c:v>
                </c:pt>
                <c:pt idx="10">
                  <c:v>2060</c:v>
                </c:pt>
                <c:pt idx="11">
                  <c:v>2065</c:v>
                </c:pt>
                <c:pt idx="12">
                  <c:v>2070</c:v>
                </c:pt>
                <c:pt idx="13">
                  <c:v>2075</c:v>
                </c:pt>
                <c:pt idx="14">
                  <c:v>2080</c:v>
                </c:pt>
                <c:pt idx="15">
                  <c:v>2085</c:v>
                </c:pt>
                <c:pt idx="16">
                  <c:v>2090</c:v>
                </c:pt>
                <c:pt idx="17">
                  <c:v>2095</c:v>
                </c:pt>
                <c:pt idx="18">
                  <c:v>2100</c:v>
                </c:pt>
                <c:pt idx="19">
                  <c:v>2105</c:v>
                </c:pt>
                <c:pt idx="20">
                  <c:v>2110</c:v>
                </c:pt>
                <c:pt idx="21">
                  <c:v>2115</c:v>
                </c:pt>
                <c:pt idx="22">
                  <c:v>2120</c:v>
                </c:pt>
                <c:pt idx="23">
                  <c:v>2125</c:v>
                </c:pt>
                <c:pt idx="24">
                  <c:v>2130</c:v>
                </c:pt>
                <c:pt idx="25">
                  <c:v>2135</c:v>
                </c:pt>
                <c:pt idx="26">
                  <c:v>2140</c:v>
                </c:pt>
                <c:pt idx="27">
                  <c:v>2145</c:v>
                </c:pt>
                <c:pt idx="28">
                  <c:v>2150</c:v>
                </c:pt>
                <c:pt idx="29">
                  <c:v>2155</c:v>
                </c:pt>
                <c:pt idx="30">
                  <c:v>2160</c:v>
                </c:pt>
                <c:pt idx="31">
                  <c:v>2165</c:v>
                </c:pt>
                <c:pt idx="32">
                  <c:v>2170</c:v>
                </c:pt>
                <c:pt idx="33">
                  <c:v>2175</c:v>
                </c:pt>
                <c:pt idx="34">
                  <c:v>2180</c:v>
                </c:pt>
                <c:pt idx="35">
                  <c:v>2185</c:v>
                </c:pt>
                <c:pt idx="36">
                  <c:v>2190</c:v>
                </c:pt>
                <c:pt idx="37">
                  <c:v>2195</c:v>
                </c:pt>
                <c:pt idx="38">
                  <c:v>2200</c:v>
                </c:pt>
                <c:pt idx="39">
                  <c:v>2205</c:v>
                </c:pt>
                <c:pt idx="40">
                  <c:v>2210</c:v>
                </c:pt>
                <c:pt idx="41">
                  <c:v>2215</c:v>
                </c:pt>
                <c:pt idx="42">
                  <c:v>2220</c:v>
                </c:pt>
                <c:pt idx="43">
                  <c:v>2225</c:v>
                </c:pt>
                <c:pt idx="44">
                  <c:v>2230</c:v>
                </c:pt>
                <c:pt idx="45">
                  <c:v>2235</c:v>
                </c:pt>
                <c:pt idx="46">
                  <c:v>2240</c:v>
                </c:pt>
                <c:pt idx="47">
                  <c:v>2245</c:v>
                </c:pt>
                <c:pt idx="48">
                  <c:v>2250</c:v>
                </c:pt>
                <c:pt idx="49">
                  <c:v>2255</c:v>
                </c:pt>
                <c:pt idx="50">
                  <c:v>2260</c:v>
                </c:pt>
                <c:pt idx="51">
                  <c:v>2265</c:v>
                </c:pt>
                <c:pt idx="52">
                  <c:v>2270</c:v>
                </c:pt>
                <c:pt idx="53">
                  <c:v>2275</c:v>
                </c:pt>
                <c:pt idx="54">
                  <c:v>2280</c:v>
                </c:pt>
                <c:pt idx="55">
                  <c:v>2285</c:v>
                </c:pt>
                <c:pt idx="56">
                  <c:v>2290</c:v>
                </c:pt>
                <c:pt idx="57">
                  <c:v>2295</c:v>
                </c:pt>
                <c:pt idx="58">
                  <c:v>2300</c:v>
                </c:pt>
                <c:pt idx="59">
                  <c:v>2305</c:v>
                </c:pt>
              </c:numCache>
            </c:numRef>
          </c:cat>
          <c:val>
            <c:numRef>
              <c:f>Base!$B$88:$CI$88</c:f>
              <c:numCache>
                <c:formatCode>_(* #,##0.000_);_(* \(#,##0.000\);_(* "-"??_);_(@_)</c:formatCode>
                <c:ptCount val="86"/>
                <c:pt idx="0">
                  <c:v>384.5</c:v>
                </c:pt>
                <c:pt idx="1">
                  <c:v>398.24793417076302</c:v>
                </c:pt>
                <c:pt idx="2">
                  <c:v>413.33961147321475</c:v>
                </c:pt>
                <c:pt idx="3">
                  <c:v>429.81735731096654</c:v>
                </c:pt>
                <c:pt idx="4">
                  <c:v>447.68286228867794</c:v>
                </c:pt>
                <c:pt idx="5">
                  <c:v>466.90533742970132</c:v>
                </c:pt>
                <c:pt idx="6">
                  <c:v>487.42821021841695</c:v>
                </c:pt>
                <c:pt idx="7">
                  <c:v>509.17462449546724</c:v>
                </c:pt>
                <c:pt idx="8">
                  <c:v>532.05195313944409</c:v>
                </c:pt>
                <c:pt idx="9">
                  <c:v>555.95549040000571</c:v>
                </c:pt>
                <c:pt idx="10">
                  <c:v>580.77147291462938</c:v>
                </c:pt>
                <c:pt idx="11">
                  <c:v>606.37955744494707</c:v>
                </c:pt>
                <c:pt idx="12">
                  <c:v>632.6548617452105</c:v>
                </c:pt>
                <c:pt idx="13">
                  <c:v>659.46964979749828</c:v>
                </c:pt>
                <c:pt idx="14">
                  <c:v>686.69472280669993</c:v>
                </c:pt>
                <c:pt idx="15">
                  <c:v>714.2005552929088</c:v>
                </c:pt>
                <c:pt idx="16">
                  <c:v>741.85821128437306</c:v>
                </c:pt>
                <c:pt idx="17">
                  <c:v>769.54006246566485</c:v>
                </c:pt>
                <c:pt idx="18">
                  <c:v>797.12032709600396</c:v>
                </c:pt>
                <c:pt idx="19">
                  <c:v>824.47543173517545</c:v>
                </c:pt>
                <c:pt idx="20">
                  <c:v>851.4841792079211</c:v>
                </c:pt>
                <c:pt idx="21">
                  <c:v>878.02970495640056</c:v>
                </c:pt>
                <c:pt idx="22">
                  <c:v>903.99916499002848</c:v>
                </c:pt>
                <c:pt idx="23">
                  <c:v>929.28354557585999</c:v>
                </c:pt>
                <c:pt idx="24">
                  <c:v>953.77752705975445</c:v>
                </c:pt>
                <c:pt idx="25">
                  <c:v>977.37936511231646</c:v>
                </c:pt>
                <c:pt idx="26">
                  <c:v>999.99076226533464</c:v>
                </c:pt>
                <c:pt idx="27">
                  <c:v>1021.5167215283519</c:v>
                </c:pt>
                <c:pt idx="28">
                  <c:v>1041.8653744825031</c:v>
                </c:pt>
                <c:pt idx="29">
                  <c:v>1060.9477861894147</c:v>
                </c:pt>
                <c:pt idx="30">
                  <c:v>1078.6777394629903</c:v>
                </c:pt>
                <c:pt idx="31">
                  <c:v>1094.9578813780656</c:v>
                </c:pt>
                <c:pt idx="32">
                  <c:v>1109.707513425592</c:v>
                </c:pt>
                <c:pt idx="33">
                  <c:v>1122.8468188198167</c:v>
                </c:pt>
                <c:pt idx="34">
                  <c:v>1134.2968040763812</c:v>
                </c:pt>
                <c:pt idx="35">
                  <c:v>1143.9791486857607</c:v>
                </c:pt>
                <c:pt idx="36">
                  <c:v>1151.8159916807995</c:v>
                </c:pt>
                <c:pt idx="37">
                  <c:v>1157.7296759749711</c:v>
                </c:pt>
                <c:pt idx="38">
                  <c:v>1161.6424679760423</c:v>
                </c:pt>
                <c:pt idx="39">
                  <c:v>1163.4762648456624</c:v>
                </c:pt>
                <c:pt idx="40">
                  <c:v>1163.1523020625575</c:v>
                </c:pt>
                <c:pt idx="41">
                  <c:v>1160.5908613147117</c:v>
                </c:pt>
                <c:pt idx="42">
                  <c:v>1155.710968316256</c:v>
                </c:pt>
                <c:pt idx="43">
                  <c:v>1148.4300262540596</c:v>
                </c:pt>
                <c:pt idx="44">
                  <c:v>1138.6632468999362</c:v>
                </c:pt>
                <c:pt idx="45">
                  <c:v>1126.3225521671468</c:v>
                </c:pt>
                <c:pt idx="46">
                  <c:v>1101.2986060893727</c:v>
                </c:pt>
                <c:pt idx="47">
                  <c:v>1079.3123014591968</c:v>
                </c:pt>
                <c:pt idx="48">
                  <c:v>1059.9778506538992</c:v>
                </c:pt>
                <c:pt idx="49">
                  <c:v>1042.9584987779247</c:v>
                </c:pt>
                <c:pt idx="50">
                  <c:v>1027.960291658884</c:v>
                </c:pt>
                <c:pt idx="51">
                  <c:v>1014.7266359203303</c:v>
                </c:pt>
                <c:pt idx="52">
                  <c:v>1003.0335504605442</c:v>
                </c:pt>
                <c:pt idx="53">
                  <c:v>992.68552146138279</c:v>
                </c:pt>
                <c:pt idx="54">
                  <c:v>983.51188421991674</c:v>
                </c:pt>
                <c:pt idx="55">
                  <c:v>975.36366484480709</c:v>
                </c:pt>
                <c:pt idx="56">
                  <c:v>968.11082336950437</c:v>
                </c:pt>
                <c:pt idx="57">
                  <c:v>961.63984726291085</c:v>
                </c:pt>
                <c:pt idx="58">
                  <c:v>955.85165080256058</c:v>
                </c:pt>
                <c:pt idx="59">
                  <c:v>950.65974143564949</c:v>
                </c:pt>
              </c:numCache>
            </c:numRef>
          </c:val>
          <c:smooth val="0"/>
        </c:ser>
        <c:ser>
          <c:idx val="1"/>
          <c:order val="1"/>
          <c:tx>
            <c:v>Optimal</c:v>
          </c:tx>
          <c:marker>
            <c:symbol val="square"/>
            <c:size val="5"/>
            <c:spPr>
              <a:solidFill>
                <a:schemeClr val="accent6">
                  <a:lumMod val="20000"/>
                  <a:lumOff val="80000"/>
                </a:schemeClr>
              </a:solidFill>
            </c:spPr>
          </c:marker>
          <c:val>
            <c:numRef>
              <c:f>Opttax!$B$88:$CI$88</c:f>
              <c:numCache>
                <c:formatCode>_(* #,##0.0000_);_(* \(#,##0.0000\);_(* "-"??_);_(@_)</c:formatCode>
                <c:ptCount val="86"/>
                <c:pt idx="0">
                  <c:v>384.5</c:v>
                </c:pt>
                <c:pt idx="1">
                  <c:v>398.24793417076302</c:v>
                </c:pt>
                <c:pt idx="2">
                  <c:v>409.63692036500481</c:v>
                </c:pt>
                <c:pt idx="3">
                  <c:v>421.73289259870512</c:v>
                </c:pt>
                <c:pt idx="4">
                  <c:v>434.40166225347633</c:v>
                </c:pt>
                <c:pt idx="5">
                  <c:v>447.47570914166954</c:v>
                </c:pt>
                <c:pt idx="6">
                  <c:v>460.76207883436552</c:v>
                </c:pt>
                <c:pt idx="7">
                  <c:v>474.04913344557713</c:v>
                </c:pt>
                <c:pt idx="8">
                  <c:v>487.11233612981363</c:v>
                </c:pt>
                <c:pt idx="9">
                  <c:v>499.7192200520372</c:v>
                </c:pt>
                <c:pt idx="10">
                  <c:v>511.63366511468541</c:v>
                </c:pt>
                <c:pt idx="11">
                  <c:v>522.61958246040729</c:v>
                </c:pt>
                <c:pt idx="12">
                  <c:v>532.44408804757745</c:v>
                </c:pt>
                <c:pt idx="13">
                  <c:v>540.8802320604533</c:v>
                </c:pt>
                <c:pt idx="14">
                  <c:v>547.70933985352337</c:v>
                </c:pt>
                <c:pt idx="15">
                  <c:v>552.72301155835191</c:v>
                </c:pt>
                <c:pt idx="16">
                  <c:v>555.72481980084956</c:v>
                </c:pt>
                <c:pt idx="17">
                  <c:v>556.53173556749528</c:v>
                </c:pt>
                <c:pt idx="18">
                  <c:v>554.97529653253855</c:v>
                </c:pt>
                <c:pt idx="19">
                  <c:v>550.90250211026239</c:v>
                </c:pt>
                <c:pt idx="20">
                  <c:v>544.1752875611021</c:v>
                </c:pt>
                <c:pt idx="21">
                  <c:v>534.67365042568247</c:v>
                </c:pt>
                <c:pt idx="22">
                  <c:v>524.42698742503262</c:v>
                </c:pt>
                <c:pt idx="23">
                  <c:v>515.44223487264537</c:v>
                </c:pt>
                <c:pt idx="24">
                  <c:v>507.55937648262329</c:v>
                </c:pt>
                <c:pt idx="25">
                  <c:v>500.638675474325</c:v>
                </c:pt>
                <c:pt idx="26">
                  <c:v>494.55810872742853</c:v>
                </c:pt>
                <c:pt idx="27">
                  <c:v>489.21112471989471</c:v>
                </c:pt>
                <c:pt idx="28">
                  <c:v>484.50468456322307</c:v>
                </c:pt>
                <c:pt idx="29">
                  <c:v>480.35755052709754</c:v>
                </c:pt>
                <c:pt idx="30">
                  <c:v>476.6987908965271</c:v>
                </c:pt>
                <c:pt idx="31">
                  <c:v>473.46647390482804</c:v>
                </c:pt>
                <c:pt idx="32">
                  <c:v>470.60652690227408</c:v>
                </c:pt>
                <c:pt idx="33">
                  <c:v>468.07173991205053</c:v>
                </c:pt>
                <c:pt idx="34">
                  <c:v>465.82089534436119</c:v>
                </c:pt>
                <c:pt idx="35">
                  <c:v>463.8180079319643</c:v>
                </c:pt>
                <c:pt idx="36">
                  <c:v>462.03166095637624</c:v>
                </c:pt>
                <c:pt idx="37">
                  <c:v>460.43442658890484</c:v>
                </c:pt>
                <c:pt idx="38">
                  <c:v>459.00235970568309</c:v>
                </c:pt>
                <c:pt idx="39">
                  <c:v>457.71455587828785</c:v>
                </c:pt>
                <c:pt idx="40">
                  <c:v>456.552765415333</c:v>
                </c:pt>
                <c:pt idx="41">
                  <c:v>455.50105635664198</c:v>
                </c:pt>
                <c:pt idx="42">
                  <c:v>454.54552021867318</c:v>
                </c:pt>
                <c:pt idx="43">
                  <c:v>453.67401507395289</c:v>
                </c:pt>
                <c:pt idx="44">
                  <c:v>452.87594123251364</c:v>
                </c:pt>
                <c:pt idx="45">
                  <c:v>452.14204539214103</c:v>
                </c:pt>
                <c:pt idx="46">
                  <c:v>451.464249647462</c:v>
                </c:pt>
                <c:pt idx="47">
                  <c:v>450.83550220504679</c:v>
                </c:pt>
                <c:pt idx="48">
                  <c:v>450.24964705107755</c:v>
                </c:pt>
                <c:pt idx="49">
                  <c:v>449.70131016702061</c:v>
                </c:pt>
                <c:pt idx="50">
                  <c:v>449.18580019349884</c:v>
                </c:pt>
                <c:pt idx="51">
                  <c:v>448.69902170875389</c:v>
                </c:pt>
                <c:pt idx="52">
                  <c:v>448.2373995205931</c:v>
                </c:pt>
                <c:pt idx="53">
                  <c:v>447.79781257376919</c:v>
                </c:pt>
                <c:pt idx="54">
                  <c:v>447.3775362520841</c:v>
                </c:pt>
                <c:pt idx="55">
                  <c:v>446.97419200937804</c:v>
                </c:pt>
                <c:pt idx="56">
                  <c:v>446.58570339880407</c:v>
                </c:pt>
                <c:pt idx="57">
                  <c:v>446.21025768789099</c:v>
                </c:pt>
                <c:pt idx="58">
                  <c:v>452.80955644485437</c:v>
                </c:pt>
                <c:pt idx="59">
                  <c:v>484.62298973190735</c:v>
                </c:pt>
              </c:numCache>
            </c:numRef>
          </c:val>
          <c:smooth val="0"/>
        </c:ser>
        <c:ser>
          <c:idx val="2"/>
          <c:order val="2"/>
          <c:tx>
            <c:v>Limit 2 degC</c:v>
          </c:tx>
          <c:marker>
            <c:spPr>
              <a:noFill/>
            </c:spPr>
          </c:marker>
          <c:val>
            <c:numRef>
              <c:f>Limt2!$B$88:$CI$88</c:f>
              <c:numCache>
                <c:formatCode>_(* #,##0.0000_);_(* \(#,##0.0000\);_(* "-"??_);_(@_)</c:formatCode>
                <c:ptCount val="86"/>
                <c:pt idx="0">
                  <c:v>384.5</c:v>
                </c:pt>
                <c:pt idx="1">
                  <c:v>398.24793417076302</c:v>
                </c:pt>
                <c:pt idx="2">
                  <c:v>406.82433610567938</c:v>
                </c:pt>
                <c:pt idx="3">
                  <c:v>415.35190271830248</c:v>
                </c:pt>
                <c:pt idx="4">
                  <c:v>423.45770417941361</c:v>
                </c:pt>
                <c:pt idx="5">
                  <c:v>430.69160874603944</c:v>
                </c:pt>
                <c:pt idx="6">
                  <c:v>436.53113338961793</c:v>
                </c:pt>
                <c:pt idx="7">
                  <c:v>440.38680506139713</c:v>
                </c:pt>
                <c:pt idx="8">
                  <c:v>441.60801665861283</c:v>
                </c:pt>
                <c:pt idx="9">
                  <c:v>439.48754759538531</c:v>
                </c:pt>
                <c:pt idx="10">
                  <c:v>433.25870981720993</c:v>
                </c:pt>
                <c:pt idx="11">
                  <c:v>425.79219813825085</c:v>
                </c:pt>
                <c:pt idx="12">
                  <c:v>419.23625263295446</c:v>
                </c:pt>
                <c:pt idx="13">
                  <c:v>413.47858398563227</c:v>
                </c:pt>
                <c:pt idx="14">
                  <c:v>408.42049488774694</c:v>
                </c:pt>
                <c:pt idx="15">
                  <c:v>403.97528846880994</c:v>
                </c:pt>
                <c:pt idx="16">
                  <c:v>400.06685182072903</c:v>
                </c:pt>
                <c:pt idx="17">
                  <c:v>396.62839780022847</c:v>
                </c:pt>
                <c:pt idx="18">
                  <c:v>393.60134934339669</c:v>
                </c:pt>
                <c:pt idx="19">
                  <c:v>390.93435166002865</c:v>
                </c:pt>
                <c:pt idx="20">
                  <c:v>388.58239883900808</c:v>
                </c:pt>
                <c:pt idx="21">
                  <c:v>388.21011844229463</c:v>
                </c:pt>
                <c:pt idx="22">
                  <c:v>388.00626407989074</c:v>
                </c:pt>
                <c:pt idx="23">
                  <c:v>387.65701899372635</c:v>
                </c:pt>
                <c:pt idx="24">
                  <c:v>385.82803768460985</c:v>
                </c:pt>
                <c:pt idx="25">
                  <c:v>384.20938157109259</c:v>
                </c:pt>
                <c:pt idx="26">
                  <c:v>382.77454901532377</c:v>
                </c:pt>
                <c:pt idx="27">
                  <c:v>381.50036927098108</c:v>
                </c:pt>
                <c:pt idx="28">
                  <c:v>380.36658660239704</c:v>
                </c:pt>
                <c:pt idx="29">
                  <c:v>379.35549576708962</c:v>
                </c:pt>
                <c:pt idx="30">
                  <c:v>378.4516226324198</c:v>
                </c:pt>
                <c:pt idx="31">
                  <c:v>377.64144442903665</c:v>
                </c:pt>
                <c:pt idx="32">
                  <c:v>376.91314479464393</c:v>
                </c:pt>
                <c:pt idx="33">
                  <c:v>376.25639933932871</c:v>
                </c:pt>
                <c:pt idx="34">
                  <c:v>375.66218797563914</c:v>
                </c:pt>
                <c:pt idx="35">
                  <c:v>375.12263070959023</c:v>
                </c:pt>
                <c:pt idx="36">
                  <c:v>374.63084398909825</c:v>
                </c:pt>
                <c:pt idx="37">
                  <c:v>374.18081505970082</c:v>
                </c:pt>
                <c:pt idx="38">
                  <c:v>373.76729208900389</c:v>
                </c:pt>
                <c:pt idx="39">
                  <c:v>373.38568809578112</c:v>
                </c:pt>
                <c:pt idx="40">
                  <c:v>373.03199696126126</c:v>
                </c:pt>
                <c:pt idx="41">
                  <c:v>372.70272001264215</c:v>
                </c:pt>
                <c:pt idx="42">
                  <c:v>372.39480185564918</c:v>
                </c:pt>
                <c:pt idx="43">
                  <c:v>372.10557429702232</c:v>
                </c:pt>
                <c:pt idx="44">
                  <c:v>371.83270734185339</c:v>
                </c:pt>
                <c:pt idx="45">
                  <c:v>371.57416637707951</c:v>
                </c:pt>
                <c:pt idx="46">
                  <c:v>371.3281747632891</c:v>
                </c:pt>
                <c:pt idx="47">
                  <c:v>371.09318115417693</c:v>
                </c:pt>
                <c:pt idx="48">
                  <c:v>370.86783094815064</c:v>
                </c:pt>
                <c:pt idx="49">
                  <c:v>370.65094135120148</c:v>
                </c:pt>
                <c:pt idx="50">
                  <c:v>370.44147959549423</c:v>
                </c:pt>
                <c:pt idx="51">
                  <c:v>370.2385439153428</c:v>
                </c:pt>
                <c:pt idx="52">
                  <c:v>370.0413469323143</c:v>
                </c:pt>
                <c:pt idx="53">
                  <c:v>369.84920114502586</c:v>
                </c:pt>
                <c:pt idx="54">
                  <c:v>369.66150625753983</c:v>
                </c:pt>
                <c:pt idx="55">
                  <c:v>369.47773811380142</c:v>
                </c:pt>
                <c:pt idx="56">
                  <c:v>369.29743903489447</c:v>
                </c:pt>
                <c:pt idx="57">
                  <c:v>369.12020938153938</c:v>
                </c:pt>
                <c:pt idx="58">
                  <c:v>382.49773203808235</c:v>
                </c:pt>
                <c:pt idx="59">
                  <c:v>417.29826426781688</c:v>
                </c:pt>
              </c:numCache>
            </c:numRef>
          </c:val>
          <c:smooth val="0"/>
        </c:ser>
        <c:ser>
          <c:idx val="3"/>
          <c:order val="3"/>
          <c:tx>
            <c:v>Copenhagen:Rich</c:v>
          </c:tx>
          <c:val>
            <c:numRef>
              <c:f>stern!$B$88:$CI$88</c:f>
              <c:numCache>
                <c:formatCode>_(* #,##0.0000_);_(* \(#,##0.0000\);_(* "-"??_);_(@_)</c:formatCode>
                <c:ptCount val="86"/>
                <c:pt idx="0">
                  <c:v>384.5</c:v>
                </c:pt>
                <c:pt idx="1">
                  <c:v>399.24774441095349</c:v>
                </c:pt>
                <c:pt idx="2">
                  <c:v>402.75828805057893</c:v>
                </c:pt>
                <c:pt idx="3">
                  <c:v>405.99610963755498</c:v>
                </c:pt>
                <c:pt idx="4">
                  <c:v>408.66141457952642</c:v>
                </c:pt>
                <c:pt idx="5">
                  <c:v>410.44860090488743</c:v>
                </c:pt>
                <c:pt idx="6">
                  <c:v>411.04657626494327</c:v>
                </c:pt>
                <c:pt idx="7">
                  <c:v>410.14033739880244</c:v>
                </c:pt>
                <c:pt idx="8">
                  <c:v>407.4118169471821</c:v>
                </c:pt>
                <c:pt idx="9">
                  <c:v>402.53794494721922</c:v>
                </c:pt>
                <c:pt idx="10">
                  <c:v>397.06449588074202</c:v>
                </c:pt>
                <c:pt idx="11">
                  <c:v>392.24738926511708</c:v>
                </c:pt>
                <c:pt idx="12">
                  <c:v>388.00749055842056</c:v>
                </c:pt>
                <c:pt idx="13">
                  <c:v>384.2748732990774</c:v>
                </c:pt>
                <c:pt idx="14">
                  <c:v>380.98781872765676</c:v>
                </c:pt>
                <c:pt idx="15">
                  <c:v>378.09190856299233</c:v>
                </c:pt>
                <c:pt idx="16">
                  <c:v>375.53920589146543</c:v>
                </c:pt>
                <c:pt idx="17">
                  <c:v>373.28751840926742</c:v>
                </c:pt>
                <c:pt idx="18">
                  <c:v>371.29973790177672</c:v>
                </c:pt>
                <c:pt idx="19">
                  <c:v>369.54324975127412</c:v>
                </c:pt>
                <c:pt idx="20">
                  <c:v>367.98940635716133</c:v>
                </c:pt>
                <c:pt idx="21">
                  <c:v>366.61305857321861</c:v>
                </c:pt>
                <c:pt idx="22">
                  <c:v>365.3921395701845</c:v>
                </c:pt>
                <c:pt idx="23">
                  <c:v>364.30729588620397</c:v>
                </c:pt>
                <c:pt idx="24">
                  <c:v>363.34156080820327</c:v>
                </c:pt>
                <c:pt idx="25">
                  <c:v>362.48006561644615</c:v>
                </c:pt>
                <c:pt idx="26">
                  <c:v>361.70978460986811</c:v>
                </c:pt>
                <c:pt idx="27">
                  <c:v>361.01931020266312</c:v>
                </c:pt>
                <c:pt idx="28">
                  <c:v>360.39865473726928</c:v>
                </c:pt>
                <c:pt idx="29">
                  <c:v>359.83907599186614</c:v>
                </c:pt>
                <c:pt idx="30">
                  <c:v>359.33292366982261</c:v>
                </c:pt>
                <c:pt idx="31">
                  <c:v>358.87350444349829</c:v>
                </c:pt>
                <c:pt idx="32">
                  <c:v>358.45496338550942</c:v>
                </c:pt>
                <c:pt idx="33">
                  <c:v>358.07217985770399</c:v>
                </c:pt>
                <c:pt idx="34">
                  <c:v>357.72067614274857</c:v>
                </c:pt>
                <c:pt idx="35">
                  <c:v>357.39653729672023</c:v>
                </c:pt>
                <c:pt idx="36">
                  <c:v>357.09634087489763</c:v>
                </c:pt>
                <c:pt idx="37">
                  <c:v>356.8170953385752</c:v>
                </c:pt>
                <c:pt idx="38">
                  <c:v>356.55618608970889</c:v>
                </c:pt>
                <c:pt idx="39">
                  <c:v>356.31132820402701</c:v>
                </c:pt>
                <c:pt idx="40">
                  <c:v>356.08052504333892</c:v>
                </c:pt>
                <c:pt idx="41">
                  <c:v>355.86203202547978</c:v>
                </c:pt>
                <c:pt idx="42">
                  <c:v>355.65432491690342</c:v>
                </c:pt>
                <c:pt idx="43">
                  <c:v>355.45607208953402</c:v>
                </c:pt>
                <c:pt idx="44">
                  <c:v>355.26611025116853</c:v>
                </c:pt>
                <c:pt idx="45">
                  <c:v>355.08342321846317</c:v>
                </c:pt>
                <c:pt idx="46">
                  <c:v>354.9071233542079</c:v>
                </c:pt>
                <c:pt idx="47">
                  <c:v>354.73643533698953</c:v>
                </c:pt>
                <c:pt idx="48">
                  <c:v>354.57068197218604</c:v>
                </c:pt>
                <c:pt idx="49">
                  <c:v>354.40927178914558</c:v>
                </c:pt>
                <c:pt idx="50">
                  <c:v>354.25168820097446</c:v>
                </c:pt>
                <c:pt idx="51">
                  <c:v>354.09748003108479</c:v>
                </c:pt>
                <c:pt idx="52">
                  <c:v>353.94625323499207</c:v>
                </c:pt>
                <c:pt idx="53">
                  <c:v>353.79766366721196</c:v>
                </c:pt>
                <c:pt idx="54">
                  <c:v>353.65141076183636</c:v>
                </c:pt>
                <c:pt idx="55">
                  <c:v>353.50723201178909</c:v>
                </c:pt>
                <c:pt idx="56">
                  <c:v>353.36489814615385</c:v>
                </c:pt>
                <c:pt idx="57">
                  <c:v>353.22420891757071</c:v>
                </c:pt>
                <c:pt idx="58">
                  <c:v>366.08908666649739</c:v>
                </c:pt>
                <c:pt idx="59">
                  <c:v>404.20736057177152</c:v>
                </c:pt>
              </c:numCache>
            </c:numRef>
          </c:val>
          <c:smooth val="0"/>
        </c:ser>
        <c:ser>
          <c:idx val="4"/>
          <c:order val="4"/>
          <c:tx>
            <c:v>Realistic</c:v>
          </c:tx>
          <c:val>
            <c:numRef>
              <c:f>Copen!$B$88:$BW$88</c:f>
              <c:numCache>
                <c:formatCode>_(* #,##0.0000_);_(* \(#,##0.0000\);_(* "-"??_);_(@_)</c:formatCode>
                <c:ptCount val="74"/>
                <c:pt idx="0">
                  <c:v>384.5</c:v>
                </c:pt>
                <c:pt idx="1">
                  <c:v>398.86829489561586</c:v>
                </c:pt>
                <c:pt idx="2">
                  <c:v>413.59640252967336</c:v>
                </c:pt>
                <c:pt idx="3">
                  <c:v>428.39515476354489</c:v>
                </c:pt>
                <c:pt idx="4">
                  <c:v>443.16454497598551</c:v>
                </c:pt>
                <c:pt idx="5">
                  <c:v>457.99509986404342</c:v>
                </c:pt>
                <c:pt idx="6">
                  <c:v>472.95235251855195</c:v>
                </c:pt>
                <c:pt idx="7">
                  <c:v>486.96555919331536</c:v>
                </c:pt>
                <c:pt idx="8">
                  <c:v>499.71092078682693</c:v>
                </c:pt>
                <c:pt idx="9">
                  <c:v>511.08936386304157</c:v>
                </c:pt>
                <c:pt idx="10">
                  <c:v>521.09979022281107</c:v>
                </c:pt>
                <c:pt idx="11">
                  <c:v>529.48046417951525</c:v>
                </c:pt>
                <c:pt idx="12">
                  <c:v>536.14197891420224</c:v>
                </c:pt>
                <c:pt idx="13">
                  <c:v>541.3808513852656</c:v>
                </c:pt>
                <c:pt idx="14">
                  <c:v>545.42830324239833</c:v>
                </c:pt>
                <c:pt idx="15">
                  <c:v>548.52069283108767</c:v>
                </c:pt>
                <c:pt idx="16">
                  <c:v>550.84669871067649</c:v>
                </c:pt>
                <c:pt idx="17">
                  <c:v>552.58788326770514</c:v>
                </c:pt>
                <c:pt idx="18">
                  <c:v>553.89069579105615</c:v>
                </c:pt>
                <c:pt idx="19">
                  <c:v>554.80909421755246</c:v>
                </c:pt>
                <c:pt idx="20">
                  <c:v>554.55495557922302</c:v>
                </c:pt>
                <c:pt idx="21">
                  <c:v>553.88743625271775</c:v>
                </c:pt>
                <c:pt idx="22">
                  <c:v>552.86200593478577</c:v>
                </c:pt>
                <c:pt idx="23">
                  <c:v>551.54810703320209</c:v>
                </c:pt>
                <c:pt idx="24">
                  <c:v>549.990813358129</c:v>
                </c:pt>
                <c:pt idx="25">
                  <c:v>548.23802100978151</c:v>
                </c:pt>
                <c:pt idx="26">
                  <c:v>546.32671495592945</c:v>
                </c:pt>
                <c:pt idx="27">
                  <c:v>545.1668540228909</c:v>
                </c:pt>
                <c:pt idx="28">
                  <c:v>544.5229480200411</c:v>
                </c:pt>
                <c:pt idx="29">
                  <c:v>544.32137758886302</c:v>
                </c:pt>
                <c:pt idx="30">
                  <c:v>544.4974760706441</c:v>
                </c:pt>
                <c:pt idx="31">
                  <c:v>544.99446170675458</c:v>
                </c:pt>
                <c:pt idx="32">
                  <c:v>545.76249690372413</c:v>
                </c:pt>
                <c:pt idx="33">
                  <c:v>546.75786060282735</c:v>
                </c:pt>
                <c:pt idx="34">
                  <c:v>547.94222065530641</c:v>
                </c:pt>
                <c:pt idx="35">
                  <c:v>549.28199423517651</c:v>
                </c:pt>
                <c:pt idx="36">
                  <c:v>550.74778552838995</c:v>
                </c:pt>
                <c:pt idx="37">
                  <c:v>552.31389110166106</c:v>
                </c:pt>
                <c:pt idx="38">
                  <c:v>553.95786441725579</c:v>
                </c:pt>
                <c:pt idx="39">
                  <c:v>555.66013187182978</c:v>
                </c:pt>
                <c:pt idx="40">
                  <c:v>557.40365347238583</c:v>
                </c:pt>
                <c:pt idx="41">
                  <c:v>559.17362173146773</c:v>
                </c:pt>
                <c:pt idx="42">
                  <c:v>560.9571925356928</c:v>
                </c:pt>
                <c:pt idx="43">
                  <c:v>562.74324136085647</c:v>
                </c:pt>
                <c:pt idx="44">
                  <c:v>564.52213705237352</c:v>
                </c:pt>
                <c:pt idx="45">
                  <c:v>566.28552288313165</c:v>
                </c:pt>
                <c:pt idx="46">
                  <c:v>568.02608980544494</c:v>
                </c:pt>
                <c:pt idx="47">
                  <c:v>569.7373180428873</c:v>
                </c:pt>
                <c:pt idx="48">
                  <c:v>571.41314727178712</c:v>
                </c:pt>
                <c:pt idx="49">
                  <c:v>573.04750678181813</c:v>
                </c:pt>
                <c:pt idx="50">
                  <c:v>574.63358311235072</c:v>
                </c:pt>
                <c:pt idx="51">
                  <c:v>576.1625976099125</c:v>
                </c:pt>
                <c:pt idx="52">
                  <c:v>577.699841130761</c:v>
                </c:pt>
                <c:pt idx="53">
                  <c:v>579.2216471158855</c:v>
                </c:pt>
                <c:pt idx="54">
                  <c:v>580.71226497840291</c:v>
                </c:pt>
                <c:pt idx="55">
                  <c:v>582.1613695649196</c:v>
                </c:pt>
                <c:pt idx="56">
                  <c:v>583.56236715117893</c:v>
                </c:pt>
                <c:pt idx="57">
                  <c:v>584.91123591934661</c:v>
                </c:pt>
                <c:pt idx="58">
                  <c:v>586.20572863822713</c:v>
                </c:pt>
                <c:pt idx="59">
                  <c:v>587.44482250199962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7812352"/>
        <c:axId val="127813888"/>
      </c:lineChart>
      <c:catAx>
        <c:axId val="127812352"/>
        <c:scaling>
          <c:orientation val="minMax"/>
        </c:scaling>
        <c:delete val="0"/>
        <c:axPos val="b"/>
        <c:numFmt formatCode="#,##0" sourceLinked="0"/>
        <c:majorTickMark val="out"/>
        <c:minorTickMark val="none"/>
        <c:tickLblPos val="nextTo"/>
        <c:crossAx val="127813888"/>
        <c:crosses val="autoZero"/>
        <c:auto val="1"/>
        <c:lblAlgn val="ctr"/>
        <c:lblOffset val="100"/>
        <c:tickLblSkip val="10"/>
        <c:noMultiLvlLbl val="0"/>
      </c:catAx>
      <c:valAx>
        <c:axId val="127813888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0" sourceLinked="0"/>
        <c:majorTickMark val="out"/>
        <c:minorTickMark val="none"/>
        <c:tickLblPos val="nextTo"/>
        <c:crossAx val="127812352"/>
        <c:crosses val="autoZero"/>
        <c:crossBetween val="between"/>
      </c:valAx>
    </c:plotArea>
    <c:legend>
      <c:legendPos val="l"/>
      <c:layout>
        <c:manualLayout>
          <c:xMode val="edge"/>
          <c:yMode val="edge"/>
          <c:x val="0.16378479750923972"/>
          <c:y val="9.1464175007329646E-2"/>
          <c:w val="0.2627448143549419"/>
          <c:h val="0.27046542056735168"/>
        </c:manualLayout>
      </c:layout>
      <c:overlay val="1"/>
    </c:legend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Real return (consumption discount rate)</a:t>
            </a:r>
          </a:p>
        </c:rich>
      </c:tx>
      <c:layout>
        <c:manualLayout>
          <c:xMode val="edge"/>
          <c:yMode val="edge"/>
          <c:x val="0.21186917350650855"/>
          <c:y val="3.9373020622780412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7.7463065850903595E-2"/>
          <c:y val="7.0935394291215981E-2"/>
          <c:w val="0.88799138371185327"/>
          <c:h val="0.86199569117869845"/>
        </c:manualLayout>
      </c:layout>
      <c:lineChart>
        <c:grouping val="standard"/>
        <c:varyColors val="0"/>
        <c:ser>
          <c:idx val="0"/>
          <c:order val="0"/>
          <c:tx>
            <c:v>Cons disc rate (base)</c:v>
          </c:tx>
          <c:marker>
            <c:symbol val="diamond"/>
            <c:size val="5"/>
            <c:spPr>
              <a:solidFill>
                <a:schemeClr val="accent1">
                  <a:lumMod val="20000"/>
                  <a:lumOff val="80000"/>
                </a:schemeClr>
              </a:solidFill>
            </c:spPr>
          </c:marker>
          <c:cat>
            <c:numRef>
              <c:f>Base!$C$2:$T$2</c:f>
              <c:numCache>
                <c:formatCode>_(* #,##0.000_);_(* \(#,##0.000\);_(* "-"??_);_(@_)</c:formatCode>
                <c:ptCount val="18"/>
                <c:pt idx="0">
                  <c:v>2015</c:v>
                </c:pt>
                <c:pt idx="1">
                  <c:v>2020</c:v>
                </c:pt>
                <c:pt idx="2">
                  <c:v>2025</c:v>
                </c:pt>
                <c:pt idx="3">
                  <c:v>2030</c:v>
                </c:pt>
                <c:pt idx="4">
                  <c:v>2035</c:v>
                </c:pt>
                <c:pt idx="5">
                  <c:v>2040</c:v>
                </c:pt>
                <c:pt idx="6">
                  <c:v>2045</c:v>
                </c:pt>
                <c:pt idx="7">
                  <c:v>2050</c:v>
                </c:pt>
                <c:pt idx="8">
                  <c:v>2055</c:v>
                </c:pt>
                <c:pt idx="9">
                  <c:v>2060</c:v>
                </c:pt>
                <c:pt idx="10">
                  <c:v>2065</c:v>
                </c:pt>
                <c:pt idx="11">
                  <c:v>2070</c:v>
                </c:pt>
                <c:pt idx="12">
                  <c:v>2075</c:v>
                </c:pt>
                <c:pt idx="13">
                  <c:v>2080</c:v>
                </c:pt>
                <c:pt idx="14">
                  <c:v>2085</c:v>
                </c:pt>
                <c:pt idx="15">
                  <c:v>2090</c:v>
                </c:pt>
                <c:pt idx="16">
                  <c:v>2095</c:v>
                </c:pt>
                <c:pt idx="17">
                  <c:v>2100</c:v>
                </c:pt>
              </c:numCache>
            </c:numRef>
          </c:cat>
          <c:val>
            <c:numRef>
              <c:f>Base!$C$154:$T$154</c:f>
              <c:numCache>
                <c:formatCode>_(* #,##0.000_);_(* \(#,##0.000\);_(* "-"??_);_(@_)</c:formatCode>
                <c:ptCount val="18"/>
                <c:pt idx="0" formatCode="_(* #,##0.00000_);_(* \(#,##0.00000\);_(* &quot;-&quot;??_);_(@_)">
                  <c:v>5.1594615223018003E-2</c:v>
                </c:pt>
                <c:pt idx="1">
                  <c:v>5.0721601094942725E-2</c:v>
                </c:pt>
                <c:pt idx="2">
                  <c:v>4.9675917957545446E-2</c:v>
                </c:pt>
                <c:pt idx="3">
                  <c:v>4.8553626146752515E-2</c:v>
                </c:pt>
                <c:pt idx="4">
                  <c:v>4.7406935926568528E-2</c:v>
                </c:pt>
                <c:pt idx="5">
                  <c:v>4.6264094867610073E-2</c:v>
                </c:pt>
                <c:pt idx="6">
                  <c:v>4.514025251833309E-2</c:v>
                </c:pt>
                <c:pt idx="7">
                  <c:v>4.4043184586864736E-2</c:v>
                </c:pt>
                <c:pt idx="8">
                  <c:v>4.2976597860111987E-2</c:v>
                </c:pt>
                <c:pt idx="9">
                  <c:v>4.194202473491826E-2</c:v>
                </c:pt>
                <c:pt idx="10">
                  <c:v>4.0939958004671206E-2</c:v>
                </c:pt>
                <c:pt idx="11">
                  <c:v>3.9970440776678995E-2</c:v>
                </c:pt>
                <c:pt idx="12">
                  <c:v>3.9033443977856352E-2</c:v>
                </c:pt>
                <c:pt idx="13">
                  <c:v>3.812888543794557E-2</c:v>
                </c:pt>
                <c:pt idx="14">
                  <c:v>3.7256741975219221E-2</c:v>
                </c:pt>
                <c:pt idx="15">
                  <c:v>3.641701594532698E-2</c:v>
                </c:pt>
                <c:pt idx="16">
                  <c:v>3.5609879758786933E-2</c:v>
                </c:pt>
                <c:pt idx="17">
                  <c:v>3.4835833873789079E-2</c:v>
                </c:pt>
              </c:numCache>
            </c:numRef>
          </c:val>
          <c:smooth val="0"/>
        </c:ser>
        <c:ser>
          <c:idx val="1"/>
          <c:order val="1"/>
          <c:tx>
            <c:v>Cons disc rate (opt)</c:v>
          </c:tx>
          <c:marker>
            <c:symbol val="square"/>
            <c:size val="5"/>
            <c:spPr>
              <a:noFill/>
            </c:spPr>
          </c:marker>
          <c:cat>
            <c:numRef>
              <c:f>Base!$C$2:$T$2</c:f>
              <c:numCache>
                <c:formatCode>_(* #,##0.000_);_(* \(#,##0.000\);_(* "-"??_);_(@_)</c:formatCode>
                <c:ptCount val="18"/>
                <c:pt idx="0">
                  <c:v>2015</c:v>
                </c:pt>
                <c:pt idx="1">
                  <c:v>2020</c:v>
                </c:pt>
                <c:pt idx="2">
                  <c:v>2025</c:v>
                </c:pt>
                <c:pt idx="3">
                  <c:v>2030</c:v>
                </c:pt>
                <c:pt idx="4">
                  <c:v>2035</c:v>
                </c:pt>
                <c:pt idx="5">
                  <c:v>2040</c:v>
                </c:pt>
                <c:pt idx="6">
                  <c:v>2045</c:v>
                </c:pt>
                <c:pt idx="7">
                  <c:v>2050</c:v>
                </c:pt>
                <c:pt idx="8">
                  <c:v>2055</c:v>
                </c:pt>
                <c:pt idx="9">
                  <c:v>2060</c:v>
                </c:pt>
                <c:pt idx="10">
                  <c:v>2065</c:v>
                </c:pt>
                <c:pt idx="11">
                  <c:v>2070</c:v>
                </c:pt>
                <c:pt idx="12">
                  <c:v>2075</c:v>
                </c:pt>
                <c:pt idx="13">
                  <c:v>2080</c:v>
                </c:pt>
                <c:pt idx="14">
                  <c:v>2085</c:v>
                </c:pt>
                <c:pt idx="15">
                  <c:v>2090</c:v>
                </c:pt>
                <c:pt idx="16">
                  <c:v>2095</c:v>
                </c:pt>
                <c:pt idx="17">
                  <c:v>2100</c:v>
                </c:pt>
              </c:numCache>
            </c:numRef>
          </c:cat>
          <c:val>
            <c:numRef>
              <c:f>Opttax!$C$158:$T$158</c:f>
              <c:numCache>
                <c:formatCode>_(* #,##0.0000_);_(* \(#,##0.0000\);_(* "-"??_);_(@_)</c:formatCode>
                <c:ptCount val="18"/>
                <c:pt idx="0">
                  <c:v>5.1620343515456302E-2</c:v>
                </c:pt>
                <c:pt idx="1">
                  <c:v>5.0704374025787979E-2</c:v>
                </c:pt>
                <c:pt idx="2">
                  <c:v>4.9636591241446926E-2</c:v>
                </c:pt>
                <c:pt idx="3">
                  <c:v>4.8504795964295244E-2</c:v>
                </c:pt>
                <c:pt idx="4">
                  <c:v>4.7357941235274925E-2</c:v>
                </c:pt>
                <c:pt idx="5">
                  <c:v>4.6222561896068104E-2</c:v>
                </c:pt>
                <c:pt idx="6">
                  <c:v>4.5112869445639081E-2</c:v>
                </c:pt>
                <c:pt idx="7">
                  <c:v>4.4036367639258334E-2</c:v>
                </c:pt>
                <c:pt idx="8">
                  <c:v>4.2996959807395374E-2</c:v>
                </c:pt>
                <c:pt idx="9">
                  <c:v>4.1996660122490148E-2</c:v>
                </c:pt>
                <c:pt idx="10">
                  <c:v>4.1036534893764465E-2</c:v>
                </c:pt>
                <c:pt idx="11">
                  <c:v>4.011722962080011E-2</c:v>
                </c:pt>
                <c:pt idx="12">
                  <c:v>3.9239290933774873E-2</c:v>
                </c:pt>
                <c:pt idx="13">
                  <c:v>3.8403418644277876E-2</c:v>
                </c:pt>
                <c:pt idx="14">
                  <c:v>3.7610756630744646E-2</c:v>
                </c:pt>
                <c:pt idx="15">
                  <c:v>3.6863343516872371E-2</c:v>
                </c:pt>
                <c:pt idx="16">
                  <c:v>3.6164900861893168E-2</c:v>
                </c:pt>
                <c:pt idx="17">
                  <c:v>3.5522260709961451E-2</c:v>
                </c:pt>
              </c:numCache>
            </c:numRef>
          </c:val>
          <c:smooth val="0"/>
        </c:ser>
        <c:ser>
          <c:idx val="2"/>
          <c:order val="2"/>
          <c:tx>
            <c:v>SternCalib</c:v>
          </c:tx>
          <c:val>
            <c:numRef>
              <c:f>sterncalib!$B$158:$T$158</c:f>
              <c:numCache>
                <c:formatCode>_(* #,##0.0000_);_(* \(#,##0.0000\);_(* "-"??_);_(@_)</c:formatCode>
                <c:ptCount val="19"/>
                <c:pt idx="1">
                  <c:v>5.2036810359082475E-2</c:v>
                </c:pt>
                <c:pt idx="2">
                  <c:v>5.1303743635947585E-2</c:v>
                </c:pt>
                <c:pt idx="3">
                  <c:v>5.0159000719646407E-2</c:v>
                </c:pt>
                <c:pt idx="4">
                  <c:v>4.8784065716894309E-2</c:v>
                </c:pt>
                <c:pt idx="5">
                  <c:v>4.7290939116163777E-2</c:v>
                </c:pt>
                <c:pt idx="6">
                  <c:v>4.5748512098864991E-2</c:v>
                </c:pt>
                <c:pt idx="7">
                  <c:v>4.419931318830006E-2</c:v>
                </c:pt>
                <c:pt idx="8">
                  <c:v>4.2669970281504321E-2</c:v>
                </c:pt>
                <c:pt idx="9">
                  <c:v>4.1177729974886557E-2</c:v>
                </c:pt>
                <c:pt idx="10">
                  <c:v>3.9734574186234939E-2</c:v>
                </c:pt>
                <c:pt idx="11">
                  <c:v>3.8349961589579262E-2</c:v>
                </c:pt>
                <c:pt idx="12">
                  <c:v>3.7032875934838616E-2</c:v>
                </c:pt>
                <c:pt idx="13">
                  <c:v>3.5793708309022287E-2</c:v>
                </c:pt>
                <c:pt idx="14">
                  <c:v>3.464646209925859E-2</c:v>
                </c:pt>
                <c:pt idx="15">
                  <c:v>3.3611822567197081E-2</c:v>
                </c:pt>
                <c:pt idx="16">
                  <c:v>3.2721937944806045E-2</c:v>
                </c:pt>
                <c:pt idx="17">
                  <c:v>3.2027453015933682E-2</c:v>
                </c:pt>
                <c:pt idx="18">
                  <c:v>3.1496984257903593E-2</c:v>
                </c:pt>
              </c:numCache>
            </c:numRef>
          </c:val>
          <c:smooth val="0"/>
        </c:ser>
        <c:ser>
          <c:idx val="3"/>
          <c:order val="3"/>
          <c:tx>
            <c:v>Stern</c:v>
          </c:tx>
          <c:val>
            <c:numRef>
              <c:f>stern!$C$158:$T$158</c:f>
              <c:numCache>
                <c:formatCode>_(* #,##0.0000_);_(* \(#,##0.0000\);_(* "-"??_);_(@_)</c:formatCode>
                <c:ptCount val="18"/>
                <c:pt idx="0">
                  <c:v>3.0262851067084151E-2</c:v>
                </c:pt>
                <c:pt idx="1">
                  <c:v>2.7445716489106653E-2</c:v>
                </c:pt>
                <c:pt idx="2">
                  <c:v>2.5538076910420315E-2</c:v>
                </c:pt>
                <c:pt idx="3">
                  <c:v>2.4133213358548344E-2</c:v>
                </c:pt>
                <c:pt idx="4">
                  <c:v>2.3027692121177612E-2</c:v>
                </c:pt>
                <c:pt idx="5">
                  <c:v>2.212526395785841E-2</c:v>
                </c:pt>
                <c:pt idx="6">
                  <c:v>2.139320855227278E-2</c:v>
                </c:pt>
                <c:pt idx="7">
                  <c:v>2.0847284613521255E-2</c:v>
                </c:pt>
                <c:pt idx="8">
                  <c:v>2.0549664589500027E-2</c:v>
                </c:pt>
                <c:pt idx="9">
                  <c:v>2.0234745326106474E-2</c:v>
                </c:pt>
                <c:pt idx="10">
                  <c:v>1.9782604140288207E-2</c:v>
                </c:pt>
                <c:pt idx="11">
                  <c:v>1.9263955217954765E-2</c:v>
                </c:pt>
                <c:pt idx="12">
                  <c:v>1.8718546107899359E-2</c:v>
                </c:pt>
                <c:pt idx="13">
                  <c:v>1.816781053824057E-2</c:v>
                </c:pt>
                <c:pt idx="14">
                  <c:v>1.7623157606738715E-2</c:v>
                </c:pt>
                <c:pt idx="15">
                  <c:v>1.7090532476045306E-2</c:v>
                </c:pt>
                <c:pt idx="16">
                  <c:v>1.6572925114596959E-2</c:v>
                </c:pt>
                <c:pt idx="17">
                  <c:v>1.6071763525266958E-2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7865216"/>
        <c:axId val="127866752"/>
      </c:lineChart>
      <c:catAx>
        <c:axId val="127865216"/>
        <c:scaling>
          <c:orientation val="minMax"/>
        </c:scaling>
        <c:delete val="0"/>
        <c:axPos val="b"/>
        <c:numFmt formatCode="#,##0" sourceLinked="0"/>
        <c:majorTickMark val="out"/>
        <c:minorTickMark val="none"/>
        <c:tickLblPos val="nextTo"/>
        <c:crossAx val="127866752"/>
        <c:crosses val="autoZero"/>
        <c:auto val="1"/>
        <c:lblAlgn val="ctr"/>
        <c:lblOffset val="100"/>
        <c:tickLblSkip val="4"/>
        <c:noMultiLvlLbl val="0"/>
      </c:catAx>
      <c:valAx>
        <c:axId val="127866752"/>
        <c:scaling>
          <c:orientation val="minMax"/>
        </c:scaling>
        <c:delete val="0"/>
        <c:axPos val="l"/>
        <c:majorGridlines/>
        <c:numFmt formatCode="0.0%" sourceLinked="0"/>
        <c:majorTickMark val="out"/>
        <c:minorTickMark val="none"/>
        <c:tickLblPos val="nextTo"/>
        <c:crossAx val="12786521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19045309943782532"/>
          <c:y val="0.66165321062819094"/>
          <c:w val="0.28824437800390601"/>
          <c:h val="0.23635319959028533"/>
        </c:manualLayout>
      </c:layout>
      <c:overlay val="0"/>
      <c:spPr>
        <a:solidFill>
          <a:schemeClr val="bg1"/>
        </a:solidFill>
        <a:ln>
          <a:solidFill>
            <a:schemeClr val="accent1"/>
          </a:solidFill>
        </a:ln>
      </c:spPr>
    </c:legend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Emissions control</a:t>
            </a:r>
            <a:r>
              <a:rPr lang="en-US" baseline="0"/>
              <a:t> rate</a:t>
            </a:r>
            <a:endParaRPr lang="en-US"/>
          </a:p>
        </c:rich>
      </c:tx>
      <c:layout>
        <c:manualLayout>
          <c:xMode val="edge"/>
          <c:yMode val="edge"/>
          <c:x val="0.25199110830538279"/>
          <c:y val="5.4676245646354843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8.9600480134823995E-2"/>
          <c:y val="4.2379493665407525E-2"/>
          <c:w val="0.88799138371185327"/>
          <c:h val="0.86199569117869845"/>
        </c:manualLayout>
      </c:layout>
      <c:lineChart>
        <c:grouping val="standard"/>
        <c:varyColors val="0"/>
        <c:ser>
          <c:idx val="1"/>
          <c:order val="0"/>
          <c:tx>
            <c:v>Base</c:v>
          </c:tx>
          <c:marker>
            <c:spPr>
              <a:noFill/>
            </c:spPr>
          </c:marker>
          <c:cat>
            <c:numRef>
              <c:f>Base!$B$2:$BT$2</c:f>
              <c:numCache>
                <c:formatCode>_(* #,##0.000_);_(* \(#,##0.000\);_(* "-"??_);_(@_)</c:formatCode>
                <c:ptCount val="71"/>
                <c:pt idx="0">
                  <c:v>2010</c:v>
                </c:pt>
                <c:pt idx="1">
                  <c:v>2015</c:v>
                </c:pt>
                <c:pt idx="2">
                  <c:v>2020</c:v>
                </c:pt>
                <c:pt idx="3">
                  <c:v>2025</c:v>
                </c:pt>
                <c:pt idx="4">
                  <c:v>2030</c:v>
                </c:pt>
                <c:pt idx="5">
                  <c:v>2035</c:v>
                </c:pt>
                <c:pt idx="6">
                  <c:v>2040</c:v>
                </c:pt>
                <c:pt idx="7">
                  <c:v>2045</c:v>
                </c:pt>
                <c:pt idx="8">
                  <c:v>2050</c:v>
                </c:pt>
                <c:pt idx="9">
                  <c:v>2055</c:v>
                </c:pt>
                <c:pt idx="10">
                  <c:v>2060</c:v>
                </c:pt>
                <c:pt idx="11">
                  <c:v>2065</c:v>
                </c:pt>
                <c:pt idx="12">
                  <c:v>2070</c:v>
                </c:pt>
                <c:pt idx="13">
                  <c:v>2075</c:v>
                </c:pt>
                <c:pt idx="14">
                  <c:v>2080</c:v>
                </c:pt>
                <c:pt idx="15">
                  <c:v>2085</c:v>
                </c:pt>
                <c:pt idx="16">
                  <c:v>2090</c:v>
                </c:pt>
                <c:pt idx="17">
                  <c:v>2095</c:v>
                </c:pt>
                <c:pt idx="18">
                  <c:v>2100</c:v>
                </c:pt>
                <c:pt idx="19">
                  <c:v>2105</c:v>
                </c:pt>
                <c:pt idx="20">
                  <c:v>2110</c:v>
                </c:pt>
                <c:pt idx="21">
                  <c:v>2115</c:v>
                </c:pt>
                <c:pt idx="22">
                  <c:v>2120</c:v>
                </c:pt>
                <c:pt idx="23">
                  <c:v>2125</c:v>
                </c:pt>
                <c:pt idx="24">
                  <c:v>2130</c:v>
                </c:pt>
                <c:pt idx="25">
                  <c:v>2135</c:v>
                </c:pt>
                <c:pt idx="26">
                  <c:v>2140</c:v>
                </c:pt>
                <c:pt idx="27">
                  <c:v>2145</c:v>
                </c:pt>
                <c:pt idx="28">
                  <c:v>2150</c:v>
                </c:pt>
                <c:pt idx="29">
                  <c:v>2155</c:v>
                </c:pt>
                <c:pt idx="30">
                  <c:v>2160</c:v>
                </c:pt>
                <c:pt idx="31">
                  <c:v>2165</c:v>
                </c:pt>
                <c:pt idx="32">
                  <c:v>2170</c:v>
                </c:pt>
                <c:pt idx="33">
                  <c:v>2175</c:v>
                </c:pt>
                <c:pt idx="34">
                  <c:v>2180</c:v>
                </c:pt>
                <c:pt idx="35">
                  <c:v>2185</c:v>
                </c:pt>
                <c:pt idx="36">
                  <c:v>2190</c:v>
                </c:pt>
                <c:pt idx="37">
                  <c:v>2195</c:v>
                </c:pt>
                <c:pt idx="38">
                  <c:v>2200</c:v>
                </c:pt>
                <c:pt idx="39">
                  <c:v>2205</c:v>
                </c:pt>
                <c:pt idx="40">
                  <c:v>2210</c:v>
                </c:pt>
                <c:pt idx="41">
                  <c:v>2215</c:v>
                </c:pt>
                <c:pt idx="42">
                  <c:v>2220</c:v>
                </c:pt>
                <c:pt idx="43">
                  <c:v>2225</c:v>
                </c:pt>
                <c:pt idx="44">
                  <c:v>2230</c:v>
                </c:pt>
                <c:pt idx="45">
                  <c:v>2235</c:v>
                </c:pt>
                <c:pt idx="46">
                  <c:v>2240</c:v>
                </c:pt>
                <c:pt idx="47">
                  <c:v>2245</c:v>
                </c:pt>
                <c:pt idx="48">
                  <c:v>2250</c:v>
                </c:pt>
                <c:pt idx="49">
                  <c:v>2255</c:v>
                </c:pt>
                <c:pt idx="50">
                  <c:v>2260</c:v>
                </c:pt>
                <c:pt idx="51">
                  <c:v>2265</c:v>
                </c:pt>
                <c:pt idx="52">
                  <c:v>2270</c:v>
                </c:pt>
                <c:pt idx="53">
                  <c:v>2275</c:v>
                </c:pt>
                <c:pt idx="54">
                  <c:v>2280</c:v>
                </c:pt>
                <c:pt idx="55">
                  <c:v>2285</c:v>
                </c:pt>
                <c:pt idx="56">
                  <c:v>2290</c:v>
                </c:pt>
                <c:pt idx="57">
                  <c:v>2295</c:v>
                </c:pt>
                <c:pt idx="58">
                  <c:v>2300</c:v>
                </c:pt>
                <c:pt idx="59">
                  <c:v>2305</c:v>
                </c:pt>
              </c:numCache>
            </c:numRef>
          </c:cat>
          <c:val>
            <c:numRef>
              <c:f>Base!$B$135:$BT$135</c:f>
              <c:numCache>
                <c:formatCode>#,##0.0000_);\(#,##0.0000\)</c:formatCode>
                <c:ptCount val="71"/>
                <c:pt idx="0">
                  <c:v>3.8976322961607419E-2</c:v>
                </c:pt>
                <c:pt idx="1">
                  <c:v>4.1763681789451099E-2</c:v>
                </c:pt>
                <c:pt idx="2">
                  <c:v>4.4750376230533087E-2</c:v>
                </c:pt>
                <c:pt idx="3">
                  <c:v>4.7950661602123634E-2</c:v>
                </c:pt>
                <c:pt idx="4">
                  <c:v>5.1379812681496398E-2</c:v>
                </c:pt>
                <c:pt idx="5">
                  <c:v>5.5054196604270633E-2</c:v>
                </c:pt>
                <c:pt idx="6">
                  <c:v>5.899135098992387E-2</c:v>
                </c:pt>
                <c:pt idx="7">
                  <c:v>6.3210067648711482E-2</c:v>
                </c:pt>
                <c:pt idx="8">
                  <c:v>6.7730482265692796E-2</c:v>
                </c:pt>
                <c:pt idx="9">
                  <c:v>7.2574170518508646E-2</c:v>
                </c:pt>
                <c:pt idx="10">
                  <c:v>7.7764251047267016E-2</c:v>
                </c:pt>
                <c:pt idx="11">
                  <c:v>8.3325495801654187E-2</c:v>
                </c:pt>
                <c:pt idx="12">
                  <c:v>8.9284448280865125E-2</c:v>
                </c:pt>
                <c:pt idx="13">
                  <c:v>9.5669550213232396E-2</c:v>
                </c:pt>
                <c:pt idx="14">
                  <c:v>0.10251127732033963</c:v>
                </c:pt>
                <c:pt idx="15">
                  <c:v>0.10984228476523736</c:v>
                </c:pt>
                <c:pt idx="16">
                  <c:v>0.117697563017892</c:v>
                </c:pt>
                <c:pt idx="17">
                  <c:v>0.12611460486164955</c:v>
                </c:pt>
                <c:pt idx="18">
                  <c:v>0.13513358434653355</c:v>
                </c:pt>
                <c:pt idx="19">
                  <c:v>0.14479754853404289</c:v>
                </c:pt>
                <c:pt idx="20">
                  <c:v>0.15515262296177337</c:v>
                </c:pt>
                <c:pt idx="21">
                  <c:v>0.16624823179229323</c:v>
                </c:pt>
                <c:pt idx="22">
                  <c:v>0.1781373337217208</c:v>
                </c:pt>
                <c:pt idx="23">
                  <c:v>0.19087667473632991</c:v>
                </c:pt>
                <c:pt idx="24">
                  <c:v>0.20452705896799719</c:v>
                </c:pt>
                <c:pt idx="25">
                  <c:v>0.21915363890262818</c:v>
                </c:pt>
                <c:pt idx="26">
                  <c:v>0.23482622635097872</c:v>
                </c:pt>
                <c:pt idx="27">
                  <c:v>0.25161962565837315</c:v>
                </c:pt>
                <c:pt idx="28">
                  <c:v>0.26961399073885811</c:v>
                </c:pt>
                <c:pt idx="29">
                  <c:v>0.28889520764374826</c:v>
                </c:pt>
                <c:pt idx="30">
                  <c:v>0.30955530449675772</c:v>
                </c:pt>
                <c:pt idx="31">
                  <c:v>0.33169289073156716</c:v>
                </c:pt>
                <c:pt idx="32">
                  <c:v>0.35541362775511665</c:v>
                </c:pt>
                <c:pt idx="33">
                  <c:v>0.38083073325887362</c:v>
                </c:pt>
                <c:pt idx="34">
                  <c:v>0.40806552160225951</c:v>
                </c:pt>
                <c:pt idx="35">
                  <c:v>0.43724798283859007</c:v>
                </c:pt>
                <c:pt idx="36">
                  <c:v>0.4685174031514211</c:v>
                </c:pt>
                <c:pt idx="37">
                  <c:v>0.50202302965577317</c:v>
                </c:pt>
                <c:pt idx="38">
                  <c:v>0.53792478274989508</c:v>
                </c:pt>
                <c:pt idx="39">
                  <c:v>0.5763940194045446</c:v>
                </c:pt>
                <c:pt idx="40">
                  <c:v>0.6176143510369575</c:v>
                </c:pt>
                <c:pt idx="41">
                  <c:v>0.66178251988334214</c:v>
                </c:pt>
                <c:pt idx="42">
                  <c:v>0.70910933803147658</c:v>
                </c:pt>
                <c:pt idx="43">
                  <c:v>0.75982069362106486</c:v>
                </c:pt>
                <c:pt idx="44">
                  <c:v>0.81415862898843427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</c:numCache>
            </c:numRef>
          </c:val>
          <c:smooth val="0"/>
        </c:ser>
        <c:ser>
          <c:idx val="0"/>
          <c:order val="1"/>
          <c:tx>
            <c:v>Optimal</c:v>
          </c:tx>
          <c:cat>
            <c:numRef>
              <c:f>Base!$B$2:$BT$2</c:f>
              <c:numCache>
                <c:formatCode>_(* #,##0.000_);_(* \(#,##0.000\);_(* "-"??_);_(@_)</c:formatCode>
                <c:ptCount val="71"/>
                <c:pt idx="0">
                  <c:v>2010</c:v>
                </c:pt>
                <c:pt idx="1">
                  <c:v>2015</c:v>
                </c:pt>
                <c:pt idx="2">
                  <c:v>2020</c:v>
                </c:pt>
                <c:pt idx="3">
                  <c:v>2025</c:v>
                </c:pt>
                <c:pt idx="4">
                  <c:v>2030</c:v>
                </c:pt>
                <c:pt idx="5">
                  <c:v>2035</c:v>
                </c:pt>
                <c:pt idx="6">
                  <c:v>2040</c:v>
                </c:pt>
                <c:pt idx="7">
                  <c:v>2045</c:v>
                </c:pt>
                <c:pt idx="8">
                  <c:v>2050</c:v>
                </c:pt>
                <c:pt idx="9">
                  <c:v>2055</c:v>
                </c:pt>
                <c:pt idx="10">
                  <c:v>2060</c:v>
                </c:pt>
                <c:pt idx="11">
                  <c:v>2065</c:v>
                </c:pt>
                <c:pt idx="12">
                  <c:v>2070</c:v>
                </c:pt>
                <c:pt idx="13">
                  <c:v>2075</c:v>
                </c:pt>
                <c:pt idx="14">
                  <c:v>2080</c:v>
                </c:pt>
                <c:pt idx="15">
                  <c:v>2085</c:v>
                </c:pt>
                <c:pt idx="16">
                  <c:v>2090</c:v>
                </c:pt>
                <c:pt idx="17">
                  <c:v>2095</c:v>
                </c:pt>
                <c:pt idx="18">
                  <c:v>2100</c:v>
                </c:pt>
                <c:pt idx="19">
                  <c:v>2105</c:v>
                </c:pt>
                <c:pt idx="20">
                  <c:v>2110</c:v>
                </c:pt>
                <c:pt idx="21">
                  <c:v>2115</c:v>
                </c:pt>
                <c:pt idx="22">
                  <c:v>2120</c:v>
                </c:pt>
                <c:pt idx="23">
                  <c:v>2125</c:v>
                </c:pt>
                <c:pt idx="24">
                  <c:v>2130</c:v>
                </c:pt>
                <c:pt idx="25">
                  <c:v>2135</c:v>
                </c:pt>
                <c:pt idx="26">
                  <c:v>2140</c:v>
                </c:pt>
                <c:pt idx="27">
                  <c:v>2145</c:v>
                </c:pt>
                <c:pt idx="28">
                  <c:v>2150</c:v>
                </c:pt>
                <c:pt idx="29">
                  <c:v>2155</c:v>
                </c:pt>
                <c:pt idx="30">
                  <c:v>2160</c:v>
                </c:pt>
                <c:pt idx="31">
                  <c:v>2165</c:v>
                </c:pt>
                <c:pt idx="32">
                  <c:v>2170</c:v>
                </c:pt>
                <c:pt idx="33">
                  <c:v>2175</c:v>
                </c:pt>
                <c:pt idx="34">
                  <c:v>2180</c:v>
                </c:pt>
                <c:pt idx="35">
                  <c:v>2185</c:v>
                </c:pt>
                <c:pt idx="36">
                  <c:v>2190</c:v>
                </c:pt>
                <c:pt idx="37">
                  <c:v>2195</c:v>
                </c:pt>
                <c:pt idx="38">
                  <c:v>2200</c:v>
                </c:pt>
                <c:pt idx="39">
                  <c:v>2205</c:v>
                </c:pt>
                <c:pt idx="40">
                  <c:v>2210</c:v>
                </c:pt>
                <c:pt idx="41">
                  <c:v>2215</c:v>
                </c:pt>
                <c:pt idx="42">
                  <c:v>2220</c:v>
                </c:pt>
                <c:pt idx="43">
                  <c:v>2225</c:v>
                </c:pt>
                <c:pt idx="44">
                  <c:v>2230</c:v>
                </c:pt>
                <c:pt idx="45">
                  <c:v>2235</c:v>
                </c:pt>
                <c:pt idx="46">
                  <c:v>2240</c:v>
                </c:pt>
                <c:pt idx="47">
                  <c:v>2245</c:v>
                </c:pt>
                <c:pt idx="48">
                  <c:v>2250</c:v>
                </c:pt>
                <c:pt idx="49">
                  <c:v>2255</c:v>
                </c:pt>
                <c:pt idx="50">
                  <c:v>2260</c:v>
                </c:pt>
                <c:pt idx="51">
                  <c:v>2265</c:v>
                </c:pt>
                <c:pt idx="52">
                  <c:v>2270</c:v>
                </c:pt>
                <c:pt idx="53">
                  <c:v>2275</c:v>
                </c:pt>
                <c:pt idx="54">
                  <c:v>2280</c:v>
                </c:pt>
                <c:pt idx="55">
                  <c:v>2285</c:v>
                </c:pt>
                <c:pt idx="56">
                  <c:v>2290</c:v>
                </c:pt>
                <c:pt idx="57">
                  <c:v>2295</c:v>
                </c:pt>
                <c:pt idx="58">
                  <c:v>2300</c:v>
                </c:pt>
                <c:pt idx="59">
                  <c:v>2305</c:v>
                </c:pt>
              </c:numCache>
            </c:numRef>
          </c:cat>
          <c:val>
            <c:numRef>
              <c:f>Opttax!$B$137:$BT$137</c:f>
              <c:numCache>
                <c:formatCode>_(* #,##0.000_);_(* \(#,##0.000\);_(* "-"??_);_(@_)</c:formatCode>
                <c:ptCount val="71"/>
                <c:pt idx="0">
                  <c:v>3.8976322961607419E-2</c:v>
                </c:pt>
                <c:pt idx="1">
                  <c:v>0.20631954723585649</c:v>
                </c:pt>
                <c:pt idx="2">
                  <c:v>0.23111628628713177</c:v>
                </c:pt>
                <c:pt idx="3">
                  <c:v>0.25772920286418555</c:v>
                </c:pt>
                <c:pt idx="4">
                  <c:v>0.28612581733196923</c:v>
                </c:pt>
                <c:pt idx="5">
                  <c:v>0.31628493214709436</c:v>
                </c:pt>
                <c:pt idx="6">
                  <c:v>0.34819236203426607</c:v>
                </c:pt>
                <c:pt idx="7">
                  <c:v>0.38183803071994732</c:v>
                </c:pt>
                <c:pt idx="8">
                  <c:v>0.41721395178748272</c:v>
                </c:pt>
                <c:pt idx="9">
                  <c:v>0.45431278607069059</c:v>
                </c:pt>
                <c:pt idx="10">
                  <c:v>0.49312677591932436</c:v>
                </c:pt>
                <c:pt idx="11">
                  <c:v>0.53364692212679776</c:v>
                </c:pt>
                <c:pt idx="12">
                  <c:v>0.57586230947273009</c:v>
                </c:pt>
                <c:pt idx="13">
                  <c:v>0.61975951629495873</c:v>
                </c:pt>
                <c:pt idx="14">
                  <c:v>0.66532207514353348</c:v>
                </c:pt>
                <c:pt idx="15">
                  <c:v>0.71253000542426204</c:v>
                </c:pt>
                <c:pt idx="16">
                  <c:v>0.76135954590401711</c:v>
                </c:pt>
                <c:pt idx="17">
                  <c:v>0.81178343399853004</c:v>
                </c:pt>
                <c:pt idx="18">
                  <c:v>0.86377252029964213</c:v>
                </c:pt>
                <c:pt idx="19">
                  <c:v>0.91731567506583034</c:v>
                </c:pt>
                <c:pt idx="20">
                  <c:v>0.97237275394639278</c:v>
                </c:pt>
                <c:pt idx="21">
                  <c:v>0.99999999999999967</c:v>
                </c:pt>
                <c:pt idx="22">
                  <c:v>1</c:v>
                </c:pt>
                <c:pt idx="23">
                  <c:v>1</c:v>
                </c:pt>
                <c:pt idx="24">
                  <c:v>0.99999999999999911</c:v>
                </c:pt>
                <c:pt idx="25">
                  <c:v>1</c:v>
                </c:pt>
                <c:pt idx="26">
                  <c:v>0.99999999999999978</c:v>
                </c:pt>
                <c:pt idx="27">
                  <c:v>0.99999999999999944</c:v>
                </c:pt>
                <c:pt idx="28">
                  <c:v>1</c:v>
                </c:pt>
                <c:pt idx="29">
                  <c:v>0.99999999999999856</c:v>
                </c:pt>
                <c:pt idx="30">
                  <c:v>1</c:v>
                </c:pt>
                <c:pt idx="31">
                  <c:v>1</c:v>
                </c:pt>
                <c:pt idx="32">
                  <c:v>0.999999999999999</c:v>
                </c:pt>
                <c:pt idx="33">
                  <c:v>1</c:v>
                </c:pt>
                <c:pt idx="34">
                  <c:v>1</c:v>
                </c:pt>
                <c:pt idx="35">
                  <c:v>0.99999999999999856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0.99999999999999956</c:v>
                </c:pt>
                <c:pt idx="43">
                  <c:v>1</c:v>
                </c:pt>
                <c:pt idx="44">
                  <c:v>1</c:v>
                </c:pt>
                <c:pt idx="45">
                  <c:v>0.99999999999999789</c:v>
                </c:pt>
                <c:pt idx="46">
                  <c:v>0.99999999999999889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0.90291011809974087</c:v>
                </c:pt>
                <c:pt idx="58">
                  <c:v>0.53572221326966063</c:v>
                </c:pt>
                <c:pt idx="59">
                  <c:v>9.9999999999999516E-3</c:v>
                </c:pt>
              </c:numCache>
            </c:numRef>
          </c:val>
          <c:smooth val="0"/>
        </c:ser>
        <c:ser>
          <c:idx val="2"/>
          <c:order val="2"/>
          <c:tx>
            <c:v>Limit t = 2</c:v>
          </c:tx>
          <c:cat>
            <c:numRef>
              <c:f>Base!$B$2:$BT$2</c:f>
              <c:numCache>
                <c:formatCode>_(* #,##0.000_);_(* \(#,##0.000\);_(* "-"??_);_(@_)</c:formatCode>
                <c:ptCount val="71"/>
                <c:pt idx="0">
                  <c:v>2010</c:v>
                </c:pt>
                <c:pt idx="1">
                  <c:v>2015</c:v>
                </c:pt>
                <c:pt idx="2">
                  <c:v>2020</c:v>
                </c:pt>
                <c:pt idx="3">
                  <c:v>2025</c:v>
                </c:pt>
                <c:pt idx="4">
                  <c:v>2030</c:v>
                </c:pt>
                <c:pt idx="5">
                  <c:v>2035</c:v>
                </c:pt>
                <c:pt idx="6">
                  <c:v>2040</c:v>
                </c:pt>
                <c:pt idx="7">
                  <c:v>2045</c:v>
                </c:pt>
                <c:pt idx="8">
                  <c:v>2050</c:v>
                </c:pt>
                <c:pt idx="9">
                  <c:v>2055</c:v>
                </c:pt>
                <c:pt idx="10">
                  <c:v>2060</c:v>
                </c:pt>
                <c:pt idx="11">
                  <c:v>2065</c:v>
                </c:pt>
                <c:pt idx="12">
                  <c:v>2070</c:v>
                </c:pt>
                <c:pt idx="13">
                  <c:v>2075</c:v>
                </c:pt>
                <c:pt idx="14">
                  <c:v>2080</c:v>
                </c:pt>
                <c:pt idx="15">
                  <c:v>2085</c:v>
                </c:pt>
                <c:pt idx="16">
                  <c:v>2090</c:v>
                </c:pt>
                <c:pt idx="17">
                  <c:v>2095</c:v>
                </c:pt>
                <c:pt idx="18">
                  <c:v>2100</c:v>
                </c:pt>
                <c:pt idx="19">
                  <c:v>2105</c:v>
                </c:pt>
                <c:pt idx="20">
                  <c:v>2110</c:v>
                </c:pt>
                <c:pt idx="21">
                  <c:v>2115</c:v>
                </c:pt>
                <c:pt idx="22">
                  <c:v>2120</c:v>
                </c:pt>
                <c:pt idx="23">
                  <c:v>2125</c:v>
                </c:pt>
                <c:pt idx="24">
                  <c:v>2130</c:v>
                </c:pt>
                <c:pt idx="25">
                  <c:v>2135</c:v>
                </c:pt>
                <c:pt idx="26">
                  <c:v>2140</c:v>
                </c:pt>
                <c:pt idx="27">
                  <c:v>2145</c:v>
                </c:pt>
                <c:pt idx="28">
                  <c:v>2150</c:v>
                </c:pt>
                <c:pt idx="29">
                  <c:v>2155</c:v>
                </c:pt>
                <c:pt idx="30">
                  <c:v>2160</c:v>
                </c:pt>
                <c:pt idx="31">
                  <c:v>2165</c:v>
                </c:pt>
                <c:pt idx="32">
                  <c:v>2170</c:v>
                </c:pt>
                <c:pt idx="33">
                  <c:v>2175</c:v>
                </c:pt>
                <c:pt idx="34">
                  <c:v>2180</c:v>
                </c:pt>
                <c:pt idx="35">
                  <c:v>2185</c:v>
                </c:pt>
                <c:pt idx="36">
                  <c:v>2190</c:v>
                </c:pt>
                <c:pt idx="37">
                  <c:v>2195</c:v>
                </c:pt>
                <c:pt idx="38">
                  <c:v>2200</c:v>
                </c:pt>
                <c:pt idx="39">
                  <c:v>2205</c:v>
                </c:pt>
                <c:pt idx="40">
                  <c:v>2210</c:v>
                </c:pt>
                <c:pt idx="41">
                  <c:v>2215</c:v>
                </c:pt>
                <c:pt idx="42">
                  <c:v>2220</c:v>
                </c:pt>
                <c:pt idx="43">
                  <c:v>2225</c:v>
                </c:pt>
                <c:pt idx="44">
                  <c:v>2230</c:v>
                </c:pt>
                <c:pt idx="45">
                  <c:v>2235</c:v>
                </c:pt>
                <c:pt idx="46">
                  <c:v>2240</c:v>
                </c:pt>
                <c:pt idx="47">
                  <c:v>2245</c:v>
                </c:pt>
                <c:pt idx="48">
                  <c:v>2250</c:v>
                </c:pt>
                <c:pt idx="49">
                  <c:v>2255</c:v>
                </c:pt>
                <c:pt idx="50">
                  <c:v>2260</c:v>
                </c:pt>
                <c:pt idx="51">
                  <c:v>2265</c:v>
                </c:pt>
                <c:pt idx="52">
                  <c:v>2270</c:v>
                </c:pt>
                <c:pt idx="53">
                  <c:v>2275</c:v>
                </c:pt>
                <c:pt idx="54">
                  <c:v>2280</c:v>
                </c:pt>
                <c:pt idx="55">
                  <c:v>2285</c:v>
                </c:pt>
                <c:pt idx="56">
                  <c:v>2290</c:v>
                </c:pt>
                <c:pt idx="57">
                  <c:v>2295</c:v>
                </c:pt>
                <c:pt idx="58">
                  <c:v>2300</c:v>
                </c:pt>
                <c:pt idx="59">
                  <c:v>2305</c:v>
                </c:pt>
              </c:numCache>
            </c:numRef>
          </c:cat>
          <c:val>
            <c:numRef>
              <c:f>Limt2!$B$137:$BT$137</c:f>
              <c:numCache>
                <c:formatCode>_(* #,##0.0000_);_(* \(#,##0.0000\);_(* "-"??_);_(@_)</c:formatCode>
                <c:ptCount val="71"/>
                <c:pt idx="0">
                  <c:v>3.8976322961607419E-2</c:v>
                </c:pt>
                <c:pt idx="1">
                  <c:v>0.33080499840555921</c:v>
                </c:pt>
                <c:pt idx="2">
                  <c:v>0.38119976285051183</c:v>
                </c:pt>
                <c:pt idx="3">
                  <c:v>0.43828885266917872</c:v>
                </c:pt>
                <c:pt idx="4">
                  <c:v>0.50264457569075771</c:v>
                </c:pt>
                <c:pt idx="5">
                  <c:v>0.57486773681719872</c:v>
                </c:pt>
                <c:pt idx="6">
                  <c:v>0.65556084611396503</c:v>
                </c:pt>
                <c:pt idx="7">
                  <c:v>0.74532006310756516</c:v>
                </c:pt>
                <c:pt idx="8">
                  <c:v>0.8447786492671765</c:v>
                </c:pt>
                <c:pt idx="9">
                  <c:v>0.95477639254103275</c:v>
                </c:pt>
                <c:pt idx="10">
                  <c:v>1</c:v>
                </c:pt>
                <c:pt idx="11">
                  <c:v>0.99999999999999978</c:v>
                </c:pt>
                <c:pt idx="12">
                  <c:v>1</c:v>
                </c:pt>
                <c:pt idx="13">
                  <c:v>1</c:v>
                </c:pt>
                <c:pt idx="14">
                  <c:v>0.99999999999999956</c:v>
                </c:pt>
                <c:pt idx="15">
                  <c:v>1</c:v>
                </c:pt>
                <c:pt idx="16">
                  <c:v>1</c:v>
                </c:pt>
                <c:pt idx="17">
                  <c:v>0.999999999999999</c:v>
                </c:pt>
                <c:pt idx="18">
                  <c:v>0.99999999999999944</c:v>
                </c:pt>
                <c:pt idx="19">
                  <c:v>0.99999999999999967</c:v>
                </c:pt>
                <c:pt idx="20">
                  <c:v>0.97637876570586901</c:v>
                </c:pt>
                <c:pt idx="21">
                  <c:v>0.97590320293342947</c:v>
                </c:pt>
                <c:pt idx="22">
                  <c:v>0.97931905142166376</c:v>
                </c:pt>
                <c:pt idx="23">
                  <c:v>1</c:v>
                </c:pt>
                <c:pt idx="24">
                  <c:v>0.99999999999999911</c:v>
                </c:pt>
                <c:pt idx="25">
                  <c:v>1</c:v>
                </c:pt>
                <c:pt idx="26">
                  <c:v>0.99999999999999978</c:v>
                </c:pt>
                <c:pt idx="27">
                  <c:v>0.99999999999999944</c:v>
                </c:pt>
                <c:pt idx="28">
                  <c:v>1</c:v>
                </c:pt>
                <c:pt idx="29">
                  <c:v>0.99999999999999856</c:v>
                </c:pt>
                <c:pt idx="30">
                  <c:v>1</c:v>
                </c:pt>
                <c:pt idx="31">
                  <c:v>1</c:v>
                </c:pt>
                <c:pt idx="32">
                  <c:v>0.999999999999999</c:v>
                </c:pt>
                <c:pt idx="33">
                  <c:v>1</c:v>
                </c:pt>
                <c:pt idx="34">
                  <c:v>1</c:v>
                </c:pt>
                <c:pt idx="35">
                  <c:v>0.99999999999999856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0.99999999999999956</c:v>
                </c:pt>
                <c:pt idx="43">
                  <c:v>1</c:v>
                </c:pt>
                <c:pt idx="44">
                  <c:v>1</c:v>
                </c:pt>
                <c:pt idx="45">
                  <c:v>0.99999999999999789</c:v>
                </c:pt>
                <c:pt idx="46">
                  <c:v>0.99999999999999889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0.80717511221726468</c:v>
                </c:pt>
                <c:pt idx="58">
                  <c:v>0.47701313991584626</c:v>
                </c:pt>
                <c:pt idx="59">
                  <c:v>9.9999999999999516E-3</c:v>
                </c:pt>
              </c:numCache>
            </c:numRef>
          </c:val>
          <c:smooth val="0"/>
        </c:ser>
        <c:ser>
          <c:idx val="3"/>
          <c:order val="3"/>
          <c:tx>
            <c:v>Stern</c:v>
          </c:tx>
          <c:cat>
            <c:numRef>
              <c:f>Base!$B$2:$BT$2</c:f>
              <c:numCache>
                <c:formatCode>_(* #,##0.000_);_(* \(#,##0.000\);_(* "-"??_);_(@_)</c:formatCode>
                <c:ptCount val="71"/>
                <c:pt idx="0">
                  <c:v>2010</c:v>
                </c:pt>
                <c:pt idx="1">
                  <c:v>2015</c:v>
                </c:pt>
                <c:pt idx="2">
                  <c:v>2020</c:v>
                </c:pt>
                <c:pt idx="3">
                  <c:v>2025</c:v>
                </c:pt>
                <c:pt idx="4">
                  <c:v>2030</c:v>
                </c:pt>
                <c:pt idx="5">
                  <c:v>2035</c:v>
                </c:pt>
                <c:pt idx="6">
                  <c:v>2040</c:v>
                </c:pt>
                <c:pt idx="7">
                  <c:v>2045</c:v>
                </c:pt>
                <c:pt idx="8">
                  <c:v>2050</c:v>
                </c:pt>
                <c:pt idx="9">
                  <c:v>2055</c:v>
                </c:pt>
                <c:pt idx="10">
                  <c:v>2060</c:v>
                </c:pt>
                <c:pt idx="11">
                  <c:v>2065</c:v>
                </c:pt>
                <c:pt idx="12">
                  <c:v>2070</c:v>
                </c:pt>
                <c:pt idx="13">
                  <c:v>2075</c:v>
                </c:pt>
                <c:pt idx="14">
                  <c:v>2080</c:v>
                </c:pt>
                <c:pt idx="15">
                  <c:v>2085</c:v>
                </c:pt>
                <c:pt idx="16">
                  <c:v>2090</c:v>
                </c:pt>
                <c:pt idx="17">
                  <c:v>2095</c:v>
                </c:pt>
                <c:pt idx="18">
                  <c:v>2100</c:v>
                </c:pt>
                <c:pt idx="19">
                  <c:v>2105</c:v>
                </c:pt>
                <c:pt idx="20">
                  <c:v>2110</c:v>
                </c:pt>
                <c:pt idx="21">
                  <c:v>2115</c:v>
                </c:pt>
                <c:pt idx="22">
                  <c:v>2120</c:v>
                </c:pt>
                <c:pt idx="23">
                  <c:v>2125</c:v>
                </c:pt>
                <c:pt idx="24">
                  <c:v>2130</c:v>
                </c:pt>
                <c:pt idx="25">
                  <c:v>2135</c:v>
                </c:pt>
                <c:pt idx="26">
                  <c:v>2140</c:v>
                </c:pt>
                <c:pt idx="27">
                  <c:v>2145</c:v>
                </c:pt>
                <c:pt idx="28">
                  <c:v>2150</c:v>
                </c:pt>
                <c:pt idx="29">
                  <c:v>2155</c:v>
                </c:pt>
                <c:pt idx="30">
                  <c:v>2160</c:v>
                </c:pt>
                <c:pt idx="31">
                  <c:v>2165</c:v>
                </c:pt>
                <c:pt idx="32">
                  <c:v>2170</c:v>
                </c:pt>
                <c:pt idx="33">
                  <c:v>2175</c:v>
                </c:pt>
                <c:pt idx="34">
                  <c:v>2180</c:v>
                </c:pt>
                <c:pt idx="35">
                  <c:v>2185</c:v>
                </c:pt>
                <c:pt idx="36">
                  <c:v>2190</c:v>
                </c:pt>
                <c:pt idx="37">
                  <c:v>2195</c:v>
                </c:pt>
                <c:pt idx="38">
                  <c:v>2200</c:v>
                </c:pt>
                <c:pt idx="39">
                  <c:v>2205</c:v>
                </c:pt>
                <c:pt idx="40">
                  <c:v>2210</c:v>
                </c:pt>
                <c:pt idx="41">
                  <c:v>2215</c:v>
                </c:pt>
                <c:pt idx="42">
                  <c:v>2220</c:v>
                </c:pt>
                <c:pt idx="43">
                  <c:v>2225</c:v>
                </c:pt>
                <c:pt idx="44">
                  <c:v>2230</c:v>
                </c:pt>
                <c:pt idx="45">
                  <c:v>2235</c:v>
                </c:pt>
                <c:pt idx="46">
                  <c:v>2240</c:v>
                </c:pt>
                <c:pt idx="47">
                  <c:v>2245</c:v>
                </c:pt>
                <c:pt idx="48">
                  <c:v>2250</c:v>
                </c:pt>
                <c:pt idx="49">
                  <c:v>2255</c:v>
                </c:pt>
                <c:pt idx="50">
                  <c:v>2260</c:v>
                </c:pt>
                <c:pt idx="51">
                  <c:v>2265</c:v>
                </c:pt>
                <c:pt idx="52">
                  <c:v>2270</c:v>
                </c:pt>
                <c:pt idx="53">
                  <c:v>2275</c:v>
                </c:pt>
                <c:pt idx="54">
                  <c:v>2280</c:v>
                </c:pt>
                <c:pt idx="55">
                  <c:v>2285</c:v>
                </c:pt>
                <c:pt idx="56">
                  <c:v>2290</c:v>
                </c:pt>
                <c:pt idx="57">
                  <c:v>2295</c:v>
                </c:pt>
                <c:pt idx="58">
                  <c:v>2300</c:v>
                </c:pt>
                <c:pt idx="59">
                  <c:v>2305</c:v>
                </c:pt>
              </c:numCache>
            </c:numRef>
          </c:cat>
          <c:val>
            <c:numRef>
              <c:f>stern!$B$137:$BT$137</c:f>
              <c:numCache>
                <c:formatCode>_(* #,##0.000_);_(* \(#,##0.000\);_(* "-"??_);_(@_)</c:formatCode>
                <c:ptCount val="71"/>
                <c:pt idx="0">
                  <c:v>3.897599999999999E-2</c:v>
                </c:pt>
                <c:pt idx="1">
                  <c:v>0.58248709218152295</c:v>
                </c:pt>
                <c:pt idx="2">
                  <c:v>0.63471260398635965</c:v>
                </c:pt>
                <c:pt idx="3">
                  <c:v>0.68763238115979108</c:v>
                </c:pt>
                <c:pt idx="4">
                  <c:v>0.74170351462725281</c:v>
                </c:pt>
                <c:pt idx="5">
                  <c:v>0.79719327949598462</c:v>
                </c:pt>
                <c:pt idx="6">
                  <c:v>0.85428197176858012</c:v>
                </c:pt>
                <c:pt idx="7">
                  <c:v>0.91314523367229683</c:v>
                </c:pt>
                <c:pt idx="8">
                  <c:v>0.97404649492297612</c:v>
                </c:pt>
                <c:pt idx="9">
                  <c:v>1</c:v>
                </c:pt>
                <c:pt idx="10">
                  <c:v>1</c:v>
                </c:pt>
                <c:pt idx="11">
                  <c:v>0.99999999999999978</c:v>
                </c:pt>
                <c:pt idx="12">
                  <c:v>1</c:v>
                </c:pt>
                <c:pt idx="13">
                  <c:v>1</c:v>
                </c:pt>
                <c:pt idx="14">
                  <c:v>0.99999999999999956</c:v>
                </c:pt>
                <c:pt idx="15">
                  <c:v>1</c:v>
                </c:pt>
                <c:pt idx="16">
                  <c:v>1</c:v>
                </c:pt>
                <c:pt idx="17">
                  <c:v>0.999999999999999</c:v>
                </c:pt>
                <c:pt idx="18">
                  <c:v>0.99999999999999944</c:v>
                </c:pt>
                <c:pt idx="19">
                  <c:v>0.99999999999999967</c:v>
                </c:pt>
                <c:pt idx="20">
                  <c:v>0.999999999999999</c:v>
                </c:pt>
                <c:pt idx="21">
                  <c:v>0.99999999999999967</c:v>
                </c:pt>
                <c:pt idx="22">
                  <c:v>1</c:v>
                </c:pt>
                <c:pt idx="23">
                  <c:v>1</c:v>
                </c:pt>
                <c:pt idx="24">
                  <c:v>0.99999999999999911</c:v>
                </c:pt>
                <c:pt idx="25">
                  <c:v>1</c:v>
                </c:pt>
                <c:pt idx="26">
                  <c:v>0.99999999999999978</c:v>
                </c:pt>
                <c:pt idx="27">
                  <c:v>0.99999999999999944</c:v>
                </c:pt>
                <c:pt idx="28">
                  <c:v>1</c:v>
                </c:pt>
                <c:pt idx="29">
                  <c:v>0.99999999999999856</c:v>
                </c:pt>
                <c:pt idx="30">
                  <c:v>1</c:v>
                </c:pt>
                <c:pt idx="31">
                  <c:v>1</c:v>
                </c:pt>
                <c:pt idx="32">
                  <c:v>0.999999999999999</c:v>
                </c:pt>
                <c:pt idx="33">
                  <c:v>1</c:v>
                </c:pt>
                <c:pt idx="34">
                  <c:v>1</c:v>
                </c:pt>
                <c:pt idx="35">
                  <c:v>0.99999999999999856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0.99999999999999956</c:v>
                </c:pt>
                <c:pt idx="43">
                  <c:v>1</c:v>
                </c:pt>
                <c:pt idx="44">
                  <c:v>1</c:v>
                </c:pt>
                <c:pt idx="45">
                  <c:v>0.99999999999999789</c:v>
                </c:pt>
                <c:pt idx="46">
                  <c:v>0.99999999999999889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0.83075964431417171</c:v>
                </c:pt>
                <c:pt idx="58">
                  <c:v>0.47883929895390204</c:v>
                </c:pt>
                <c:pt idx="59">
                  <c:v>9.9999999999999516E-3</c:v>
                </c:pt>
              </c:numCache>
            </c:numRef>
          </c:val>
          <c:smooth val="0"/>
        </c:ser>
        <c:ser>
          <c:idx val="4"/>
          <c:order val="4"/>
          <c:tx>
            <c:v>Copen</c:v>
          </c:tx>
          <c:cat>
            <c:numRef>
              <c:f>Base!$B$2:$BT$2</c:f>
              <c:numCache>
                <c:formatCode>_(* #,##0.000_);_(* \(#,##0.000\);_(* "-"??_);_(@_)</c:formatCode>
                <c:ptCount val="71"/>
                <c:pt idx="0">
                  <c:v>2010</c:v>
                </c:pt>
                <c:pt idx="1">
                  <c:v>2015</c:v>
                </c:pt>
                <c:pt idx="2">
                  <c:v>2020</c:v>
                </c:pt>
                <c:pt idx="3">
                  <c:v>2025</c:v>
                </c:pt>
                <c:pt idx="4">
                  <c:v>2030</c:v>
                </c:pt>
                <c:pt idx="5">
                  <c:v>2035</c:v>
                </c:pt>
                <c:pt idx="6">
                  <c:v>2040</c:v>
                </c:pt>
                <c:pt idx="7">
                  <c:v>2045</c:v>
                </c:pt>
                <c:pt idx="8">
                  <c:v>2050</c:v>
                </c:pt>
                <c:pt idx="9">
                  <c:v>2055</c:v>
                </c:pt>
                <c:pt idx="10">
                  <c:v>2060</c:v>
                </c:pt>
                <c:pt idx="11">
                  <c:v>2065</c:v>
                </c:pt>
                <c:pt idx="12">
                  <c:v>2070</c:v>
                </c:pt>
                <c:pt idx="13">
                  <c:v>2075</c:v>
                </c:pt>
                <c:pt idx="14">
                  <c:v>2080</c:v>
                </c:pt>
                <c:pt idx="15">
                  <c:v>2085</c:v>
                </c:pt>
                <c:pt idx="16">
                  <c:v>2090</c:v>
                </c:pt>
                <c:pt idx="17">
                  <c:v>2095</c:v>
                </c:pt>
                <c:pt idx="18">
                  <c:v>2100</c:v>
                </c:pt>
                <c:pt idx="19">
                  <c:v>2105</c:v>
                </c:pt>
                <c:pt idx="20">
                  <c:v>2110</c:v>
                </c:pt>
                <c:pt idx="21">
                  <c:v>2115</c:v>
                </c:pt>
                <c:pt idx="22">
                  <c:v>2120</c:v>
                </c:pt>
                <c:pt idx="23">
                  <c:v>2125</c:v>
                </c:pt>
                <c:pt idx="24">
                  <c:v>2130</c:v>
                </c:pt>
                <c:pt idx="25">
                  <c:v>2135</c:v>
                </c:pt>
                <c:pt idx="26">
                  <c:v>2140</c:v>
                </c:pt>
                <c:pt idx="27">
                  <c:v>2145</c:v>
                </c:pt>
                <c:pt idx="28">
                  <c:v>2150</c:v>
                </c:pt>
                <c:pt idx="29">
                  <c:v>2155</c:v>
                </c:pt>
                <c:pt idx="30">
                  <c:v>2160</c:v>
                </c:pt>
                <c:pt idx="31">
                  <c:v>2165</c:v>
                </c:pt>
                <c:pt idx="32">
                  <c:v>2170</c:v>
                </c:pt>
                <c:pt idx="33">
                  <c:v>2175</c:v>
                </c:pt>
                <c:pt idx="34">
                  <c:v>2180</c:v>
                </c:pt>
                <c:pt idx="35">
                  <c:v>2185</c:v>
                </c:pt>
                <c:pt idx="36">
                  <c:v>2190</c:v>
                </c:pt>
                <c:pt idx="37">
                  <c:v>2195</c:v>
                </c:pt>
                <c:pt idx="38">
                  <c:v>2200</c:v>
                </c:pt>
                <c:pt idx="39">
                  <c:v>2205</c:v>
                </c:pt>
                <c:pt idx="40">
                  <c:v>2210</c:v>
                </c:pt>
                <c:pt idx="41">
                  <c:v>2215</c:v>
                </c:pt>
                <c:pt idx="42">
                  <c:v>2220</c:v>
                </c:pt>
                <c:pt idx="43">
                  <c:v>2225</c:v>
                </c:pt>
                <c:pt idx="44">
                  <c:v>2230</c:v>
                </c:pt>
                <c:pt idx="45">
                  <c:v>2235</c:v>
                </c:pt>
                <c:pt idx="46">
                  <c:v>2240</c:v>
                </c:pt>
                <c:pt idx="47">
                  <c:v>2245</c:v>
                </c:pt>
                <c:pt idx="48">
                  <c:v>2250</c:v>
                </c:pt>
                <c:pt idx="49">
                  <c:v>2255</c:v>
                </c:pt>
                <c:pt idx="50">
                  <c:v>2260</c:v>
                </c:pt>
                <c:pt idx="51">
                  <c:v>2265</c:v>
                </c:pt>
                <c:pt idx="52">
                  <c:v>2270</c:v>
                </c:pt>
                <c:pt idx="53">
                  <c:v>2275</c:v>
                </c:pt>
                <c:pt idx="54">
                  <c:v>2280</c:v>
                </c:pt>
                <c:pt idx="55">
                  <c:v>2285</c:v>
                </c:pt>
                <c:pt idx="56">
                  <c:v>2290</c:v>
                </c:pt>
                <c:pt idx="57">
                  <c:v>2295</c:v>
                </c:pt>
                <c:pt idx="58">
                  <c:v>2300</c:v>
                </c:pt>
                <c:pt idx="59">
                  <c:v>2305</c:v>
                </c:pt>
              </c:numCache>
            </c:numRef>
          </c:cat>
          <c:val>
            <c:numRef>
              <c:f>Copen!$B$137:$BT$137</c:f>
              <c:numCache>
                <c:formatCode>_(* #,##0.000_);_(* \(#,##0.000\);_(* "-"??_);_(@_)</c:formatCode>
                <c:ptCount val="71"/>
                <c:pt idx="0">
                  <c:v>7.7952645923214841E-3</c:v>
                </c:pt>
                <c:pt idx="1">
                  <c:v>5.5874800631383725E-2</c:v>
                </c:pt>
                <c:pt idx="2">
                  <c:v>0.11093715103193025</c:v>
                </c:pt>
                <c:pt idx="3">
                  <c:v>0.16318975709142414</c:v>
                </c:pt>
                <c:pt idx="4">
                  <c:v>0.20624748187779696</c:v>
                </c:pt>
                <c:pt idx="5">
                  <c:v>0.24193921912074778</c:v>
                </c:pt>
                <c:pt idx="6">
                  <c:v>0.30180913979496526</c:v>
                </c:pt>
                <c:pt idx="7">
                  <c:v>0.3644849792065088</c:v>
                </c:pt>
                <c:pt idx="8">
                  <c:v>0.42367019232545777</c:v>
                </c:pt>
                <c:pt idx="9">
                  <c:v>0.47828388059114024</c:v>
                </c:pt>
                <c:pt idx="10">
                  <c:v>0.53407364289057269</c:v>
                </c:pt>
                <c:pt idx="11">
                  <c:v>0.58815684728875695</c:v>
                </c:pt>
                <c:pt idx="12">
                  <c:v>0.63362200023575355</c:v>
                </c:pt>
                <c:pt idx="13">
                  <c:v>0.67245699955287486</c:v>
                </c:pt>
                <c:pt idx="14">
                  <c:v>0.70517310212956541</c:v>
                </c:pt>
                <c:pt idx="15">
                  <c:v>0.73301857268269299</c:v>
                </c:pt>
                <c:pt idx="16">
                  <c:v>0.75645711835273866</c:v>
                </c:pt>
                <c:pt idx="17">
                  <c:v>0.77629758052826003</c:v>
                </c:pt>
                <c:pt idx="18">
                  <c:v>0.79411081537855366</c:v>
                </c:pt>
                <c:pt idx="19">
                  <c:v>0.82219712828666958</c:v>
                </c:pt>
                <c:pt idx="20">
                  <c:v>0.83912581058307212</c:v>
                </c:pt>
                <c:pt idx="21">
                  <c:v>0.85445375367486731</c:v>
                </c:pt>
                <c:pt idx="22">
                  <c:v>0.8681064134527805</c:v>
                </c:pt>
                <c:pt idx="23">
                  <c:v>0.88048582530653496</c:v>
                </c:pt>
                <c:pt idx="24">
                  <c:v>0.89163175198425282</c:v>
                </c:pt>
                <c:pt idx="25">
                  <c:v>0.901741793815245</c:v>
                </c:pt>
                <c:pt idx="26">
                  <c:v>0.9</c:v>
                </c:pt>
                <c:pt idx="27">
                  <c:v>0.9</c:v>
                </c:pt>
                <c:pt idx="28">
                  <c:v>0.9</c:v>
                </c:pt>
                <c:pt idx="29">
                  <c:v>0.9</c:v>
                </c:pt>
                <c:pt idx="30">
                  <c:v>0.9</c:v>
                </c:pt>
                <c:pt idx="31">
                  <c:v>0.9</c:v>
                </c:pt>
                <c:pt idx="32">
                  <c:v>0.9</c:v>
                </c:pt>
                <c:pt idx="33">
                  <c:v>0.9</c:v>
                </c:pt>
                <c:pt idx="34">
                  <c:v>0.9</c:v>
                </c:pt>
                <c:pt idx="35">
                  <c:v>0.9</c:v>
                </c:pt>
                <c:pt idx="36">
                  <c:v>0.9</c:v>
                </c:pt>
                <c:pt idx="37">
                  <c:v>0.9</c:v>
                </c:pt>
                <c:pt idx="38">
                  <c:v>0.9</c:v>
                </c:pt>
                <c:pt idx="39">
                  <c:v>0.9</c:v>
                </c:pt>
                <c:pt idx="40">
                  <c:v>0.9</c:v>
                </c:pt>
                <c:pt idx="41">
                  <c:v>0.9</c:v>
                </c:pt>
                <c:pt idx="42">
                  <c:v>0.9</c:v>
                </c:pt>
                <c:pt idx="43">
                  <c:v>0.9</c:v>
                </c:pt>
                <c:pt idx="44">
                  <c:v>0.9</c:v>
                </c:pt>
                <c:pt idx="45">
                  <c:v>0.9</c:v>
                </c:pt>
                <c:pt idx="46">
                  <c:v>0.9</c:v>
                </c:pt>
                <c:pt idx="47">
                  <c:v>0.9</c:v>
                </c:pt>
                <c:pt idx="48">
                  <c:v>0.9</c:v>
                </c:pt>
                <c:pt idx="49">
                  <c:v>0.9</c:v>
                </c:pt>
                <c:pt idx="50">
                  <c:v>0.9</c:v>
                </c:pt>
                <c:pt idx="51">
                  <c:v>0.9</c:v>
                </c:pt>
                <c:pt idx="52">
                  <c:v>0.9</c:v>
                </c:pt>
                <c:pt idx="53">
                  <c:v>0.9</c:v>
                </c:pt>
                <c:pt idx="54">
                  <c:v>0.9</c:v>
                </c:pt>
                <c:pt idx="55">
                  <c:v>0.9</c:v>
                </c:pt>
                <c:pt idx="56">
                  <c:v>0.9</c:v>
                </c:pt>
                <c:pt idx="57">
                  <c:v>0.9</c:v>
                </c:pt>
                <c:pt idx="58">
                  <c:v>0.9</c:v>
                </c:pt>
                <c:pt idx="59">
                  <c:v>0.9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7922944"/>
        <c:axId val="127924480"/>
      </c:lineChart>
      <c:catAx>
        <c:axId val="127922944"/>
        <c:scaling>
          <c:orientation val="minMax"/>
        </c:scaling>
        <c:delete val="0"/>
        <c:axPos val="b"/>
        <c:numFmt formatCode="#,##0" sourceLinked="0"/>
        <c:majorTickMark val="out"/>
        <c:minorTickMark val="none"/>
        <c:tickLblPos val="nextTo"/>
        <c:crossAx val="127924480"/>
        <c:crosses val="autoZero"/>
        <c:auto val="1"/>
        <c:lblAlgn val="ctr"/>
        <c:lblOffset val="100"/>
        <c:tickLblSkip val="10"/>
        <c:noMultiLvlLbl val="0"/>
      </c:catAx>
      <c:valAx>
        <c:axId val="127924480"/>
        <c:scaling>
          <c:orientation val="minMax"/>
        </c:scaling>
        <c:delete val="0"/>
        <c:axPos val="l"/>
        <c:majorGridlines/>
        <c:numFmt formatCode="0.0%" sourceLinked="0"/>
        <c:majorTickMark val="out"/>
        <c:minorTickMark val="none"/>
        <c:tickLblPos val="nextTo"/>
        <c:crossAx val="127922944"/>
        <c:crosses val="autoZero"/>
        <c:crossBetween val="between"/>
      </c:valAx>
    </c:plotArea>
    <c:legend>
      <c:legendPos val="l"/>
      <c:layout>
        <c:manualLayout>
          <c:xMode val="edge"/>
          <c:yMode val="edge"/>
          <c:x val="0.72489545719496085"/>
          <c:y val="0.63640814108780053"/>
          <c:w val="0.18620371293916968"/>
          <c:h val="0.26364919238183759"/>
        </c:manualLayout>
      </c:layout>
      <c:overlay val="1"/>
    </c:legend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Per</a:t>
            </a:r>
            <a:r>
              <a:rPr lang="en-US" baseline="0"/>
              <a:t> capita consumption</a:t>
            </a:r>
            <a:endParaRPr lang="en-US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99120764531975"/>
          <c:y val="2.6590378962867502E-2"/>
          <c:w val="0.85064794611520234"/>
          <c:h val="0.80675964524042365"/>
        </c:manualLayout>
      </c:layout>
      <c:lineChart>
        <c:grouping val="standard"/>
        <c:varyColors val="0"/>
        <c:ser>
          <c:idx val="0"/>
          <c:order val="0"/>
          <c:tx>
            <c:v>Base</c:v>
          </c:tx>
          <c:marker>
            <c:symbol val="circle"/>
            <c:size val="5"/>
            <c:spPr>
              <a:noFill/>
            </c:spPr>
          </c:marker>
          <c:cat>
            <c:numRef>
              <c:f>Base!$B$2:$T$2</c:f>
              <c:numCache>
                <c:formatCode>_(* #,##0.000_);_(* \(#,##0.000\);_(* "-"??_);_(@_)</c:formatCode>
                <c:ptCount val="19"/>
                <c:pt idx="0">
                  <c:v>2010</c:v>
                </c:pt>
                <c:pt idx="1">
                  <c:v>2015</c:v>
                </c:pt>
                <c:pt idx="2">
                  <c:v>2020</c:v>
                </c:pt>
                <c:pt idx="3">
                  <c:v>2025</c:v>
                </c:pt>
                <c:pt idx="4">
                  <c:v>2030</c:v>
                </c:pt>
                <c:pt idx="5">
                  <c:v>2035</c:v>
                </c:pt>
                <c:pt idx="6">
                  <c:v>2040</c:v>
                </c:pt>
                <c:pt idx="7">
                  <c:v>2045</c:v>
                </c:pt>
                <c:pt idx="8">
                  <c:v>2050</c:v>
                </c:pt>
                <c:pt idx="9">
                  <c:v>2055</c:v>
                </c:pt>
                <c:pt idx="10">
                  <c:v>2060</c:v>
                </c:pt>
                <c:pt idx="11">
                  <c:v>2065</c:v>
                </c:pt>
                <c:pt idx="12">
                  <c:v>2070</c:v>
                </c:pt>
                <c:pt idx="13">
                  <c:v>2075</c:v>
                </c:pt>
                <c:pt idx="14">
                  <c:v>2080</c:v>
                </c:pt>
                <c:pt idx="15">
                  <c:v>2085</c:v>
                </c:pt>
                <c:pt idx="16">
                  <c:v>2090</c:v>
                </c:pt>
                <c:pt idx="17">
                  <c:v>2095</c:v>
                </c:pt>
                <c:pt idx="18">
                  <c:v>2100</c:v>
                </c:pt>
              </c:numCache>
            </c:numRef>
          </c:cat>
          <c:val>
            <c:numRef>
              <c:f>Base!$B$126:$T$126</c:f>
              <c:numCache>
                <c:formatCode>_(* #,##0.000_);_(* \(#,##0.000\);_(* "-"??_);_(@_)</c:formatCode>
                <c:ptCount val="19"/>
                <c:pt idx="0">
                  <c:v>6.8827315708347028</c:v>
                </c:pt>
                <c:pt idx="1">
                  <c:v>7.7768421712482816</c:v>
                </c:pt>
                <c:pt idx="2">
                  <c:v>8.7619741902123831</c:v>
                </c:pt>
                <c:pt idx="3">
                  <c:v>9.838061335877498</c:v>
                </c:pt>
                <c:pt idx="4">
                  <c:v>11.005633790636878</c:v>
                </c:pt>
                <c:pt idx="5">
                  <c:v>12.265407041946226</c:v>
                </c:pt>
                <c:pt idx="6">
                  <c:v>13.618019866936397</c:v>
                </c:pt>
                <c:pt idx="7">
                  <c:v>15.063867545486755</c:v>
                </c:pt>
                <c:pt idx="8">
                  <c:v>16.602986469912818</c:v>
                </c:pt>
                <c:pt idx="9">
                  <c:v>18.234978440906279</c:v>
                </c:pt>
                <c:pt idx="10">
                  <c:v>19.958966818259796</c:v>
                </c:pt>
                <c:pt idx="11">
                  <c:v>21.773583444368949</c:v>
                </c:pt>
                <c:pt idx="12">
                  <c:v>23.676979627181311</c:v>
                </c:pt>
                <c:pt idx="13">
                  <c:v>25.666863352451898</c:v>
                </c:pt>
                <c:pt idx="14">
                  <c:v>27.740544495871376</c:v>
                </c:pt>
                <c:pt idx="15">
                  <c:v>29.894996890374021</c:v>
                </c:pt>
                <c:pt idx="16">
                  <c:v>32.126926225621425</c:v>
                </c:pt>
                <c:pt idx="17">
                  <c:v>34.432861556028918</c:v>
                </c:pt>
                <c:pt idx="18">
                  <c:v>36.809279074081338</c:v>
                </c:pt>
              </c:numCache>
            </c:numRef>
          </c:val>
          <c:smooth val="0"/>
        </c:ser>
        <c:ser>
          <c:idx val="1"/>
          <c:order val="1"/>
          <c:tx>
            <c:v>Limit T &lt; 2</c:v>
          </c:tx>
          <c:marker>
            <c:spPr>
              <a:noFill/>
            </c:spPr>
          </c:marker>
          <c:val>
            <c:numRef>
              <c:f>Limt2!$B$127:$T$127</c:f>
              <c:numCache>
                <c:formatCode>_(* #,##0.0000_);_(* \(#,##0.0000\);_(* "-"??_);_(@_)</c:formatCode>
                <c:ptCount val="19"/>
                <c:pt idx="0">
                  <c:v>6.8716094136808445</c:v>
                </c:pt>
                <c:pt idx="1">
                  <c:v>7.750566111316731</c:v>
                </c:pt>
                <c:pt idx="2">
                  <c:v>8.7228364278691117</c:v>
                </c:pt>
                <c:pt idx="3">
                  <c:v>9.7799489389289782</c:v>
                </c:pt>
                <c:pt idx="4">
                  <c:v>10.920001835696381</c:v>
                </c:pt>
                <c:pt idx="5">
                  <c:v>12.14030446249161</c:v>
                </c:pt>
                <c:pt idx="6">
                  <c:v>13.436779297559912</c:v>
                </c:pt>
                <c:pt idx="7">
                  <c:v>14.803455976866971</c:v>
                </c:pt>
                <c:pt idx="8">
                  <c:v>16.231800731597172</c:v>
                </c:pt>
                <c:pt idx="9">
                  <c:v>17.709840669258391</c:v>
                </c:pt>
                <c:pt idx="10">
                  <c:v>19.352197529240346</c:v>
                </c:pt>
                <c:pt idx="11">
                  <c:v>21.17461305065801</c:v>
                </c:pt>
                <c:pt idx="12">
                  <c:v>23.12041729295029</c:v>
                </c:pt>
                <c:pt idx="13">
                  <c:v>25.18796130244791</c:v>
                </c:pt>
                <c:pt idx="14">
                  <c:v>27.3759410290921</c:v>
                </c:pt>
                <c:pt idx="15">
                  <c:v>29.683301504414889</c:v>
                </c:pt>
                <c:pt idx="16">
                  <c:v>32.109261971451964</c:v>
                </c:pt>
                <c:pt idx="17">
                  <c:v>34.653541932609428</c:v>
                </c:pt>
                <c:pt idx="18">
                  <c:v>37.31692558542899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8076416"/>
        <c:axId val="128107264"/>
      </c:lineChart>
      <c:catAx>
        <c:axId val="128076416"/>
        <c:scaling>
          <c:orientation val="minMax"/>
        </c:scaling>
        <c:delete val="0"/>
        <c:axPos val="b"/>
        <c:numFmt formatCode="#,##0" sourceLinked="0"/>
        <c:majorTickMark val="out"/>
        <c:minorTickMark val="none"/>
        <c:tickLblPos val="nextTo"/>
        <c:crossAx val="128107264"/>
        <c:crosses val="autoZero"/>
        <c:auto val="1"/>
        <c:lblAlgn val="ctr"/>
        <c:lblOffset val="100"/>
        <c:tickLblSkip val="2"/>
        <c:noMultiLvlLbl val="0"/>
      </c:catAx>
      <c:valAx>
        <c:axId val="128107264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" sourceLinked="0"/>
        <c:majorTickMark val="out"/>
        <c:minorTickMark val="none"/>
        <c:tickLblPos val="nextTo"/>
        <c:crossAx val="12807641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Emissions control</a:t>
            </a:r>
            <a:r>
              <a:rPr lang="en-US" baseline="0"/>
              <a:t> rate</a:t>
            </a:r>
            <a:endParaRPr lang="en-US"/>
          </a:p>
        </c:rich>
      </c:tx>
      <c:layout>
        <c:manualLayout>
          <c:xMode val="edge"/>
          <c:yMode val="edge"/>
          <c:x val="0.4228418461801014"/>
          <c:y val="6.0369782091095225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8.9600480134823995E-2"/>
          <c:y val="4.2379493665407525E-2"/>
          <c:w val="0.88799138371185327"/>
          <c:h val="0.86199569117869845"/>
        </c:manualLayout>
      </c:layout>
      <c:lineChart>
        <c:grouping val="standard"/>
        <c:varyColors val="0"/>
        <c:ser>
          <c:idx val="1"/>
          <c:order val="0"/>
          <c:tx>
            <c:v>Base</c:v>
          </c:tx>
          <c:marker>
            <c:spPr>
              <a:noFill/>
            </c:spPr>
          </c:marker>
          <c:cat>
            <c:numRef>
              <c:f>stern!$B$2:$Z$2</c:f>
              <c:numCache>
                <c:formatCode>_(* #,##0.0000_);_(* \(#,##0.0000\);_(* "-"??_);_(@_)</c:formatCode>
                <c:ptCount val="25"/>
                <c:pt idx="0">
                  <c:v>2010</c:v>
                </c:pt>
                <c:pt idx="1">
                  <c:v>2015</c:v>
                </c:pt>
                <c:pt idx="2">
                  <c:v>2020</c:v>
                </c:pt>
                <c:pt idx="3">
                  <c:v>2025</c:v>
                </c:pt>
                <c:pt idx="4">
                  <c:v>2030</c:v>
                </c:pt>
                <c:pt idx="5">
                  <c:v>2035</c:v>
                </c:pt>
                <c:pt idx="6">
                  <c:v>2040</c:v>
                </c:pt>
                <c:pt idx="7">
                  <c:v>2045</c:v>
                </c:pt>
                <c:pt idx="8">
                  <c:v>2050</c:v>
                </c:pt>
                <c:pt idx="9">
                  <c:v>2055</c:v>
                </c:pt>
                <c:pt idx="10">
                  <c:v>2060</c:v>
                </c:pt>
                <c:pt idx="11">
                  <c:v>2065</c:v>
                </c:pt>
                <c:pt idx="12">
                  <c:v>2070</c:v>
                </c:pt>
                <c:pt idx="13">
                  <c:v>2075</c:v>
                </c:pt>
                <c:pt idx="14">
                  <c:v>2080</c:v>
                </c:pt>
                <c:pt idx="15">
                  <c:v>2085</c:v>
                </c:pt>
                <c:pt idx="16">
                  <c:v>2090</c:v>
                </c:pt>
                <c:pt idx="17">
                  <c:v>2095</c:v>
                </c:pt>
                <c:pt idx="18">
                  <c:v>2100</c:v>
                </c:pt>
                <c:pt idx="19">
                  <c:v>2105</c:v>
                </c:pt>
                <c:pt idx="20">
                  <c:v>2110</c:v>
                </c:pt>
                <c:pt idx="21">
                  <c:v>2115</c:v>
                </c:pt>
                <c:pt idx="22">
                  <c:v>2120</c:v>
                </c:pt>
                <c:pt idx="23">
                  <c:v>2125</c:v>
                </c:pt>
                <c:pt idx="24">
                  <c:v>2130</c:v>
                </c:pt>
              </c:numCache>
            </c:numRef>
          </c:cat>
          <c:val>
            <c:numRef>
              <c:f>Base!$B$135:$Z$135</c:f>
              <c:numCache>
                <c:formatCode>#,##0.0000_);\(#,##0.0000\)</c:formatCode>
                <c:ptCount val="25"/>
                <c:pt idx="0">
                  <c:v>3.8976322961607419E-2</c:v>
                </c:pt>
                <c:pt idx="1">
                  <c:v>4.1763681789451099E-2</c:v>
                </c:pt>
                <c:pt idx="2">
                  <c:v>4.4750376230533087E-2</c:v>
                </c:pt>
                <c:pt idx="3">
                  <c:v>4.7950661602123634E-2</c:v>
                </c:pt>
                <c:pt idx="4">
                  <c:v>5.1379812681496398E-2</c:v>
                </c:pt>
                <c:pt idx="5">
                  <c:v>5.5054196604270633E-2</c:v>
                </c:pt>
                <c:pt idx="6">
                  <c:v>5.899135098992387E-2</c:v>
                </c:pt>
                <c:pt idx="7">
                  <c:v>6.3210067648711482E-2</c:v>
                </c:pt>
                <c:pt idx="8">
                  <c:v>6.7730482265692796E-2</c:v>
                </c:pt>
                <c:pt idx="9">
                  <c:v>7.2574170518508646E-2</c:v>
                </c:pt>
                <c:pt idx="10">
                  <c:v>7.7764251047267016E-2</c:v>
                </c:pt>
                <c:pt idx="11">
                  <c:v>8.3325495801654187E-2</c:v>
                </c:pt>
                <c:pt idx="12">
                  <c:v>8.9284448280865125E-2</c:v>
                </c:pt>
                <c:pt idx="13">
                  <c:v>9.5669550213232396E-2</c:v>
                </c:pt>
                <c:pt idx="14">
                  <c:v>0.10251127732033963</c:v>
                </c:pt>
                <c:pt idx="15">
                  <c:v>0.10984228476523736</c:v>
                </c:pt>
                <c:pt idx="16">
                  <c:v>0.117697563017892</c:v>
                </c:pt>
                <c:pt idx="17">
                  <c:v>0.12611460486164955</c:v>
                </c:pt>
                <c:pt idx="18">
                  <c:v>0.13513358434653355</c:v>
                </c:pt>
                <c:pt idx="19">
                  <c:v>0.14479754853404289</c:v>
                </c:pt>
                <c:pt idx="20">
                  <c:v>0.15515262296177337</c:v>
                </c:pt>
                <c:pt idx="21">
                  <c:v>0.16624823179229323</c:v>
                </c:pt>
                <c:pt idx="22">
                  <c:v>0.1781373337217208</c:v>
                </c:pt>
                <c:pt idx="23">
                  <c:v>0.19087667473632991</c:v>
                </c:pt>
                <c:pt idx="24">
                  <c:v>0.20452705896799719</c:v>
                </c:pt>
              </c:numCache>
            </c:numRef>
          </c:val>
          <c:smooth val="0"/>
        </c:ser>
        <c:ser>
          <c:idx val="0"/>
          <c:order val="1"/>
          <c:tx>
            <c:v>Optimal</c:v>
          </c:tx>
          <c:cat>
            <c:numRef>
              <c:f>stern!$B$2:$Z$2</c:f>
              <c:numCache>
                <c:formatCode>_(* #,##0.0000_);_(* \(#,##0.0000\);_(* "-"??_);_(@_)</c:formatCode>
                <c:ptCount val="25"/>
                <c:pt idx="0">
                  <c:v>2010</c:v>
                </c:pt>
                <c:pt idx="1">
                  <c:v>2015</c:v>
                </c:pt>
                <c:pt idx="2">
                  <c:v>2020</c:v>
                </c:pt>
                <c:pt idx="3">
                  <c:v>2025</c:v>
                </c:pt>
                <c:pt idx="4">
                  <c:v>2030</c:v>
                </c:pt>
                <c:pt idx="5">
                  <c:v>2035</c:v>
                </c:pt>
                <c:pt idx="6">
                  <c:v>2040</c:v>
                </c:pt>
                <c:pt idx="7">
                  <c:v>2045</c:v>
                </c:pt>
                <c:pt idx="8">
                  <c:v>2050</c:v>
                </c:pt>
                <c:pt idx="9">
                  <c:v>2055</c:v>
                </c:pt>
                <c:pt idx="10">
                  <c:v>2060</c:v>
                </c:pt>
                <c:pt idx="11">
                  <c:v>2065</c:v>
                </c:pt>
                <c:pt idx="12">
                  <c:v>2070</c:v>
                </c:pt>
                <c:pt idx="13">
                  <c:v>2075</c:v>
                </c:pt>
                <c:pt idx="14">
                  <c:v>2080</c:v>
                </c:pt>
                <c:pt idx="15">
                  <c:v>2085</c:v>
                </c:pt>
                <c:pt idx="16">
                  <c:v>2090</c:v>
                </c:pt>
                <c:pt idx="17">
                  <c:v>2095</c:v>
                </c:pt>
                <c:pt idx="18">
                  <c:v>2100</c:v>
                </c:pt>
                <c:pt idx="19">
                  <c:v>2105</c:v>
                </c:pt>
                <c:pt idx="20">
                  <c:v>2110</c:v>
                </c:pt>
                <c:pt idx="21">
                  <c:v>2115</c:v>
                </c:pt>
                <c:pt idx="22">
                  <c:v>2120</c:v>
                </c:pt>
                <c:pt idx="23">
                  <c:v>2125</c:v>
                </c:pt>
                <c:pt idx="24">
                  <c:v>2130</c:v>
                </c:pt>
              </c:numCache>
            </c:numRef>
          </c:cat>
          <c:val>
            <c:numRef>
              <c:f>Opttax!$B$137:$Z$137</c:f>
              <c:numCache>
                <c:formatCode>_(* #,##0.000_);_(* \(#,##0.000\);_(* "-"??_);_(@_)</c:formatCode>
                <c:ptCount val="25"/>
                <c:pt idx="0">
                  <c:v>3.8976322961607419E-2</c:v>
                </c:pt>
                <c:pt idx="1">
                  <c:v>0.20631954723585649</c:v>
                </c:pt>
                <c:pt idx="2">
                  <c:v>0.23111628628713177</c:v>
                </c:pt>
                <c:pt idx="3">
                  <c:v>0.25772920286418555</c:v>
                </c:pt>
                <c:pt idx="4">
                  <c:v>0.28612581733196923</c:v>
                </c:pt>
                <c:pt idx="5">
                  <c:v>0.31628493214709436</c:v>
                </c:pt>
                <c:pt idx="6">
                  <c:v>0.34819236203426607</c:v>
                </c:pt>
                <c:pt idx="7">
                  <c:v>0.38183803071994732</c:v>
                </c:pt>
                <c:pt idx="8">
                  <c:v>0.41721395178748272</c:v>
                </c:pt>
                <c:pt idx="9">
                  <c:v>0.45431278607069059</c:v>
                </c:pt>
                <c:pt idx="10">
                  <c:v>0.49312677591932436</c:v>
                </c:pt>
                <c:pt idx="11">
                  <c:v>0.53364692212679776</c:v>
                </c:pt>
                <c:pt idx="12">
                  <c:v>0.57586230947273009</c:v>
                </c:pt>
                <c:pt idx="13">
                  <c:v>0.61975951629495873</c:v>
                </c:pt>
                <c:pt idx="14">
                  <c:v>0.66532207514353348</c:v>
                </c:pt>
                <c:pt idx="15">
                  <c:v>0.71253000542426204</c:v>
                </c:pt>
                <c:pt idx="16">
                  <c:v>0.76135954590401711</c:v>
                </c:pt>
                <c:pt idx="17">
                  <c:v>0.81178343399853004</c:v>
                </c:pt>
                <c:pt idx="18">
                  <c:v>0.86377252029964213</c:v>
                </c:pt>
                <c:pt idx="19">
                  <c:v>0.91731567506583034</c:v>
                </c:pt>
                <c:pt idx="20">
                  <c:v>0.97237275394639278</c:v>
                </c:pt>
                <c:pt idx="21">
                  <c:v>0.99999999999999967</c:v>
                </c:pt>
                <c:pt idx="22">
                  <c:v>1</c:v>
                </c:pt>
                <c:pt idx="23">
                  <c:v>1</c:v>
                </c:pt>
                <c:pt idx="24">
                  <c:v>0.99999999999999911</c:v>
                </c:pt>
              </c:numCache>
            </c:numRef>
          </c:val>
          <c:smooth val="0"/>
        </c:ser>
        <c:ser>
          <c:idx val="2"/>
          <c:order val="2"/>
          <c:tx>
            <c:v>Limit t = 2</c:v>
          </c:tx>
          <c:cat>
            <c:numRef>
              <c:f>stern!$B$2:$Z$2</c:f>
              <c:numCache>
                <c:formatCode>_(* #,##0.0000_);_(* \(#,##0.0000\);_(* "-"??_);_(@_)</c:formatCode>
                <c:ptCount val="25"/>
                <c:pt idx="0">
                  <c:v>2010</c:v>
                </c:pt>
                <c:pt idx="1">
                  <c:v>2015</c:v>
                </c:pt>
                <c:pt idx="2">
                  <c:v>2020</c:v>
                </c:pt>
                <c:pt idx="3">
                  <c:v>2025</c:v>
                </c:pt>
                <c:pt idx="4">
                  <c:v>2030</c:v>
                </c:pt>
                <c:pt idx="5">
                  <c:v>2035</c:v>
                </c:pt>
                <c:pt idx="6">
                  <c:v>2040</c:v>
                </c:pt>
                <c:pt idx="7">
                  <c:v>2045</c:v>
                </c:pt>
                <c:pt idx="8">
                  <c:v>2050</c:v>
                </c:pt>
                <c:pt idx="9">
                  <c:v>2055</c:v>
                </c:pt>
                <c:pt idx="10">
                  <c:v>2060</c:v>
                </c:pt>
                <c:pt idx="11">
                  <c:v>2065</c:v>
                </c:pt>
                <c:pt idx="12">
                  <c:v>2070</c:v>
                </c:pt>
                <c:pt idx="13">
                  <c:v>2075</c:v>
                </c:pt>
                <c:pt idx="14">
                  <c:v>2080</c:v>
                </c:pt>
                <c:pt idx="15">
                  <c:v>2085</c:v>
                </c:pt>
                <c:pt idx="16">
                  <c:v>2090</c:v>
                </c:pt>
                <c:pt idx="17">
                  <c:v>2095</c:v>
                </c:pt>
                <c:pt idx="18">
                  <c:v>2100</c:v>
                </c:pt>
                <c:pt idx="19">
                  <c:v>2105</c:v>
                </c:pt>
                <c:pt idx="20">
                  <c:v>2110</c:v>
                </c:pt>
                <c:pt idx="21">
                  <c:v>2115</c:v>
                </c:pt>
                <c:pt idx="22">
                  <c:v>2120</c:v>
                </c:pt>
                <c:pt idx="23">
                  <c:v>2125</c:v>
                </c:pt>
                <c:pt idx="24">
                  <c:v>2130</c:v>
                </c:pt>
              </c:numCache>
            </c:numRef>
          </c:cat>
          <c:val>
            <c:numRef>
              <c:f>Limt2!$B$137:$Z$137</c:f>
              <c:numCache>
                <c:formatCode>_(* #,##0.0000_);_(* \(#,##0.0000\);_(* "-"??_);_(@_)</c:formatCode>
                <c:ptCount val="25"/>
                <c:pt idx="0">
                  <c:v>3.8976322961607419E-2</c:v>
                </c:pt>
                <c:pt idx="1">
                  <c:v>0.33080499840555921</c:v>
                </c:pt>
                <c:pt idx="2">
                  <c:v>0.38119976285051183</c:v>
                </c:pt>
                <c:pt idx="3">
                  <c:v>0.43828885266917872</c:v>
                </c:pt>
                <c:pt idx="4">
                  <c:v>0.50264457569075771</c:v>
                </c:pt>
                <c:pt idx="5">
                  <c:v>0.57486773681719872</c:v>
                </c:pt>
                <c:pt idx="6">
                  <c:v>0.65556084611396503</c:v>
                </c:pt>
                <c:pt idx="7">
                  <c:v>0.74532006310756516</c:v>
                </c:pt>
                <c:pt idx="8">
                  <c:v>0.8447786492671765</c:v>
                </c:pt>
                <c:pt idx="9">
                  <c:v>0.95477639254103275</c:v>
                </c:pt>
                <c:pt idx="10">
                  <c:v>1</c:v>
                </c:pt>
                <c:pt idx="11">
                  <c:v>0.99999999999999978</c:v>
                </c:pt>
                <c:pt idx="12">
                  <c:v>1</c:v>
                </c:pt>
                <c:pt idx="13">
                  <c:v>1</c:v>
                </c:pt>
                <c:pt idx="14">
                  <c:v>0.99999999999999956</c:v>
                </c:pt>
                <c:pt idx="15">
                  <c:v>1</c:v>
                </c:pt>
                <c:pt idx="16">
                  <c:v>1</c:v>
                </c:pt>
                <c:pt idx="17">
                  <c:v>0.999999999999999</c:v>
                </c:pt>
                <c:pt idx="18">
                  <c:v>0.99999999999999944</c:v>
                </c:pt>
                <c:pt idx="19">
                  <c:v>0.99999999999999967</c:v>
                </c:pt>
                <c:pt idx="20">
                  <c:v>0.97637876570586901</c:v>
                </c:pt>
                <c:pt idx="21">
                  <c:v>0.97590320293342947</c:v>
                </c:pt>
                <c:pt idx="22">
                  <c:v>0.97931905142166376</c:v>
                </c:pt>
                <c:pt idx="23">
                  <c:v>1</c:v>
                </c:pt>
                <c:pt idx="24">
                  <c:v>0.99999999999999911</c:v>
                </c:pt>
              </c:numCache>
            </c:numRef>
          </c:val>
          <c:smooth val="0"/>
        </c:ser>
        <c:ser>
          <c:idx val="3"/>
          <c:order val="3"/>
          <c:tx>
            <c:v>Stern</c:v>
          </c:tx>
          <c:cat>
            <c:numRef>
              <c:f>stern!$B$2:$Z$2</c:f>
              <c:numCache>
                <c:formatCode>_(* #,##0.0000_);_(* \(#,##0.0000\);_(* "-"??_);_(@_)</c:formatCode>
                <c:ptCount val="25"/>
                <c:pt idx="0">
                  <c:v>2010</c:v>
                </c:pt>
                <c:pt idx="1">
                  <c:v>2015</c:v>
                </c:pt>
                <c:pt idx="2">
                  <c:v>2020</c:v>
                </c:pt>
                <c:pt idx="3">
                  <c:v>2025</c:v>
                </c:pt>
                <c:pt idx="4">
                  <c:v>2030</c:v>
                </c:pt>
                <c:pt idx="5">
                  <c:v>2035</c:v>
                </c:pt>
                <c:pt idx="6">
                  <c:v>2040</c:v>
                </c:pt>
                <c:pt idx="7">
                  <c:v>2045</c:v>
                </c:pt>
                <c:pt idx="8">
                  <c:v>2050</c:v>
                </c:pt>
                <c:pt idx="9">
                  <c:v>2055</c:v>
                </c:pt>
                <c:pt idx="10">
                  <c:v>2060</c:v>
                </c:pt>
                <c:pt idx="11">
                  <c:v>2065</c:v>
                </c:pt>
                <c:pt idx="12">
                  <c:v>2070</c:v>
                </c:pt>
                <c:pt idx="13">
                  <c:v>2075</c:v>
                </c:pt>
                <c:pt idx="14">
                  <c:v>2080</c:v>
                </c:pt>
                <c:pt idx="15">
                  <c:v>2085</c:v>
                </c:pt>
                <c:pt idx="16">
                  <c:v>2090</c:v>
                </c:pt>
                <c:pt idx="17">
                  <c:v>2095</c:v>
                </c:pt>
                <c:pt idx="18">
                  <c:v>2100</c:v>
                </c:pt>
                <c:pt idx="19">
                  <c:v>2105</c:v>
                </c:pt>
                <c:pt idx="20">
                  <c:v>2110</c:v>
                </c:pt>
                <c:pt idx="21">
                  <c:v>2115</c:v>
                </c:pt>
                <c:pt idx="22">
                  <c:v>2120</c:v>
                </c:pt>
                <c:pt idx="23">
                  <c:v>2125</c:v>
                </c:pt>
                <c:pt idx="24">
                  <c:v>2130</c:v>
                </c:pt>
              </c:numCache>
            </c:numRef>
          </c:cat>
          <c:val>
            <c:numRef>
              <c:f>stern!$B$137:$Z$137</c:f>
              <c:numCache>
                <c:formatCode>_(* #,##0.000_);_(* \(#,##0.000\);_(* "-"??_);_(@_)</c:formatCode>
                <c:ptCount val="25"/>
                <c:pt idx="0">
                  <c:v>3.897599999999999E-2</c:v>
                </c:pt>
                <c:pt idx="1">
                  <c:v>0.58248709218152295</c:v>
                </c:pt>
                <c:pt idx="2">
                  <c:v>0.63471260398635965</c:v>
                </c:pt>
                <c:pt idx="3">
                  <c:v>0.68763238115979108</c:v>
                </c:pt>
                <c:pt idx="4">
                  <c:v>0.74170351462725281</c:v>
                </c:pt>
                <c:pt idx="5">
                  <c:v>0.79719327949598462</c:v>
                </c:pt>
                <c:pt idx="6">
                  <c:v>0.85428197176858012</c:v>
                </c:pt>
                <c:pt idx="7">
                  <c:v>0.91314523367229683</c:v>
                </c:pt>
                <c:pt idx="8">
                  <c:v>0.97404649492297612</c:v>
                </c:pt>
                <c:pt idx="9">
                  <c:v>1</c:v>
                </c:pt>
                <c:pt idx="10">
                  <c:v>1</c:v>
                </c:pt>
                <c:pt idx="11">
                  <c:v>0.99999999999999978</c:v>
                </c:pt>
                <c:pt idx="12">
                  <c:v>1</c:v>
                </c:pt>
                <c:pt idx="13">
                  <c:v>1</c:v>
                </c:pt>
                <c:pt idx="14">
                  <c:v>0.99999999999999956</c:v>
                </c:pt>
                <c:pt idx="15">
                  <c:v>1</c:v>
                </c:pt>
                <c:pt idx="16">
                  <c:v>1</c:v>
                </c:pt>
                <c:pt idx="17">
                  <c:v>0.999999999999999</c:v>
                </c:pt>
                <c:pt idx="18">
                  <c:v>0.99999999999999944</c:v>
                </c:pt>
                <c:pt idx="19">
                  <c:v>0.99999999999999967</c:v>
                </c:pt>
                <c:pt idx="20">
                  <c:v>0.999999999999999</c:v>
                </c:pt>
                <c:pt idx="21">
                  <c:v>0.99999999999999967</c:v>
                </c:pt>
                <c:pt idx="22">
                  <c:v>1</c:v>
                </c:pt>
                <c:pt idx="23">
                  <c:v>1</c:v>
                </c:pt>
                <c:pt idx="24">
                  <c:v>0.99999999999999911</c:v>
                </c:pt>
              </c:numCache>
            </c:numRef>
          </c:val>
          <c:smooth val="0"/>
        </c:ser>
        <c:ser>
          <c:idx val="4"/>
          <c:order val="4"/>
          <c:tx>
            <c:v>Stern Calibrated</c:v>
          </c:tx>
          <c:val>
            <c:numRef>
              <c:f>sterncalib!$B$137:$M$137</c:f>
              <c:numCache>
                <c:formatCode>_(* #,##0.000_);_(* \(#,##0.000\);_(* "-"??_);_(@_)</c:formatCode>
                <c:ptCount val="12"/>
                <c:pt idx="0">
                  <c:v>3.897599999999999E-2</c:v>
                </c:pt>
                <c:pt idx="1">
                  <c:v>0.22743459156733059</c:v>
                </c:pt>
                <c:pt idx="2">
                  <c:v>0.257166803825298</c:v>
                </c:pt>
                <c:pt idx="3">
                  <c:v>0.28966760121049751</c:v>
                </c:pt>
                <c:pt idx="4">
                  <c:v>0.32488592313100706</c:v>
                </c:pt>
                <c:pt idx="5">
                  <c:v>0.36278138300146939</c:v>
                </c:pt>
                <c:pt idx="6">
                  <c:v>0.40331832856025435</c:v>
                </c:pt>
                <c:pt idx="7">
                  <c:v>0.44646170280251385</c:v>
                </c:pt>
                <c:pt idx="8">
                  <c:v>0.4921743291237291</c:v>
                </c:pt>
                <c:pt idx="9">
                  <c:v>0.54041562716375713</c:v>
                </c:pt>
                <c:pt idx="10">
                  <c:v>0.59114167398296424</c:v>
                </c:pt>
                <c:pt idx="11">
                  <c:v>0.64430672589599758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8130432"/>
        <c:axId val="128132224"/>
      </c:lineChart>
      <c:catAx>
        <c:axId val="128130432"/>
        <c:scaling>
          <c:orientation val="minMax"/>
        </c:scaling>
        <c:delete val="0"/>
        <c:axPos val="b"/>
        <c:numFmt formatCode="#,##0" sourceLinked="0"/>
        <c:majorTickMark val="out"/>
        <c:minorTickMark val="none"/>
        <c:tickLblPos val="nextTo"/>
        <c:crossAx val="128132224"/>
        <c:crosses val="autoZero"/>
        <c:auto val="1"/>
        <c:lblAlgn val="ctr"/>
        <c:lblOffset val="100"/>
        <c:tickLblSkip val="4"/>
        <c:noMultiLvlLbl val="0"/>
      </c:catAx>
      <c:valAx>
        <c:axId val="128132224"/>
        <c:scaling>
          <c:orientation val="minMax"/>
        </c:scaling>
        <c:delete val="0"/>
        <c:axPos val="l"/>
        <c:majorGridlines/>
        <c:numFmt formatCode="0.0%" sourceLinked="0"/>
        <c:majorTickMark val="out"/>
        <c:minorTickMark val="none"/>
        <c:tickLblPos val="nextTo"/>
        <c:crossAx val="128130432"/>
        <c:crosses val="autoZero"/>
        <c:crossBetween val="between"/>
      </c:valAx>
    </c:plotArea>
    <c:legend>
      <c:legendPos val="l"/>
      <c:layout>
        <c:manualLayout>
          <c:xMode val="edge"/>
          <c:yMode val="edge"/>
          <c:x val="0.14156207581585092"/>
          <c:y val="5.1577123935997837E-2"/>
          <c:w val="0.23367601502948762"/>
          <c:h val="0.25738799817628449"/>
        </c:manualLayout>
      </c:layout>
      <c:overlay val="1"/>
    </c:legend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Global average carbon price</a:t>
            </a:r>
          </a:p>
        </c:rich>
      </c:tx>
      <c:layout>
        <c:manualLayout>
          <c:xMode val="edge"/>
          <c:yMode val="edge"/>
          <c:x val="0.47576730356257918"/>
          <c:y val="6.0240232793699632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14088247710294954"/>
          <c:y val="4.2379493665407525E-2"/>
          <c:w val="0.836709248756493"/>
          <c:h val="0.86199569117869845"/>
        </c:manualLayout>
      </c:layout>
      <c:lineChart>
        <c:grouping val="standard"/>
        <c:varyColors val="0"/>
        <c:ser>
          <c:idx val="1"/>
          <c:order val="0"/>
          <c:tx>
            <c:v>Base</c:v>
          </c:tx>
          <c:marker>
            <c:spPr>
              <a:noFill/>
            </c:spPr>
          </c:marker>
          <c:cat>
            <c:numRef>
              <c:f>stern!$B$2:$Z$2</c:f>
              <c:numCache>
                <c:formatCode>_(* #,##0.0000_);_(* \(#,##0.0000\);_(* "-"??_);_(@_)</c:formatCode>
                <c:ptCount val="25"/>
                <c:pt idx="0">
                  <c:v>2010</c:v>
                </c:pt>
                <c:pt idx="1">
                  <c:v>2015</c:v>
                </c:pt>
                <c:pt idx="2">
                  <c:v>2020</c:v>
                </c:pt>
                <c:pt idx="3">
                  <c:v>2025</c:v>
                </c:pt>
                <c:pt idx="4">
                  <c:v>2030</c:v>
                </c:pt>
                <c:pt idx="5">
                  <c:v>2035</c:v>
                </c:pt>
                <c:pt idx="6">
                  <c:v>2040</c:v>
                </c:pt>
                <c:pt idx="7">
                  <c:v>2045</c:v>
                </c:pt>
                <c:pt idx="8">
                  <c:v>2050</c:v>
                </c:pt>
                <c:pt idx="9">
                  <c:v>2055</c:v>
                </c:pt>
                <c:pt idx="10">
                  <c:v>2060</c:v>
                </c:pt>
                <c:pt idx="11">
                  <c:v>2065</c:v>
                </c:pt>
                <c:pt idx="12">
                  <c:v>2070</c:v>
                </c:pt>
                <c:pt idx="13">
                  <c:v>2075</c:v>
                </c:pt>
                <c:pt idx="14">
                  <c:v>2080</c:v>
                </c:pt>
                <c:pt idx="15">
                  <c:v>2085</c:v>
                </c:pt>
                <c:pt idx="16">
                  <c:v>2090</c:v>
                </c:pt>
                <c:pt idx="17">
                  <c:v>2095</c:v>
                </c:pt>
                <c:pt idx="18">
                  <c:v>2100</c:v>
                </c:pt>
                <c:pt idx="19">
                  <c:v>2105</c:v>
                </c:pt>
                <c:pt idx="20">
                  <c:v>2110</c:v>
                </c:pt>
                <c:pt idx="21">
                  <c:v>2115</c:v>
                </c:pt>
                <c:pt idx="22">
                  <c:v>2120</c:v>
                </c:pt>
                <c:pt idx="23">
                  <c:v>2125</c:v>
                </c:pt>
                <c:pt idx="24">
                  <c:v>2130</c:v>
                </c:pt>
              </c:numCache>
            </c:numRef>
          </c:cat>
          <c:val>
            <c:numRef>
              <c:f>Base!$B$137:$Z$137</c:f>
              <c:numCache>
                <c:formatCode>#,##0.0000_);\(#,##0.0000\)</c:formatCode>
                <c:ptCount val="25"/>
                <c:pt idx="0">
                  <c:v>1</c:v>
                </c:pt>
                <c:pt idx="1">
                  <c:v>1.1040808032</c:v>
                </c:pt>
                <c:pt idx="2">
                  <c:v>1.21899442</c:v>
                </c:pt>
                <c:pt idx="3">
                  <c:v>1.3458683383000001</c:v>
                </c:pt>
                <c:pt idx="4">
                  <c:v>1.485947396</c:v>
                </c:pt>
                <c:pt idx="5">
                  <c:v>1.6406059945</c:v>
                </c:pt>
                <c:pt idx="6">
                  <c:v>1.8113615840999999</c:v>
                </c:pt>
                <c:pt idx="7">
                  <c:v>1.9998895527</c:v>
                </c:pt>
                <c:pt idx="8">
                  <c:v>2.2080396636000001</c:v>
                </c:pt>
                <c:pt idx="9">
                  <c:v>2.4378542052999999</c:v>
                </c:pt>
                <c:pt idx="10">
                  <c:v>2.6915880291000001</c:v>
                </c:pt>
                <c:pt idx="11">
                  <c:v>2.9717306730000002</c:v>
                </c:pt>
                <c:pt idx="12">
                  <c:v>3.2810307883999998</c:v>
                </c:pt>
                <c:pt idx="13">
                  <c:v>3.6225231081000002</c:v>
                </c:pt>
                <c:pt idx="14">
                  <c:v>3.9995582228000002</c:v>
                </c:pt>
                <c:pt idx="15">
                  <c:v>4.4158354550999999</c:v>
                </c:pt>
                <c:pt idx="16">
                  <c:v>4.8754391560999997</c:v>
                </c:pt>
                <c:pt idx="17">
                  <c:v>5.3828787794000004</c:v>
                </c:pt>
                <c:pt idx="18">
                  <c:v>5.9431331263000002</c:v>
                </c:pt>
                <c:pt idx="19">
                  <c:v>6.5616991956000001</c:v>
                </c:pt>
                <c:pt idx="20">
                  <c:v>7.2446461183000004</c:v>
                </c:pt>
                <c:pt idx="21">
                  <c:v>7.9986747051</c:v>
                </c:pt>
                <c:pt idx="22">
                  <c:v>8.8311831929999993</c:v>
                </c:pt>
                <c:pt idx="23">
                  <c:v>9.7503398328999999</c:v>
                </c:pt>
                <c:pt idx="24">
                  <c:v>10.7651630342</c:v>
                </c:pt>
              </c:numCache>
            </c:numRef>
          </c:val>
          <c:smooth val="0"/>
        </c:ser>
        <c:ser>
          <c:idx val="0"/>
          <c:order val="1"/>
          <c:tx>
            <c:v>Optimal</c:v>
          </c:tx>
          <c:cat>
            <c:numRef>
              <c:f>stern!$B$2:$Z$2</c:f>
              <c:numCache>
                <c:formatCode>_(* #,##0.0000_);_(* \(#,##0.0000\);_(* "-"??_);_(@_)</c:formatCode>
                <c:ptCount val="25"/>
                <c:pt idx="0">
                  <c:v>2010</c:v>
                </c:pt>
                <c:pt idx="1">
                  <c:v>2015</c:v>
                </c:pt>
                <c:pt idx="2">
                  <c:v>2020</c:v>
                </c:pt>
                <c:pt idx="3">
                  <c:v>2025</c:v>
                </c:pt>
                <c:pt idx="4">
                  <c:v>2030</c:v>
                </c:pt>
                <c:pt idx="5">
                  <c:v>2035</c:v>
                </c:pt>
                <c:pt idx="6">
                  <c:v>2040</c:v>
                </c:pt>
                <c:pt idx="7">
                  <c:v>2045</c:v>
                </c:pt>
                <c:pt idx="8">
                  <c:v>2050</c:v>
                </c:pt>
                <c:pt idx="9">
                  <c:v>2055</c:v>
                </c:pt>
                <c:pt idx="10">
                  <c:v>2060</c:v>
                </c:pt>
                <c:pt idx="11">
                  <c:v>2065</c:v>
                </c:pt>
                <c:pt idx="12">
                  <c:v>2070</c:v>
                </c:pt>
                <c:pt idx="13">
                  <c:v>2075</c:v>
                </c:pt>
                <c:pt idx="14">
                  <c:v>2080</c:v>
                </c:pt>
                <c:pt idx="15">
                  <c:v>2085</c:v>
                </c:pt>
                <c:pt idx="16">
                  <c:v>2090</c:v>
                </c:pt>
                <c:pt idx="17">
                  <c:v>2095</c:v>
                </c:pt>
                <c:pt idx="18">
                  <c:v>2100</c:v>
                </c:pt>
                <c:pt idx="19">
                  <c:v>2105</c:v>
                </c:pt>
                <c:pt idx="20">
                  <c:v>2110</c:v>
                </c:pt>
                <c:pt idx="21">
                  <c:v>2115</c:v>
                </c:pt>
                <c:pt idx="22">
                  <c:v>2120</c:v>
                </c:pt>
                <c:pt idx="23">
                  <c:v>2125</c:v>
                </c:pt>
                <c:pt idx="24">
                  <c:v>2130</c:v>
                </c:pt>
              </c:numCache>
            </c:numRef>
          </c:cat>
          <c:val>
            <c:numRef>
              <c:f>Opttax!$B$140:$Z$140</c:f>
              <c:numCache>
                <c:formatCode>_(* #,##0.000_);_(* \(#,##0.000\);_(* "-"??_);_(@_)</c:formatCode>
                <c:ptCount val="25"/>
                <c:pt idx="0">
                  <c:v>1</c:v>
                </c:pt>
                <c:pt idx="1">
                  <c:v>19.576530944586199</c:v>
                </c:pt>
                <c:pt idx="2">
                  <c:v>23.413301875967601</c:v>
                </c:pt>
                <c:pt idx="3">
                  <c:v>27.775815876279101</c:v>
                </c:pt>
                <c:pt idx="4">
                  <c:v>32.687340620286292</c:v>
                </c:pt>
                <c:pt idx="5">
                  <c:v>38.170058511217498</c:v>
                </c:pt>
                <c:pt idx="6">
                  <c:v>44.24465052434801</c:v>
                </c:pt>
                <c:pt idx="7">
                  <c:v>50.929953451655209</c:v>
                </c:pt>
                <c:pt idx="8">
                  <c:v>58.242666447639884</c:v>
                </c:pt>
                <c:pt idx="9">
                  <c:v>66.197091955148906</c:v>
                </c:pt>
                <c:pt idx="10">
                  <c:v>74.804900884053694</c:v>
                </c:pt>
                <c:pt idx="11">
                  <c:v>84.074913916668507</c:v>
                </c:pt>
                <c:pt idx="12">
                  <c:v>94.012891295836681</c:v>
                </c:pt>
                <c:pt idx="13">
                  <c:v>104.621324497643</c:v>
                </c:pt>
                <c:pt idx="14">
                  <c:v>115.89922782571999</c:v>
                </c:pt>
                <c:pt idx="15">
                  <c:v>127.841942781507</c:v>
                </c:pt>
                <c:pt idx="16">
                  <c:v>140.44100507121399</c:v>
                </c:pt>
                <c:pt idx="17">
                  <c:v>153.684207332759</c:v>
                </c:pt>
                <c:pt idx="18">
                  <c:v>167.556166407707</c:v>
                </c:pt>
                <c:pt idx="19">
                  <c:v>182.045524906559</c:v>
                </c:pt>
                <c:pt idx="20">
                  <c:v>197.12865690487601</c:v>
                </c:pt>
                <c:pt idx="21">
                  <c:v>202.14144794548599</c:v>
                </c:pt>
                <c:pt idx="22">
                  <c:v>197.08791174684899</c:v>
                </c:pt>
                <c:pt idx="23">
                  <c:v>192.16071395317775</c:v>
                </c:pt>
                <c:pt idx="24">
                  <c:v>187.356696104348</c:v>
                </c:pt>
              </c:numCache>
            </c:numRef>
          </c:val>
          <c:smooth val="0"/>
        </c:ser>
        <c:ser>
          <c:idx val="2"/>
          <c:order val="2"/>
          <c:tx>
            <c:v>Limit t = 2</c:v>
          </c:tx>
          <c:cat>
            <c:numRef>
              <c:f>stern!$B$2:$Z$2</c:f>
              <c:numCache>
                <c:formatCode>_(* #,##0.0000_);_(* \(#,##0.0000\);_(* "-"??_);_(@_)</c:formatCode>
                <c:ptCount val="25"/>
                <c:pt idx="0">
                  <c:v>2010</c:v>
                </c:pt>
                <c:pt idx="1">
                  <c:v>2015</c:v>
                </c:pt>
                <c:pt idx="2">
                  <c:v>2020</c:v>
                </c:pt>
                <c:pt idx="3">
                  <c:v>2025</c:v>
                </c:pt>
                <c:pt idx="4">
                  <c:v>2030</c:v>
                </c:pt>
                <c:pt idx="5">
                  <c:v>2035</c:v>
                </c:pt>
                <c:pt idx="6">
                  <c:v>2040</c:v>
                </c:pt>
                <c:pt idx="7">
                  <c:v>2045</c:v>
                </c:pt>
                <c:pt idx="8">
                  <c:v>2050</c:v>
                </c:pt>
                <c:pt idx="9">
                  <c:v>2055</c:v>
                </c:pt>
                <c:pt idx="10">
                  <c:v>2060</c:v>
                </c:pt>
                <c:pt idx="11">
                  <c:v>2065</c:v>
                </c:pt>
                <c:pt idx="12">
                  <c:v>2070</c:v>
                </c:pt>
                <c:pt idx="13">
                  <c:v>2075</c:v>
                </c:pt>
                <c:pt idx="14">
                  <c:v>2080</c:v>
                </c:pt>
                <c:pt idx="15">
                  <c:v>2085</c:v>
                </c:pt>
                <c:pt idx="16">
                  <c:v>2090</c:v>
                </c:pt>
                <c:pt idx="17">
                  <c:v>2095</c:v>
                </c:pt>
                <c:pt idx="18">
                  <c:v>2100</c:v>
                </c:pt>
                <c:pt idx="19">
                  <c:v>2105</c:v>
                </c:pt>
                <c:pt idx="20">
                  <c:v>2110</c:v>
                </c:pt>
                <c:pt idx="21">
                  <c:v>2115</c:v>
                </c:pt>
                <c:pt idx="22">
                  <c:v>2120</c:v>
                </c:pt>
                <c:pt idx="23">
                  <c:v>2125</c:v>
                </c:pt>
                <c:pt idx="24">
                  <c:v>2130</c:v>
                </c:pt>
              </c:numCache>
            </c:numRef>
          </c:cat>
          <c:val>
            <c:numRef>
              <c:f>Limt2!$B$140:$Z$140</c:f>
              <c:numCache>
                <c:formatCode>_(* #,##0.0000_);_(* \(#,##0.0000\);_(* "-"??_);_(@_)</c:formatCode>
                <c:ptCount val="25"/>
                <c:pt idx="0">
                  <c:v>1</c:v>
                </c:pt>
                <c:pt idx="1">
                  <c:v>45.792333156624203</c:v>
                </c:pt>
                <c:pt idx="2">
                  <c:v>57.629173775486002</c:v>
                </c:pt>
                <c:pt idx="3">
                  <c:v>72.233898530186707</c:v>
                </c:pt>
                <c:pt idx="4">
                  <c:v>90.125296343019002</c:v>
                </c:pt>
                <c:pt idx="5">
                  <c:v>111.893228521198</c:v>
                </c:pt>
                <c:pt idx="6">
                  <c:v>138.194115172566</c:v>
                </c:pt>
                <c:pt idx="7">
                  <c:v>169.74923047958299</c:v>
                </c:pt>
                <c:pt idx="8">
                  <c:v>207.36365564134499</c:v>
                </c:pt>
                <c:pt idx="9">
                  <c:v>252.01302880410799</c:v>
                </c:pt>
                <c:pt idx="10">
                  <c:v>267.05738957461449</c:v>
                </c:pt>
                <c:pt idx="11">
                  <c:v>260.38095483524899</c:v>
                </c:pt>
                <c:pt idx="12">
                  <c:v>253.87143096436787</c:v>
                </c:pt>
                <c:pt idx="13">
                  <c:v>247.52464519025867</c:v>
                </c:pt>
                <c:pt idx="14">
                  <c:v>241.33652906050199</c:v>
                </c:pt>
                <c:pt idx="15">
                  <c:v>235.30311583398964</c:v>
                </c:pt>
                <c:pt idx="16">
                  <c:v>229.42053793813989</c:v>
                </c:pt>
                <c:pt idx="17">
                  <c:v>223.68502448968599</c:v>
                </c:pt>
                <c:pt idx="18">
                  <c:v>218.09289887744399</c:v>
                </c:pt>
                <c:pt idx="19">
                  <c:v>212.640576405508</c:v>
                </c:pt>
                <c:pt idx="20">
                  <c:v>198.59291154677101</c:v>
                </c:pt>
                <c:pt idx="21">
                  <c:v>193.45836377860701</c:v>
                </c:pt>
                <c:pt idx="22">
                  <c:v>189.81195127797201</c:v>
                </c:pt>
                <c:pt idx="23">
                  <c:v>192.16071395317775</c:v>
                </c:pt>
                <c:pt idx="24">
                  <c:v>187.356696104348</c:v>
                </c:pt>
              </c:numCache>
            </c:numRef>
          </c:val>
          <c:smooth val="0"/>
        </c:ser>
        <c:ser>
          <c:idx val="3"/>
          <c:order val="3"/>
          <c:tx>
            <c:v>Stern</c:v>
          </c:tx>
          <c:cat>
            <c:numRef>
              <c:f>stern!$B$2:$Z$2</c:f>
              <c:numCache>
                <c:formatCode>_(* #,##0.0000_);_(* \(#,##0.0000\);_(* "-"??_);_(@_)</c:formatCode>
                <c:ptCount val="25"/>
                <c:pt idx="0">
                  <c:v>2010</c:v>
                </c:pt>
                <c:pt idx="1">
                  <c:v>2015</c:v>
                </c:pt>
                <c:pt idx="2">
                  <c:v>2020</c:v>
                </c:pt>
                <c:pt idx="3">
                  <c:v>2025</c:v>
                </c:pt>
                <c:pt idx="4">
                  <c:v>2030</c:v>
                </c:pt>
                <c:pt idx="5">
                  <c:v>2035</c:v>
                </c:pt>
                <c:pt idx="6">
                  <c:v>2040</c:v>
                </c:pt>
                <c:pt idx="7">
                  <c:v>2045</c:v>
                </c:pt>
                <c:pt idx="8">
                  <c:v>2050</c:v>
                </c:pt>
                <c:pt idx="9">
                  <c:v>2055</c:v>
                </c:pt>
                <c:pt idx="10">
                  <c:v>2060</c:v>
                </c:pt>
                <c:pt idx="11">
                  <c:v>2065</c:v>
                </c:pt>
                <c:pt idx="12">
                  <c:v>2070</c:v>
                </c:pt>
                <c:pt idx="13">
                  <c:v>2075</c:v>
                </c:pt>
                <c:pt idx="14">
                  <c:v>2080</c:v>
                </c:pt>
                <c:pt idx="15">
                  <c:v>2085</c:v>
                </c:pt>
                <c:pt idx="16">
                  <c:v>2090</c:v>
                </c:pt>
                <c:pt idx="17">
                  <c:v>2095</c:v>
                </c:pt>
                <c:pt idx="18">
                  <c:v>2100</c:v>
                </c:pt>
                <c:pt idx="19">
                  <c:v>2105</c:v>
                </c:pt>
                <c:pt idx="20">
                  <c:v>2110</c:v>
                </c:pt>
                <c:pt idx="21">
                  <c:v>2115</c:v>
                </c:pt>
                <c:pt idx="22">
                  <c:v>2120</c:v>
                </c:pt>
                <c:pt idx="23">
                  <c:v>2125</c:v>
                </c:pt>
                <c:pt idx="24">
                  <c:v>2130</c:v>
                </c:pt>
              </c:numCache>
            </c:numRef>
          </c:cat>
          <c:val>
            <c:numRef>
              <c:f>stern!$B$140:$Z$140</c:f>
              <c:numCache>
                <c:formatCode>_(* #,##0.000_);_(* \(#,##0.000\);_(* "-"??_);_(@_)</c:formatCode>
                <c:ptCount val="25"/>
                <c:pt idx="0">
                  <c:v>1</c:v>
                </c:pt>
                <c:pt idx="1">
                  <c:v>126.788075242266</c:v>
                </c:pt>
                <c:pt idx="2">
                  <c:v>144.280119886877</c:v>
                </c:pt>
                <c:pt idx="3">
                  <c:v>162.48514610488101</c:v>
                </c:pt>
                <c:pt idx="4">
                  <c:v>181.54801796100401</c:v>
                </c:pt>
                <c:pt idx="5">
                  <c:v>201.556149469492</c:v>
                </c:pt>
                <c:pt idx="6">
                  <c:v>222.57089452011601</c:v>
                </c:pt>
                <c:pt idx="7">
                  <c:v>244.65973122700501</c:v>
                </c:pt>
                <c:pt idx="8">
                  <c:v>267.94077324839901</c:v>
                </c:pt>
                <c:pt idx="9">
                  <c:v>273.90501494832256</c:v>
                </c:pt>
                <c:pt idx="10">
                  <c:v>267.05738957461449</c:v>
                </c:pt>
                <c:pt idx="11">
                  <c:v>260.38095483524899</c:v>
                </c:pt>
                <c:pt idx="12">
                  <c:v>253.87143096436787</c:v>
                </c:pt>
                <c:pt idx="13">
                  <c:v>247.52464519025867</c:v>
                </c:pt>
                <c:pt idx="14">
                  <c:v>241.33652906050199</c:v>
                </c:pt>
                <c:pt idx="15">
                  <c:v>235.30311583398964</c:v>
                </c:pt>
                <c:pt idx="16">
                  <c:v>229.42053793813989</c:v>
                </c:pt>
                <c:pt idx="17">
                  <c:v>223.68502448968599</c:v>
                </c:pt>
                <c:pt idx="18">
                  <c:v>218.09289887744399</c:v>
                </c:pt>
                <c:pt idx="19">
                  <c:v>212.640576405508</c:v>
                </c:pt>
                <c:pt idx="20">
                  <c:v>207.32456199537</c:v>
                </c:pt>
                <c:pt idx="21">
                  <c:v>202.14144794548599</c:v>
                </c:pt>
                <c:pt idx="22">
                  <c:v>197.08791174684899</c:v>
                </c:pt>
                <c:pt idx="23">
                  <c:v>192.16071395317775</c:v>
                </c:pt>
                <c:pt idx="24">
                  <c:v>187.356696104348</c:v>
                </c:pt>
              </c:numCache>
            </c:numRef>
          </c:val>
          <c:smooth val="0"/>
        </c:ser>
        <c:ser>
          <c:idx val="4"/>
          <c:order val="4"/>
          <c:tx>
            <c:v>Copen</c:v>
          </c:tx>
          <c:val>
            <c:numRef>
              <c:f>Copen!$B$140:$Z$140</c:f>
              <c:numCache>
                <c:formatCode>_(* #,##0.000_);_(* \(#,##0.000\);_(* "-"??_);_(@_)</c:formatCode>
                <c:ptCount val="25"/>
                <c:pt idx="0">
                  <c:v>0.2</c:v>
                </c:pt>
                <c:pt idx="1">
                  <c:v>3.9566118313553895</c:v>
                </c:pt>
                <c:pt idx="2">
                  <c:v>13.575237755434555</c:v>
                </c:pt>
                <c:pt idx="3">
                  <c:v>23.75980101488901</c:v>
                </c:pt>
                <c:pt idx="4">
                  <c:v>36.110414395935663</c:v>
                </c:pt>
                <c:pt idx="5">
                  <c:v>48.047714144925962</c:v>
                </c:pt>
                <c:pt idx="6">
                  <c:v>45.101137954661773</c:v>
                </c:pt>
                <c:pt idx="7">
                  <c:v>62.871641903510465</c:v>
                </c:pt>
                <c:pt idx="8">
                  <c:v>68.816924611095374</c:v>
                </c:pt>
                <c:pt idx="9">
                  <c:v>83.960433842890893</c:v>
                </c:pt>
                <c:pt idx="10">
                  <c:v>90.763345265080403</c:v>
                </c:pt>
                <c:pt idx="11">
                  <c:v>105.53705052064859</c:v>
                </c:pt>
                <c:pt idx="12">
                  <c:v>117.9437539778982</c:v>
                </c:pt>
                <c:pt idx="13">
                  <c:v>128.31447730916463</c:v>
                </c:pt>
                <c:pt idx="14">
                  <c:v>136.61048944988215</c:v>
                </c:pt>
                <c:pt idx="15">
                  <c:v>143.17377810276534</c:v>
                </c:pt>
                <c:pt idx="16">
                  <c:v>148.09688118812824</c:v>
                </c:pt>
                <c:pt idx="17">
                  <c:v>151.66740444782795</c:v>
                </c:pt>
                <c:pt idx="18">
                  <c:v>144.02156465986928</c:v>
                </c:pt>
                <c:pt idx="19">
                  <c:v>149.48680538391426</c:v>
                </c:pt>
                <c:pt idx="20">
                  <c:v>151.19572089106185</c:v>
                </c:pt>
                <c:pt idx="21">
                  <c:v>152.29820468970914</c:v>
                </c:pt>
                <c:pt idx="22">
                  <c:v>152.7887312230842</c:v>
                </c:pt>
                <c:pt idx="23">
                  <c:v>152.81460649248228</c:v>
                </c:pt>
                <c:pt idx="24">
                  <c:v>152.40638632870036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8180608"/>
        <c:axId val="128182144"/>
      </c:lineChart>
      <c:catAx>
        <c:axId val="128180608"/>
        <c:scaling>
          <c:orientation val="minMax"/>
        </c:scaling>
        <c:delete val="0"/>
        <c:axPos val="b"/>
        <c:numFmt formatCode="#,##0" sourceLinked="0"/>
        <c:majorTickMark val="out"/>
        <c:minorTickMark val="none"/>
        <c:tickLblPos val="nextTo"/>
        <c:crossAx val="128182144"/>
        <c:crosses val="autoZero"/>
        <c:auto val="1"/>
        <c:lblAlgn val="ctr"/>
        <c:lblOffset val="100"/>
        <c:tickLblSkip val="4"/>
        <c:noMultiLvlLbl val="0"/>
      </c:catAx>
      <c:valAx>
        <c:axId val="12818214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Carbon price (2005$ per t CO2)</a:t>
                </a:r>
              </a:p>
            </c:rich>
          </c:tx>
          <c:layout>
            <c:manualLayout>
              <c:xMode val="edge"/>
              <c:yMode val="edge"/>
              <c:x val="1.4400271644366138E-2"/>
              <c:y val="0.29148568991340079"/>
            </c:manualLayout>
          </c:layout>
          <c:overlay val="0"/>
        </c:title>
        <c:numFmt formatCode="&quot;$&quot;#,##0" sourceLinked="0"/>
        <c:majorTickMark val="out"/>
        <c:minorTickMark val="none"/>
        <c:tickLblPos val="nextTo"/>
        <c:crossAx val="128180608"/>
        <c:crosses val="autoZero"/>
        <c:crossBetween val="between"/>
      </c:valAx>
    </c:plotArea>
    <c:legend>
      <c:legendPos val="l"/>
      <c:layout>
        <c:manualLayout>
          <c:xMode val="edge"/>
          <c:yMode val="edge"/>
          <c:x val="0.15379990088651513"/>
          <c:y val="0.10541717633369203"/>
          <c:w val="0.18620371293916968"/>
          <c:h val="0.25839854925382461"/>
        </c:manualLayout>
      </c:layout>
      <c:overlay val="1"/>
      <c:spPr>
        <a:solidFill>
          <a:schemeClr val="bg1"/>
        </a:solidFill>
      </c:spPr>
    </c:legend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Carbon tax participants</a:t>
            </a:r>
          </a:p>
        </c:rich>
      </c:tx>
      <c:layout>
        <c:manualLayout>
          <c:xMode val="edge"/>
          <c:yMode val="edge"/>
          <c:x val="0.47576730356257918"/>
          <c:y val="6.0240232793699632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14088247710294954"/>
          <c:y val="4.2379493665407525E-2"/>
          <c:w val="0.836709248756493"/>
          <c:h val="0.86199569117869845"/>
        </c:manualLayout>
      </c:layout>
      <c:lineChart>
        <c:grouping val="standard"/>
        <c:varyColors val="0"/>
        <c:ser>
          <c:idx val="1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marker>
            <c:spPr>
              <a:noFill/>
            </c:spPr>
          </c:marker>
          <c:cat>
            <c:multiLvlStrRef>
              <c:f>#REF!</c:f>
            </c:multiLvl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</c:ser>
        <c:ser>
          <c:idx val="0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cat>
            <c:multiLvlStrRef>
              <c:f>#REF!</c:f>
            </c:multiLvl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cat>
            <c:multiLvlStrRef>
              <c:f>#REF!</c:f>
            </c:multiLvl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cat>
            <c:multiLvlStrRef>
              <c:f>#REF!</c:f>
            </c:multiLvl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cat>
            <c:multiLvlStrRef>
              <c:f>#REF!</c:f>
            </c:multiLvl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8239104"/>
        <c:axId val="128240640"/>
      </c:lineChart>
      <c:catAx>
        <c:axId val="12823910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28240640"/>
        <c:crosses val="autoZero"/>
        <c:auto val="1"/>
        <c:lblAlgn val="ctr"/>
        <c:lblOffset val="100"/>
        <c:tickLblSkip val="1"/>
        <c:noMultiLvlLbl val="0"/>
      </c:catAx>
      <c:valAx>
        <c:axId val="12824064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Carbon price (2005$ per t CO2)</a:t>
                </a:r>
              </a:p>
            </c:rich>
          </c:tx>
          <c:layout>
            <c:manualLayout>
              <c:xMode val="edge"/>
              <c:yMode val="edge"/>
              <c:x val="1.4400271644366138E-2"/>
              <c:y val="0.29148568991340079"/>
            </c:manualLayout>
          </c:layout>
          <c:overlay val="0"/>
        </c:title>
        <c:numFmt formatCode="&quot;$&quot;#,##0" sourceLinked="0"/>
        <c:majorTickMark val="out"/>
        <c:minorTickMark val="none"/>
        <c:tickLblPos val="nextTo"/>
        <c:crossAx val="128239104"/>
        <c:crosses val="autoZero"/>
        <c:crossBetween val="between"/>
      </c:valAx>
    </c:plotArea>
    <c:legend>
      <c:legendPos val="l"/>
      <c:layout>
        <c:manualLayout>
          <c:xMode val="edge"/>
          <c:yMode val="edge"/>
          <c:x val="0.15379990088651513"/>
          <c:y val="0.10541717633369203"/>
          <c:w val="0.18620371293916968"/>
          <c:h val="0.25839854925382461"/>
        </c:manualLayout>
      </c:layout>
      <c:overlay val="1"/>
      <c:spPr>
        <a:solidFill>
          <a:schemeClr val="bg1"/>
        </a:solidFill>
      </c:spPr>
    </c:legend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CO2 concentrations 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0.11401077942256292"/>
          <c:y val="2.6590471252256304E-2"/>
          <c:w val="0.85064794611520334"/>
          <c:h val="0.80675964524042365"/>
        </c:manualLayout>
      </c:layout>
      <c:lineChart>
        <c:grouping val="standard"/>
        <c:varyColors val="0"/>
        <c:ser>
          <c:idx val="0"/>
          <c:order val="0"/>
          <c:tx>
            <c:v>Base</c:v>
          </c:tx>
          <c:marker>
            <c:symbol val="circle"/>
            <c:size val="5"/>
            <c:spPr>
              <a:noFill/>
            </c:spPr>
          </c:marker>
          <c:cat>
            <c:numRef>
              <c:f>Base!$B$2:$V$2</c:f>
              <c:numCache>
                <c:formatCode>_(* #,##0.000_);_(* \(#,##0.000\);_(* "-"??_);_(@_)</c:formatCode>
                <c:ptCount val="21"/>
                <c:pt idx="0">
                  <c:v>2010</c:v>
                </c:pt>
                <c:pt idx="1">
                  <c:v>2015</c:v>
                </c:pt>
                <c:pt idx="2">
                  <c:v>2020</c:v>
                </c:pt>
                <c:pt idx="3">
                  <c:v>2025</c:v>
                </c:pt>
                <c:pt idx="4">
                  <c:v>2030</c:v>
                </c:pt>
                <c:pt idx="5">
                  <c:v>2035</c:v>
                </c:pt>
                <c:pt idx="6">
                  <c:v>2040</c:v>
                </c:pt>
                <c:pt idx="7">
                  <c:v>2045</c:v>
                </c:pt>
                <c:pt idx="8">
                  <c:v>2050</c:v>
                </c:pt>
                <c:pt idx="9">
                  <c:v>2055</c:v>
                </c:pt>
                <c:pt idx="10">
                  <c:v>2060</c:v>
                </c:pt>
                <c:pt idx="11">
                  <c:v>2065</c:v>
                </c:pt>
                <c:pt idx="12">
                  <c:v>2070</c:v>
                </c:pt>
                <c:pt idx="13">
                  <c:v>2075</c:v>
                </c:pt>
                <c:pt idx="14">
                  <c:v>2080</c:v>
                </c:pt>
                <c:pt idx="15">
                  <c:v>2085</c:v>
                </c:pt>
                <c:pt idx="16">
                  <c:v>2090</c:v>
                </c:pt>
                <c:pt idx="17">
                  <c:v>2095</c:v>
                </c:pt>
                <c:pt idx="18">
                  <c:v>2100</c:v>
                </c:pt>
                <c:pt idx="19">
                  <c:v>2105</c:v>
                </c:pt>
                <c:pt idx="20">
                  <c:v>2110</c:v>
                </c:pt>
              </c:numCache>
            </c:numRef>
          </c:cat>
          <c:val>
            <c:numRef>
              <c:f>Base!$B$88:$V$88</c:f>
              <c:numCache>
                <c:formatCode>_(* #,##0.000_);_(* \(#,##0.000\);_(* "-"??_);_(@_)</c:formatCode>
                <c:ptCount val="21"/>
                <c:pt idx="0">
                  <c:v>384.5</c:v>
                </c:pt>
                <c:pt idx="1">
                  <c:v>398.24793417076302</c:v>
                </c:pt>
                <c:pt idx="2">
                  <c:v>413.33961147321475</c:v>
                </c:pt>
                <c:pt idx="3">
                  <c:v>429.81735731096654</c:v>
                </c:pt>
                <c:pt idx="4">
                  <c:v>447.68286228867794</c:v>
                </c:pt>
                <c:pt idx="5">
                  <c:v>466.90533742970132</c:v>
                </c:pt>
                <c:pt idx="6">
                  <c:v>487.42821021841695</c:v>
                </c:pt>
                <c:pt idx="7">
                  <c:v>509.17462449546724</c:v>
                </c:pt>
                <c:pt idx="8">
                  <c:v>532.05195313944409</c:v>
                </c:pt>
                <c:pt idx="9">
                  <c:v>555.95549040000571</c:v>
                </c:pt>
                <c:pt idx="10">
                  <c:v>580.77147291462938</c:v>
                </c:pt>
                <c:pt idx="11">
                  <c:v>606.37955744494707</c:v>
                </c:pt>
                <c:pt idx="12">
                  <c:v>632.6548617452105</c:v>
                </c:pt>
                <c:pt idx="13">
                  <c:v>659.46964979749828</c:v>
                </c:pt>
                <c:pt idx="14">
                  <c:v>686.69472280669993</c:v>
                </c:pt>
                <c:pt idx="15">
                  <c:v>714.2005552929088</c:v>
                </c:pt>
                <c:pt idx="16">
                  <c:v>741.85821128437306</c:v>
                </c:pt>
                <c:pt idx="17">
                  <c:v>769.54006246566485</c:v>
                </c:pt>
                <c:pt idx="18">
                  <c:v>797.12032709600396</c:v>
                </c:pt>
                <c:pt idx="19">
                  <c:v>824.47543173517545</c:v>
                </c:pt>
                <c:pt idx="20">
                  <c:v>851.4841792079211</c:v>
                </c:pt>
              </c:numCache>
            </c:numRef>
          </c:val>
          <c:smooth val="0"/>
        </c:ser>
        <c:ser>
          <c:idx val="1"/>
          <c:order val="1"/>
          <c:tx>
            <c:v>Optimal</c:v>
          </c:tx>
          <c:marker>
            <c:symbol val="square"/>
            <c:size val="5"/>
            <c:spPr>
              <a:solidFill>
                <a:schemeClr val="accent6">
                  <a:lumMod val="20000"/>
                  <a:lumOff val="80000"/>
                </a:schemeClr>
              </a:solidFill>
            </c:spPr>
          </c:marker>
          <c:cat>
            <c:numRef>
              <c:f>Base!$B$2:$V$2</c:f>
              <c:numCache>
                <c:formatCode>_(* #,##0.000_);_(* \(#,##0.000\);_(* "-"??_);_(@_)</c:formatCode>
                <c:ptCount val="21"/>
                <c:pt idx="0">
                  <c:v>2010</c:v>
                </c:pt>
                <c:pt idx="1">
                  <c:v>2015</c:v>
                </c:pt>
                <c:pt idx="2">
                  <c:v>2020</c:v>
                </c:pt>
                <c:pt idx="3">
                  <c:v>2025</c:v>
                </c:pt>
                <c:pt idx="4">
                  <c:v>2030</c:v>
                </c:pt>
                <c:pt idx="5">
                  <c:v>2035</c:v>
                </c:pt>
                <c:pt idx="6">
                  <c:v>2040</c:v>
                </c:pt>
                <c:pt idx="7">
                  <c:v>2045</c:v>
                </c:pt>
                <c:pt idx="8">
                  <c:v>2050</c:v>
                </c:pt>
                <c:pt idx="9">
                  <c:v>2055</c:v>
                </c:pt>
                <c:pt idx="10">
                  <c:v>2060</c:v>
                </c:pt>
                <c:pt idx="11">
                  <c:v>2065</c:v>
                </c:pt>
                <c:pt idx="12">
                  <c:v>2070</c:v>
                </c:pt>
                <c:pt idx="13">
                  <c:v>2075</c:v>
                </c:pt>
                <c:pt idx="14">
                  <c:v>2080</c:v>
                </c:pt>
                <c:pt idx="15">
                  <c:v>2085</c:v>
                </c:pt>
                <c:pt idx="16">
                  <c:v>2090</c:v>
                </c:pt>
                <c:pt idx="17">
                  <c:v>2095</c:v>
                </c:pt>
                <c:pt idx="18">
                  <c:v>2100</c:v>
                </c:pt>
                <c:pt idx="19">
                  <c:v>2105</c:v>
                </c:pt>
                <c:pt idx="20">
                  <c:v>2110</c:v>
                </c:pt>
              </c:numCache>
            </c:numRef>
          </c:cat>
          <c:val>
            <c:numRef>
              <c:f>Opttax!$B$88:$V$88</c:f>
              <c:numCache>
                <c:formatCode>_(* #,##0.0000_);_(* \(#,##0.0000\);_(* "-"??_);_(@_)</c:formatCode>
                <c:ptCount val="21"/>
                <c:pt idx="0">
                  <c:v>384.5</c:v>
                </c:pt>
                <c:pt idx="1">
                  <c:v>398.24793417076302</c:v>
                </c:pt>
                <c:pt idx="2">
                  <c:v>409.63692036500481</c:v>
                </c:pt>
                <c:pt idx="3">
                  <c:v>421.73289259870512</c:v>
                </c:pt>
                <c:pt idx="4">
                  <c:v>434.40166225347633</c:v>
                </c:pt>
                <c:pt idx="5">
                  <c:v>447.47570914166954</c:v>
                </c:pt>
                <c:pt idx="6">
                  <c:v>460.76207883436552</c:v>
                </c:pt>
                <c:pt idx="7">
                  <c:v>474.04913344557713</c:v>
                </c:pt>
                <c:pt idx="8">
                  <c:v>487.11233612981363</c:v>
                </c:pt>
                <c:pt idx="9">
                  <c:v>499.7192200520372</c:v>
                </c:pt>
                <c:pt idx="10">
                  <c:v>511.63366511468541</c:v>
                </c:pt>
                <c:pt idx="11">
                  <c:v>522.61958246040729</c:v>
                </c:pt>
                <c:pt idx="12">
                  <c:v>532.44408804757745</c:v>
                </c:pt>
                <c:pt idx="13">
                  <c:v>540.8802320604533</c:v>
                </c:pt>
                <c:pt idx="14">
                  <c:v>547.70933985352337</c:v>
                </c:pt>
                <c:pt idx="15">
                  <c:v>552.72301155835191</c:v>
                </c:pt>
                <c:pt idx="16">
                  <c:v>555.72481980084956</c:v>
                </c:pt>
                <c:pt idx="17">
                  <c:v>556.53173556749528</c:v>
                </c:pt>
                <c:pt idx="18">
                  <c:v>554.97529653253855</c:v>
                </c:pt>
                <c:pt idx="19">
                  <c:v>550.90250211026239</c:v>
                </c:pt>
                <c:pt idx="20">
                  <c:v>544.1752875611021</c:v>
                </c:pt>
              </c:numCache>
            </c:numRef>
          </c:val>
          <c:smooth val="0"/>
        </c:ser>
        <c:ser>
          <c:idx val="2"/>
          <c:order val="2"/>
          <c:tx>
            <c:v>Limit 2 degC</c:v>
          </c:tx>
          <c:marker>
            <c:spPr>
              <a:noFill/>
            </c:spPr>
          </c:marker>
          <c:cat>
            <c:numRef>
              <c:f>Base!$B$2:$V$2</c:f>
              <c:numCache>
                <c:formatCode>_(* #,##0.000_);_(* \(#,##0.000\);_(* "-"??_);_(@_)</c:formatCode>
                <c:ptCount val="21"/>
                <c:pt idx="0">
                  <c:v>2010</c:v>
                </c:pt>
                <c:pt idx="1">
                  <c:v>2015</c:v>
                </c:pt>
                <c:pt idx="2">
                  <c:v>2020</c:v>
                </c:pt>
                <c:pt idx="3">
                  <c:v>2025</c:v>
                </c:pt>
                <c:pt idx="4">
                  <c:v>2030</c:v>
                </c:pt>
                <c:pt idx="5">
                  <c:v>2035</c:v>
                </c:pt>
                <c:pt idx="6">
                  <c:v>2040</c:v>
                </c:pt>
                <c:pt idx="7">
                  <c:v>2045</c:v>
                </c:pt>
                <c:pt idx="8">
                  <c:v>2050</c:v>
                </c:pt>
                <c:pt idx="9">
                  <c:v>2055</c:v>
                </c:pt>
                <c:pt idx="10">
                  <c:v>2060</c:v>
                </c:pt>
                <c:pt idx="11">
                  <c:v>2065</c:v>
                </c:pt>
                <c:pt idx="12">
                  <c:v>2070</c:v>
                </c:pt>
                <c:pt idx="13">
                  <c:v>2075</c:v>
                </c:pt>
                <c:pt idx="14">
                  <c:v>2080</c:v>
                </c:pt>
                <c:pt idx="15">
                  <c:v>2085</c:v>
                </c:pt>
                <c:pt idx="16">
                  <c:v>2090</c:v>
                </c:pt>
                <c:pt idx="17">
                  <c:v>2095</c:v>
                </c:pt>
                <c:pt idx="18">
                  <c:v>2100</c:v>
                </c:pt>
                <c:pt idx="19">
                  <c:v>2105</c:v>
                </c:pt>
                <c:pt idx="20">
                  <c:v>2110</c:v>
                </c:pt>
              </c:numCache>
            </c:numRef>
          </c:cat>
          <c:val>
            <c:numRef>
              <c:f>Limt2!$B$88:$V$88</c:f>
              <c:numCache>
                <c:formatCode>_(* #,##0.0000_);_(* \(#,##0.0000\);_(* "-"??_);_(@_)</c:formatCode>
                <c:ptCount val="21"/>
                <c:pt idx="0">
                  <c:v>384.5</c:v>
                </c:pt>
                <c:pt idx="1">
                  <c:v>398.24793417076302</c:v>
                </c:pt>
                <c:pt idx="2">
                  <c:v>406.82433610567938</c:v>
                </c:pt>
                <c:pt idx="3">
                  <c:v>415.35190271830248</c:v>
                </c:pt>
                <c:pt idx="4">
                  <c:v>423.45770417941361</c:v>
                </c:pt>
                <c:pt idx="5">
                  <c:v>430.69160874603944</c:v>
                </c:pt>
                <c:pt idx="6">
                  <c:v>436.53113338961793</c:v>
                </c:pt>
                <c:pt idx="7">
                  <c:v>440.38680506139713</c:v>
                </c:pt>
                <c:pt idx="8">
                  <c:v>441.60801665861283</c:v>
                </c:pt>
                <c:pt idx="9">
                  <c:v>439.48754759538531</c:v>
                </c:pt>
                <c:pt idx="10">
                  <c:v>433.25870981720993</c:v>
                </c:pt>
                <c:pt idx="11">
                  <c:v>425.79219813825085</c:v>
                </c:pt>
                <c:pt idx="12">
                  <c:v>419.23625263295446</c:v>
                </c:pt>
                <c:pt idx="13">
                  <c:v>413.47858398563227</c:v>
                </c:pt>
                <c:pt idx="14">
                  <c:v>408.42049488774694</c:v>
                </c:pt>
                <c:pt idx="15">
                  <c:v>403.97528846880994</c:v>
                </c:pt>
                <c:pt idx="16">
                  <c:v>400.06685182072903</c:v>
                </c:pt>
                <c:pt idx="17">
                  <c:v>396.62839780022847</c:v>
                </c:pt>
                <c:pt idx="18">
                  <c:v>393.60134934339669</c:v>
                </c:pt>
                <c:pt idx="19">
                  <c:v>390.93435166002865</c:v>
                </c:pt>
                <c:pt idx="20">
                  <c:v>388.58239883900808</c:v>
                </c:pt>
              </c:numCache>
            </c:numRef>
          </c:val>
          <c:smooth val="0"/>
        </c:ser>
        <c:ser>
          <c:idx val="3"/>
          <c:order val="3"/>
          <c:tx>
            <c:v>Copenhagen:Rich</c:v>
          </c:tx>
          <c:cat>
            <c:numRef>
              <c:f>Base!$B$2:$V$2</c:f>
              <c:numCache>
                <c:formatCode>_(* #,##0.000_);_(* \(#,##0.000\);_(* "-"??_);_(@_)</c:formatCode>
                <c:ptCount val="21"/>
                <c:pt idx="0">
                  <c:v>2010</c:v>
                </c:pt>
                <c:pt idx="1">
                  <c:v>2015</c:v>
                </c:pt>
                <c:pt idx="2">
                  <c:v>2020</c:v>
                </c:pt>
                <c:pt idx="3">
                  <c:v>2025</c:v>
                </c:pt>
                <c:pt idx="4">
                  <c:v>2030</c:v>
                </c:pt>
                <c:pt idx="5">
                  <c:v>2035</c:v>
                </c:pt>
                <c:pt idx="6">
                  <c:v>2040</c:v>
                </c:pt>
                <c:pt idx="7">
                  <c:v>2045</c:v>
                </c:pt>
                <c:pt idx="8">
                  <c:v>2050</c:v>
                </c:pt>
                <c:pt idx="9">
                  <c:v>2055</c:v>
                </c:pt>
                <c:pt idx="10">
                  <c:v>2060</c:v>
                </c:pt>
                <c:pt idx="11">
                  <c:v>2065</c:v>
                </c:pt>
                <c:pt idx="12">
                  <c:v>2070</c:v>
                </c:pt>
                <c:pt idx="13">
                  <c:v>2075</c:v>
                </c:pt>
                <c:pt idx="14">
                  <c:v>2080</c:v>
                </c:pt>
                <c:pt idx="15">
                  <c:v>2085</c:v>
                </c:pt>
                <c:pt idx="16">
                  <c:v>2090</c:v>
                </c:pt>
                <c:pt idx="17">
                  <c:v>2095</c:v>
                </c:pt>
                <c:pt idx="18">
                  <c:v>2100</c:v>
                </c:pt>
                <c:pt idx="19">
                  <c:v>2105</c:v>
                </c:pt>
                <c:pt idx="20">
                  <c:v>2110</c:v>
                </c:pt>
              </c:numCache>
            </c:numRef>
          </c:cat>
          <c:val>
            <c:numRef>
              <c:f>stern!$B$88:$V$88</c:f>
              <c:numCache>
                <c:formatCode>_(* #,##0.0000_);_(* \(#,##0.0000\);_(* "-"??_);_(@_)</c:formatCode>
                <c:ptCount val="21"/>
                <c:pt idx="0">
                  <c:v>384.5</c:v>
                </c:pt>
                <c:pt idx="1">
                  <c:v>399.24774441095349</c:v>
                </c:pt>
                <c:pt idx="2">
                  <c:v>402.75828805057893</c:v>
                </c:pt>
                <c:pt idx="3">
                  <c:v>405.99610963755498</c:v>
                </c:pt>
                <c:pt idx="4">
                  <c:v>408.66141457952642</c:v>
                </c:pt>
                <c:pt idx="5">
                  <c:v>410.44860090488743</c:v>
                </c:pt>
                <c:pt idx="6">
                  <c:v>411.04657626494327</c:v>
                </c:pt>
                <c:pt idx="7">
                  <c:v>410.14033739880244</c:v>
                </c:pt>
                <c:pt idx="8">
                  <c:v>407.4118169471821</c:v>
                </c:pt>
                <c:pt idx="9">
                  <c:v>402.53794494721922</c:v>
                </c:pt>
                <c:pt idx="10">
                  <c:v>397.06449588074202</c:v>
                </c:pt>
                <c:pt idx="11">
                  <c:v>392.24738926511708</c:v>
                </c:pt>
                <c:pt idx="12">
                  <c:v>388.00749055842056</c:v>
                </c:pt>
                <c:pt idx="13">
                  <c:v>384.2748732990774</c:v>
                </c:pt>
                <c:pt idx="14">
                  <c:v>380.98781872765676</c:v>
                </c:pt>
                <c:pt idx="15">
                  <c:v>378.09190856299233</c:v>
                </c:pt>
                <c:pt idx="16">
                  <c:v>375.53920589146543</c:v>
                </c:pt>
                <c:pt idx="17">
                  <c:v>373.28751840926742</c:v>
                </c:pt>
                <c:pt idx="18">
                  <c:v>371.29973790177672</c:v>
                </c:pt>
                <c:pt idx="19">
                  <c:v>369.54324975127412</c:v>
                </c:pt>
                <c:pt idx="20">
                  <c:v>367.98940635716133</c:v>
                </c:pt>
              </c:numCache>
            </c:numRef>
          </c:val>
          <c:smooth val="0"/>
        </c:ser>
        <c:ser>
          <c:idx val="4"/>
          <c:order val="4"/>
          <c:tx>
            <c:v>Realistic</c:v>
          </c:tx>
          <c:cat>
            <c:numRef>
              <c:f>Base!$B$2:$V$2</c:f>
              <c:numCache>
                <c:formatCode>_(* #,##0.000_);_(* \(#,##0.000\);_(* "-"??_);_(@_)</c:formatCode>
                <c:ptCount val="21"/>
                <c:pt idx="0">
                  <c:v>2010</c:v>
                </c:pt>
                <c:pt idx="1">
                  <c:v>2015</c:v>
                </c:pt>
                <c:pt idx="2">
                  <c:v>2020</c:v>
                </c:pt>
                <c:pt idx="3">
                  <c:v>2025</c:v>
                </c:pt>
                <c:pt idx="4">
                  <c:v>2030</c:v>
                </c:pt>
                <c:pt idx="5">
                  <c:v>2035</c:v>
                </c:pt>
                <c:pt idx="6">
                  <c:v>2040</c:v>
                </c:pt>
                <c:pt idx="7">
                  <c:v>2045</c:v>
                </c:pt>
                <c:pt idx="8">
                  <c:v>2050</c:v>
                </c:pt>
                <c:pt idx="9">
                  <c:v>2055</c:v>
                </c:pt>
                <c:pt idx="10">
                  <c:v>2060</c:v>
                </c:pt>
                <c:pt idx="11">
                  <c:v>2065</c:v>
                </c:pt>
                <c:pt idx="12">
                  <c:v>2070</c:v>
                </c:pt>
                <c:pt idx="13">
                  <c:v>2075</c:v>
                </c:pt>
                <c:pt idx="14">
                  <c:v>2080</c:v>
                </c:pt>
                <c:pt idx="15">
                  <c:v>2085</c:v>
                </c:pt>
                <c:pt idx="16">
                  <c:v>2090</c:v>
                </c:pt>
                <c:pt idx="17">
                  <c:v>2095</c:v>
                </c:pt>
                <c:pt idx="18">
                  <c:v>2100</c:v>
                </c:pt>
                <c:pt idx="19">
                  <c:v>2105</c:v>
                </c:pt>
                <c:pt idx="20">
                  <c:v>2110</c:v>
                </c:pt>
              </c:numCache>
            </c:numRef>
          </c:cat>
          <c:val>
            <c:numRef>
              <c:f>Copen!$B$88:$V$88</c:f>
              <c:numCache>
                <c:formatCode>_(* #,##0.0000_);_(* \(#,##0.0000\);_(* "-"??_);_(@_)</c:formatCode>
                <c:ptCount val="21"/>
                <c:pt idx="0">
                  <c:v>384.5</c:v>
                </c:pt>
                <c:pt idx="1">
                  <c:v>398.86829489561586</c:v>
                </c:pt>
                <c:pt idx="2">
                  <c:v>413.59640252967336</c:v>
                </c:pt>
                <c:pt idx="3">
                  <c:v>428.39515476354489</c:v>
                </c:pt>
                <c:pt idx="4">
                  <c:v>443.16454497598551</c:v>
                </c:pt>
                <c:pt idx="5">
                  <c:v>457.99509986404342</c:v>
                </c:pt>
                <c:pt idx="6">
                  <c:v>472.95235251855195</c:v>
                </c:pt>
                <c:pt idx="7">
                  <c:v>486.96555919331536</c:v>
                </c:pt>
                <c:pt idx="8">
                  <c:v>499.71092078682693</c:v>
                </c:pt>
                <c:pt idx="9">
                  <c:v>511.08936386304157</c:v>
                </c:pt>
                <c:pt idx="10">
                  <c:v>521.09979022281107</c:v>
                </c:pt>
                <c:pt idx="11">
                  <c:v>529.48046417951525</c:v>
                </c:pt>
                <c:pt idx="12">
                  <c:v>536.14197891420224</c:v>
                </c:pt>
                <c:pt idx="13">
                  <c:v>541.3808513852656</c:v>
                </c:pt>
                <c:pt idx="14">
                  <c:v>545.42830324239833</c:v>
                </c:pt>
                <c:pt idx="15">
                  <c:v>548.52069283108767</c:v>
                </c:pt>
                <c:pt idx="16">
                  <c:v>550.84669871067649</c:v>
                </c:pt>
                <c:pt idx="17">
                  <c:v>552.58788326770514</c:v>
                </c:pt>
                <c:pt idx="18">
                  <c:v>553.89069579105615</c:v>
                </c:pt>
                <c:pt idx="19">
                  <c:v>554.80909421755246</c:v>
                </c:pt>
                <c:pt idx="20">
                  <c:v>554.55495557922302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8342656"/>
        <c:axId val="128364928"/>
      </c:lineChart>
      <c:catAx>
        <c:axId val="128342656"/>
        <c:scaling>
          <c:orientation val="minMax"/>
        </c:scaling>
        <c:delete val="0"/>
        <c:axPos val="b"/>
        <c:numFmt formatCode="#,##0" sourceLinked="0"/>
        <c:majorTickMark val="out"/>
        <c:minorTickMark val="none"/>
        <c:tickLblPos val="nextTo"/>
        <c:crossAx val="128364928"/>
        <c:crosses val="autoZero"/>
        <c:auto val="1"/>
        <c:lblAlgn val="ctr"/>
        <c:lblOffset val="100"/>
        <c:tickLblSkip val="2"/>
        <c:noMultiLvlLbl val="0"/>
      </c:catAx>
      <c:valAx>
        <c:axId val="128364928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0" sourceLinked="0"/>
        <c:majorTickMark val="out"/>
        <c:minorTickMark val="none"/>
        <c:tickLblPos val="nextTo"/>
        <c:crossAx val="128342656"/>
        <c:crosses val="autoZero"/>
        <c:crossBetween val="between"/>
      </c:valAx>
    </c:plotArea>
    <c:legend>
      <c:legendPos val="l"/>
      <c:layout>
        <c:manualLayout>
          <c:xMode val="edge"/>
          <c:yMode val="edge"/>
          <c:x val="0.16378479750923972"/>
          <c:y val="9.1464175007329646E-2"/>
          <c:w val="0.2627448143549419"/>
          <c:h val="0.27046542056735168"/>
        </c:manualLayout>
      </c:layout>
      <c:overlay val="1"/>
    </c:legend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Temperature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0.11401077942256292"/>
          <c:y val="2.6590471252256304E-2"/>
          <c:w val="0.85064794611520334"/>
          <c:h val="0.80675964524042365"/>
        </c:manualLayout>
      </c:layout>
      <c:lineChart>
        <c:grouping val="standard"/>
        <c:varyColors val="0"/>
        <c:ser>
          <c:idx val="0"/>
          <c:order val="0"/>
          <c:tx>
            <c:v>Base</c:v>
          </c:tx>
          <c:marker>
            <c:symbol val="circle"/>
            <c:size val="5"/>
            <c:spPr>
              <a:noFill/>
            </c:spPr>
          </c:marker>
          <c:cat>
            <c:numRef>
              <c:f>Base!$B$2:$BN$2</c:f>
              <c:numCache>
                <c:formatCode>_(* #,##0.000_);_(* \(#,##0.000\);_(* "-"??_);_(@_)</c:formatCode>
                <c:ptCount val="65"/>
                <c:pt idx="0">
                  <c:v>2010</c:v>
                </c:pt>
                <c:pt idx="1">
                  <c:v>2015</c:v>
                </c:pt>
                <c:pt idx="2">
                  <c:v>2020</c:v>
                </c:pt>
                <c:pt idx="3">
                  <c:v>2025</c:v>
                </c:pt>
                <c:pt idx="4">
                  <c:v>2030</c:v>
                </c:pt>
                <c:pt idx="5">
                  <c:v>2035</c:v>
                </c:pt>
                <c:pt idx="6">
                  <c:v>2040</c:v>
                </c:pt>
                <c:pt idx="7">
                  <c:v>2045</c:v>
                </c:pt>
                <c:pt idx="8">
                  <c:v>2050</c:v>
                </c:pt>
                <c:pt idx="9">
                  <c:v>2055</c:v>
                </c:pt>
                <c:pt idx="10">
                  <c:v>2060</c:v>
                </c:pt>
                <c:pt idx="11">
                  <c:v>2065</c:v>
                </c:pt>
                <c:pt idx="12">
                  <c:v>2070</c:v>
                </c:pt>
                <c:pt idx="13">
                  <c:v>2075</c:v>
                </c:pt>
                <c:pt idx="14">
                  <c:v>2080</c:v>
                </c:pt>
                <c:pt idx="15">
                  <c:v>2085</c:v>
                </c:pt>
                <c:pt idx="16">
                  <c:v>2090</c:v>
                </c:pt>
                <c:pt idx="17">
                  <c:v>2095</c:v>
                </c:pt>
                <c:pt idx="18">
                  <c:v>2100</c:v>
                </c:pt>
                <c:pt idx="19">
                  <c:v>2105</c:v>
                </c:pt>
                <c:pt idx="20">
                  <c:v>2110</c:v>
                </c:pt>
                <c:pt idx="21">
                  <c:v>2115</c:v>
                </c:pt>
                <c:pt idx="22">
                  <c:v>2120</c:v>
                </c:pt>
                <c:pt idx="23">
                  <c:v>2125</c:v>
                </c:pt>
                <c:pt idx="24">
                  <c:v>2130</c:v>
                </c:pt>
                <c:pt idx="25">
                  <c:v>2135</c:v>
                </c:pt>
                <c:pt idx="26">
                  <c:v>2140</c:v>
                </c:pt>
                <c:pt idx="27">
                  <c:v>2145</c:v>
                </c:pt>
                <c:pt idx="28">
                  <c:v>2150</c:v>
                </c:pt>
                <c:pt idx="29">
                  <c:v>2155</c:v>
                </c:pt>
                <c:pt idx="30">
                  <c:v>2160</c:v>
                </c:pt>
                <c:pt idx="31">
                  <c:v>2165</c:v>
                </c:pt>
                <c:pt idx="32">
                  <c:v>2170</c:v>
                </c:pt>
                <c:pt idx="33">
                  <c:v>2175</c:v>
                </c:pt>
                <c:pt idx="34">
                  <c:v>2180</c:v>
                </c:pt>
                <c:pt idx="35">
                  <c:v>2185</c:v>
                </c:pt>
                <c:pt idx="36">
                  <c:v>2190</c:v>
                </c:pt>
                <c:pt idx="37">
                  <c:v>2195</c:v>
                </c:pt>
                <c:pt idx="38">
                  <c:v>2200</c:v>
                </c:pt>
                <c:pt idx="39">
                  <c:v>2205</c:v>
                </c:pt>
                <c:pt idx="40">
                  <c:v>2210</c:v>
                </c:pt>
                <c:pt idx="41">
                  <c:v>2215</c:v>
                </c:pt>
                <c:pt idx="42">
                  <c:v>2220</c:v>
                </c:pt>
                <c:pt idx="43">
                  <c:v>2225</c:v>
                </c:pt>
                <c:pt idx="44">
                  <c:v>2230</c:v>
                </c:pt>
                <c:pt idx="45">
                  <c:v>2235</c:v>
                </c:pt>
                <c:pt idx="46">
                  <c:v>2240</c:v>
                </c:pt>
                <c:pt idx="47">
                  <c:v>2245</c:v>
                </c:pt>
                <c:pt idx="48">
                  <c:v>2250</c:v>
                </c:pt>
                <c:pt idx="49">
                  <c:v>2255</c:v>
                </c:pt>
                <c:pt idx="50">
                  <c:v>2260</c:v>
                </c:pt>
                <c:pt idx="51">
                  <c:v>2265</c:v>
                </c:pt>
                <c:pt idx="52">
                  <c:v>2270</c:v>
                </c:pt>
                <c:pt idx="53">
                  <c:v>2275</c:v>
                </c:pt>
                <c:pt idx="54">
                  <c:v>2280</c:v>
                </c:pt>
                <c:pt idx="55">
                  <c:v>2285</c:v>
                </c:pt>
                <c:pt idx="56">
                  <c:v>2290</c:v>
                </c:pt>
                <c:pt idx="57">
                  <c:v>2295</c:v>
                </c:pt>
                <c:pt idx="58">
                  <c:v>2300</c:v>
                </c:pt>
                <c:pt idx="59">
                  <c:v>2305</c:v>
                </c:pt>
              </c:numCache>
            </c:numRef>
          </c:cat>
          <c:val>
            <c:numRef>
              <c:f>Base!$B$99:$T$99</c:f>
              <c:numCache>
                <c:formatCode>_(* #,##0.000_);_(* \(#,##0.000\);_(* "-"??_);_(@_)</c:formatCode>
                <c:ptCount val="19"/>
                <c:pt idx="0">
                  <c:v>0.83</c:v>
                </c:pt>
                <c:pt idx="1">
                  <c:v>0.93327295505360208</c:v>
                </c:pt>
                <c:pt idx="2">
                  <c:v>1.0477776225109487</c:v>
                </c:pt>
                <c:pt idx="3">
                  <c:v>1.173124030372938</c:v>
                </c:pt>
                <c:pt idx="4">
                  <c:v>1.3088265946692494</c:v>
                </c:pt>
                <c:pt idx="5">
                  <c:v>1.4542852611489643</c:v>
                </c:pt>
                <c:pt idx="6">
                  <c:v>1.6087865507060528</c:v>
                </c:pt>
                <c:pt idx="7">
                  <c:v>1.7715173892165228</c:v>
                </c:pt>
                <c:pt idx="8">
                  <c:v>1.9415861416265117</c:v>
                </c:pt>
                <c:pt idx="9">
                  <c:v>2.1180466793333728</c:v>
                </c:pt>
                <c:pt idx="10">
                  <c:v>2.2999225551644908</c:v>
                </c:pt>
                <c:pt idx="11">
                  <c:v>2.4862293921277097</c:v>
                </c:pt>
                <c:pt idx="12">
                  <c:v>2.6759943972373992</c:v>
                </c:pt>
                <c:pt idx="13">
                  <c:v>2.8682724999759777</c:v>
                </c:pt>
                <c:pt idx="14">
                  <c:v>3.0621590208313898</c:v>
                </c:pt>
                <c:pt idx="15">
                  <c:v>3.2567990311048653</c:v>
                </c:pt>
                <c:pt idx="16">
                  <c:v>3.4513937197337237</c:v>
                </c:pt>
                <c:pt idx="17">
                  <c:v>3.6452041549499774</c:v>
                </c:pt>
                <c:pt idx="18">
                  <c:v>3.8375528504260656</c:v>
                </c:pt>
              </c:numCache>
            </c:numRef>
          </c:val>
          <c:smooth val="0"/>
        </c:ser>
        <c:ser>
          <c:idx val="1"/>
          <c:order val="1"/>
          <c:tx>
            <c:v>Optimal tax</c:v>
          </c:tx>
          <c:marker>
            <c:symbol val="square"/>
            <c:size val="5"/>
            <c:spPr>
              <a:solidFill>
                <a:schemeClr val="accent6">
                  <a:lumMod val="20000"/>
                  <a:lumOff val="80000"/>
                </a:schemeClr>
              </a:solidFill>
            </c:spPr>
          </c:marker>
          <c:val>
            <c:numRef>
              <c:f>Opttax!$B$100:$T$100</c:f>
              <c:numCache>
                <c:formatCode>_(* #,##0.0000_);_(* \(#,##0.0000\);_(* "-"??_);_(@_)</c:formatCode>
                <c:ptCount val="19"/>
                <c:pt idx="0">
                  <c:v>0.83</c:v>
                </c:pt>
                <c:pt idx="1">
                  <c:v>0.93327295505360208</c:v>
                </c:pt>
                <c:pt idx="2">
                  <c:v>1.0426471846351559</c:v>
                </c:pt>
                <c:pt idx="3">
                  <c:v>1.1578479687482126</c:v>
                </c:pt>
                <c:pt idx="4">
                  <c:v>1.2784053200011294</c:v>
                </c:pt>
                <c:pt idx="5">
                  <c:v>1.4036608444112624</c:v>
                </c:pt>
                <c:pt idx="6">
                  <c:v>1.532788579744333</c:v>
                </c:pt>
                <c:pt idx="7">
                  <c:v>1.6648233460391022</c:v>
                </c:pt>
                <c:pt idx="8">
                  <c:v>1.7986917356557233</c:v>
                </c:pt>
                <c:pt idx="9">
                  <c:v>1.9332422985587283</c:v>
                </c:pt>
                <c:pt idx="10">
                  <c:v>2.067272673057365</c:v>
                </c:pt>
                <c:pt idx="11">
                  <c:v>2.1995523473465695</c:v>
                </c:pt>
                <c:pt idx="12">
                  <c:v>2.3288404214039948</c:v>
                </c:pt>
                <c:pt idx="13">
                  <c:v>2.45389820146357</c:v>
                </c:pt>
                <c:pt idx="14">
                  <c:v>2.5734967385796033</c:v>
                </c:pt>
                <c:pt idx="15">
                  <c:v>2.6864195566902218</c:v>
                </c:pt>
                <c:pt idx="16">
                  <c:v>2.7914608356820816</c:v>
                </c:pt>
                <c:pt idx="17">
                  <c:v>2.8874192423663572</c:v>
                </c:pt>
                <c:pt idx="18">
                  <c:v>2.9730874437873451</c:v>
                </c:pt>
              </c:numCache>
            </c:numRef>
          </c:val>
          <c:smooth val="0"/>
        </c:ser>
        <c:ser>
          <c:idx val="2"/>
          <c:order val="2"/>
          <c:tx>
            <c:v>Limit t = 2</c:v>
          </c:tx>
          <c:marker>
            <c:spPr>
              <a:noFill/>
            </c:spPr>
          </c:marker>
          <c:val>
            <c:numRef>
              <c:f>Limt2!$B$100:$T$100</c:f>
              <c:numCache>
                <c:formatCode>_(* #,##0.0000_);_(* \(#,##0.0000\);_(* "-"??_);_(@_)</c:formatCode>
                <c:ptCount val="19"/>
                <c:pt idx="0">
                  <c:v>0.83</c:v>
                </c:pt>
                <c:pt idx="1">
                  <c:v>0.93327295505360208</c:v>
                </c:pt>
                <c:pt idx="2">
                  <c:v>1.0387189886324566</c:v>
                </c:pt>
                <c:pt idx="3">
                  <c:v>1.1457482800287877</c:v>
                </c:pt>
                <c:pt idx="4">
                  <c:v>1.2533617782998827</c:v>
                </c:pt>
                <c:pt idx="5">
                  <c:v>1.3601388124544229</c:v>
                </c:pt>
                <c:pt idx="6">
                  <c:v>1.4642296741210414</c:v>
                </c:pt>
                <c:pt idx="7">
                  <c:v>1.5633438393134449</c:v>
                </c:pt>
                <c:pt idx="8">
                  <c:v>1.6547233481252352</c:v>
                </c:pt>
                <c:pt idx="9">
                  <c:v>1.7350862726649421</c:v>
                </c:pt>
                <c:pt idx="10">
                  <c:v>1.8005127899526534</c:v>
                </c:pt>
                <c:pt idx="11">
                  <c:v>1.8512217209828543</c:v>
                </c:pt>
                <c:pt idx="12">
                  <c:v>1.890236287339442</c:v>
                </c:pt>
                <c:pt idx="13">
                  <c:v>1.9200731701488229</c:v>
                </c:pt>
                <c:pt idx="14">
                  <c:v>1.9428169588126818</c:v>
                </c:pt>
                <c:pt idx="15">
                  <c:v>1.9601849279419679</c:v>
                </c:pt>
                <c:pt idx="16">
                  <c:v>1.9735832267160129</c:v>
                </c:pt>
                <c:pt idx="17">
                  <c:v>1.9841554626337836</c:v>
                </c:pt>
                <c:pt idx="18">
                  <c:v>1.9928245696357241</c:v>
                </c:pt>
              </c:numCache>
            </c:numRef>
          </c:val>
          <c:smooth val="0"/>
        </c:ser>
        <c:ser>
          <c:idx val="3"/>
          <c:order val="3"/>
          <c:tx>
            <c:v>Copenhagen:Rich</c:v>
          </c:tx>
          <c:val>
            <c:numRef>
              <c:f>stern!$B$100:$T$100</c:f>
              <c:numCache>
                <c:formatCode>_(* #,##0.0000_);_(* \(#,##0.0000\);_(* "-"??_);_(@_)</c:formatCode>
                <c:ptCount val="19"/>
                <c:pt idx="0">
                  <c:v>0.83</c:v>
                </c:pt>
                <c:pt idx="1">
                  <c:v>0.93470254320556811</c:v>
                </c:pt>
                <c:pt idx="2">
                  <c:v>1.0342318168430051</c:v>
                </c:pt>
                <c:pt idx="3">
                  <c:v>1.1288671312076459</c:v>
                </c:pt>
                <c:pt idx="4">
                  <c:v>1.2184407985285284</c:v>
                </c:pt>
                <c:pt idx="5">
                  <c:v>1.3023975371069516</c:v>
                </c:pt>
                <c:pt idx="6">
                  <c:v>1.3798389532788811</c:v>
                </c:pt>
                <c:pt idx="7">
                  <c:v>1.4495536833029128</c:v>
                </c:pt>
                <c:pt idx="8">
                  <c:v>1.510030402061934</c:v>
                </c:pt>
                <c:pt idx="9">
                  <c:v>1.5594473419918842</c:v>
                </c:pt>
                <c:pt idx="10">
                  <c:v>1.5983343442563094</c:v>
                </c:pt>
                <c:pt idx="11">
                  <c:v>1.628938633607772</c:v>
                </c:pt>
                <c:pt idx="12">
                  <c:v>1.6531231578708945</c:v>
                </c:pt>
                <c:pt idx="13">
                  <c:v>1.672424075327676</c:v>
                </c:pt>
                <c:pt idx="14">
                  <c:v>1.6881006253411561</c:v>
                </c:pt>
                <c:pt idx="15">
                  <c:v>1.7011782535078024</c:v>
                </c:pt>
                <c:pt idx="16">
                  <c:v>1.712485781468577</c:v>
                </c:pt>
                <c:pt idx="17">
                  <c:v>1.7226873366888689</c:v>
                </c:pt>
                <c:pt idx="18">
                  <c:v>1.7323096879200919</c:v>
                </c:pt>
              </c:numCache>
            </c:numRef>
          </c:val>
          <c:smooth val="0"/>
        </c:ser>
        <c:ser>
          <c:idx val="4"/>
          <c:order val="4"/>
          <c:tx>
            <c:v>Realistic</c:v>
          </c:tx>
          <c:val>
            <c:numRef>
              <c:f>Copen!$B$100:$T$100</c:f>
              <c:numCache>
                <c:formatCode>_(* #,##0.0000_);_(* \(#,##0.0000\);_(* "-"??_);_(@_)</c:formatCode>
                <c:ptCount val="19"/>
                <c:pt idx="0">
                  <c:v>0.83</c:v>
                </c:pt>
                <c:pt idx="1">
                  <c:v>0.93416040568275083</c:v>
                </c:pt>
                <c:pt idx="2">
                  <c:v>1.048901453929969</c:v>
                </c:pt>
                <c:pt idx="3">
                  <c:v>1.1722093054338378</c:v>
                </c:pt>
                <c:pt idx="4">
                  <c:v>1.3022500602337435</c:v>
                </c:pt>
                <c:pt idx="5">
                  <c:v>1.4375956144111675</c:v>
                </c:pt>
                <c:pt idx="6">
                  <c:v>1.57712035699679</c:v>
                </c:pt>
                <c:pt idx="7">
                  <c:v>1.7186192398516469</c:v>
                </c:pt>
                <c:pt idx="8">
                  <c:v>1.8599377764387746</c:v>
                </c:pt>
                <c:pt idx="9">
                  <c:v>1.9992303162592937</c:v>
                </c:pt>
                <c:pt idx="10">
                  <c:v>2.1350117642368489</c:v>
                </c:pt>
                <c:pt idx="11">
                  <c:v>2.2658077767808638</c:v>
                </c:pt>
                <c:pt idx="12">
                  <c:v>2.39033275822587</c:v>
                </c:pt>
                <c:pt idx="13">
                  <c:v>2.5078538174237313</c:v>
                </c:pt>
                <c:pt idx="14">
                  <c:v>2.6180202067597396</c:v>
                </c:pt>
                <c:pt idx="15">
                  <c:v>2.7207998642416729</c:v>
                </c:pt>
                <c:pt idx="16">
                  <c:v>2.8163753553985393</c:v>
                </c:pt>
                <c:pt idx="17">
                  <c:v>2.9051005567526409</c:v>
                </c:pt>
                <c:pt idx="18">
                  <c:v>2.9874369999470463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8372096"/>
        <c:axId val="128382080"/>
      </c:lineChart>
      <c:catAx>
        <c:axId val="128372096"/>
        <c:scaling>
          <c:orientation val="minMax"/>
        </c:scaling>
        <c:delete val="0"/>
        <c:axPos val="b"/>
        <c:numFmt formatCode="#,##0" sourceLinked="0"/>
        <c:majorTickMark val="out"/>
        <c:minorTickMark val="none"/>
        <c:tickLblPos val="nextTo"/>
        <c:crossAx val="128382080"/>
        <c:crosses val="autoZero"/>
        <c:auto val="1"/>
        <c:lblAlgn val="ctr"/>
        <c:lblOffset val="100"/>
        <c:tickLblSkip val="2"/>
        <c:noMultiLvlLbl val="0"/>
      </c:catAx>
      <c:valAx>
        <c:axId val="128382080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0" sourceLinked="0"/>
        <c:majorTickMark val="out"/>
        <c:minorTickMark val="none"/>
        <c:tickLblPos val="nextTo"/>
        <c:crossAx val="128372096"/>
        <c:crosses val="autoZero"/>
        <c:crossBetween val="between"/>
      </c:valAx>
    </c:plotArea>
    <c:legend>
      <c:legendPos val="l"/>
      <c:layout>
        <c:manualLayout>
          <c:xMode val="edge"/>
          <c:yMode val="edge"/>
          <c:x val="0.16378479750923972"/>
          <c:y val="9.1464175007329646E-2"/>
          <c:w val="0.2627448143549419"/>
          <c:h val="0.27046542056735168"/>
        </c:manualLayout>
      </c:layout>
      <c:overlay val="1"/>
    </c:legend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Emissions control</a:t>
            </a:r>
            <a:r>
              <a:rPr lang="en-US" baseline="0"/>
              <a:t> rate</a:t>
            </a:r>
            <a:endParaRPr lang="en-US"/>
          </a:p>
        </c:rich>
      </c:tx>
      <c:layout>
        <c:manualLayout>
          <c:xMode val="edge"/>
          <c:yMode val="edge"/>
          <c:x val="0.49850433497822866"/>
          <c:y val="6.9519390325629191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8.9600480134823995E-2"/>
          <c:y val="4.2379493665407525E-2"/>
          <c:w val="0.88799138371185327"/>
          <c:h val="0.86199569117869845"/>
        </c:manualLayout>
      </c:layout>
      <c:lineChart>
        <c:grouping val="standard"/>
        <c:varyColors val="0"/>
        <c:ser>
          <c:idx val="1"/>
          <c:order val="0"/>
          <c:tx>
            <c:v>Base</c:v>
          </c:tx>
          <c:marker>
            <c:spPr>
              <a:noFill/>
            </c:spPr>
          </c:marker>
          <c:cat>
            <c:numRef>
              <c:f>Base!$B$2:$T$2</c:f>
              <c:numCache>
                <c:formatCode>_(* #,##0.000_);_(* \(#,##0.000\);_(* "-"??_);_(@_)</c:formatCode>
                <c:ptCount val="19"/>
                <c:pt idx="0">
                  <c:v>2010</c:v>
                </c:pt>
                <c:pt idx="1">
                  <c:v>2015</c:v>
                </c:pt>
                <c:pt idx="2">
                  <c:v>2020</c:v>
                </c:pt>
                <c:pt idx="3">
                  <c:v>2025</c:v>
                </c:pt>
                <c:pt idx="4">
                  <c:v>2030</c:v>
                </c:pt>
                <c:pt idx="5">
                  <c:v>2035</c:v>
                </c:pt>
                <c:pt idx="6">
                  <c:v>2040</c:v>
                </c:pt>
                <c:pt idx="7">
                  <c:v>2045</c:v>
                </c:pt>
                <c:pt idx="8">
                  <c:v>2050</c:v>
                </c:pt>
                <c:pt idx="9">
                  <c:v>2055</c:v>
                </c:pt>
                <c:pt idx="10">
                  <c:v>2060</c:v>
                </c:pt>
                <c:pt idx="11">
                  <c:v>2065</c:v>
                </c:pt>
                <c:pt idx="12">
                  <c:v>2070</c:v>
                </c:pt>
                <c:pt idx="13">
                  <c:v>2075</c:v>
                </c:pt>
                <c:pt idx="14">
                  <c:v>2080</c:v>
                </c:pt>
                <c:pt idx="15">
                  <c:v>2085</c:v>
                </c:pt>
                <c:pt idx="16">
                  <c:v>2090</c:v>
                </c:pt>
                <c:pt idx="17">
                  <c:v>2095</c:v>
                </c:pt>
                <c:pt idx="18">
                  <c:v>2100</c:v>
                </c:pt>
              </c:numCache>
            </c:numRef>
          </c:cat>
          <c:val>
            <c:numRef>
              <c:f>Base!$B$135:$T$135</c:f>
              <c:numCache>
                <c:formatCode>#,##0.0000_);\(#,##0.0000\)</c:formatCode>
                <c:ptCount val="19"/>
                <c:pt idx="0">
                  <c:v>3.8976322961607419E-2</c:v>
                </c:pt>
                <c:pt idx="1">
                  <c:v>4.1763681789451099E-2</c:v>
                </c:pt>
                <c:pt idx="2">
                  <c:v>4.4750376230533087E-2</c:v>
                </c:pt>
                <c:pt idx="3">
                  <c:v>4.7950661602123634E-2</c:v>
                </c:pt>
                <c:pt idx="4">
                  <c:v>5.1379812681496398E-2</c:v>
                </c:pt>
                <c:pt idx="5">
                  <c:v>5.5054196604270633E-2</c:v>
                </c:pt>
                <c:pt idx="6">
                  <c:v>5.899135098992387E-2</c:v>
                </c:pt>
                <c:pt idx="7">
                  <c:v>6.3210067648711482E-2</c:v>
                </c:pt>
                <c:pt idx="8">
                  <c:v>6.7730482265692796E-2</c:v>
                </c:pt>
                <c:pt idx="9">
                  <c:v>7.2574170518508646E-2</c:v>
                </c:pt>
                <c:pt idx="10">
                  <c:v>7.7764251047267016E-2</c:v>
                </c:pt>
                <c:pt idx="11">
                  <c:v>8.3325495801654187E-2</c:v>
                </c:pt>
                <c:pt idx="12">
                  <c:v>8.9284448280865125E-2</c:v>
                </c:pt>
                <c:pt idx="13">
                  <c:v>9.5669550213232396E-2</c:v>
                </c:pt>
                <c:pt idx="14">
                  <c:v>0.10251127732033963</c:v>
                </c:pt>
                <c:pt idx="15">
                  <c:v>0.10984228476523736</c:v>
                </c:pt>
                <c:pt idx="16">
                  <c:v>0.117697563017892</c:v>
                </c:pt>
                <c:pt idx="17">
                  <c:v>0.12611460486164955</c:v>
                </c:pt>
                <c:pt idx="18">
                  <c:v>0.13513358434653355</c:v>
                </c:pt>
              </c:numCache>
            </c:numRef>
          </c:val>
          <c:smooth val="0"/>
        </c:ser>
        <c:ser>
          <c:idx val="0"/>
          <c:order val="1"/>
          <c:tx>
            <c:v>Optimal</c:v>
          </c:tx>
          <c:cat>
            <c:numRef>
              <c:f>Base!$B$2:$T$2</c:f>
              <c:numCache>
                <c:formatCode>_(* #,##0.000_);_(* \(#,##0.000\);_(* "-"??_);_(@_)</c:formatCode>
                <c:ptCount val="19"/>
                <c:pt idx="0">
                  <c:v>2010</c:v>
                </c:pt>
                <c:pt idx="1">
                  <c:v>2015</c:v>
                </c:pt>
                <c:pt idx="2">
                  <c:v>2020</c:v>
                </c:pt>
                <c:pt idx="3">
                  <c:v>2025</c:v>
                </c:pt>
                <c:pt idx="4">
                  <c:v>2030</c:v>
                </c:pt>
                <c:pt idx="5">
                  <c:v>2035</c:v>
                </c:pt>
                <c:pt idx="6">
                  <c:v>2040</c:v>
                </c:pt>
                <c:pt idx="7">
                  <c:v>2045</c:v>
                </c:pt>
                <c:pt idx="8">
                  <c:v>2050</c:v>
                </c:pt>
                <c:pt idx="9">
                  <c:v>2055</c:v>
                </c:pt>
                <c:pt idx="10">
                  <c:v>2060</c:v>
                </c:pt>
                <c:pt idx="11">
                  <c:v>2065</c:v>
                </c:pt>
                <c:pt idx="12">
                  <c:v>2070</c:v>
                </c:pt>
                <c:pt idx="13">
                  <c:v>2075</c:v>
                </c:pt>
                <c:pt idx="14">
                  <c:v>2080</c:v>
                </c:pt>
                <c:pt idx="15">
                  <c:v>2085</c:v>
                </c:pt>
                <c:pt idx="16">
                  <c:v>2090</c:v>
                </c:pt>
                <c:pt idx="17">
                  <c:v>2095</c:v>
                </c:pt>
                <c:pt idx="18">
                  <c:v>2100</c:v>
                </c:pt>
              </c:numCache>
            </c:numRef>
          </c:cat>
          <c:val>
            <c:numRef>
              <c:f>Opttax!$B$137:$T$137</c:f>
              <c:numCache>
                <c:formatCode>_(* #,##0.000_);_(* \(#,##0.000\);_(* "-"??_);_(@_)</c:formatCode>
                <c:ptCount val="19"/>
                <c:pt idx="0">
                  <c:v>3.8976322961607419E-2</c:v>
                </c:pt>
                <c:pt idx="1">
                  <c:v>0.20631954723585649</c:v>
                </c:pt>
                <c:pt idx="2">
                  <c:v>0.23111628628713177</c:v>
                </c:pt>
                <c:pt idx="3">
                  <c:v>0.25772920286418555</c:v>
                </c:pt>
                <c:pt idx="4">
                  <c:v>0.28612581733196923</c:v>
                </c:pt>
                <c:pt idx="5">
                  <c:v>0.31628493214709436</c:v>
                </c:pt>
                <c:pt idx="6">
                  <c:v>0.34819236203426607</c:v>
                </c:pt>
                <c:pt idx="7">
                  <c:v>0.38183803071994732</c:v>
                </c:pt>
                <c:pt idx="8">
                  <c:v>0.41721395178748272</c:v>
                </c:pt>
                <c:pt idx="9">
                  <c:v>0.45431278607069059</c:v>
                </c:pt>
                <c:pt idx="10">
                  <c:v>0.49312677591932436</c:v>
                </c:pt>
                <c:pt idx="11">
                  <c:v>0.53364692212679776</c:v>
                </c:pt>
                <c:pt idx="12">
                  <c:v>0.57586230947273009</c:v>
                </c:pt>
                <c:pt idx="13">
                  <c:v>0.61975951629495873</c:v>
                </c:pt>
                <c:pt idx="14">
                  <c:v>0.66532207514353348</c:v>
                </c:pt>
                <c:pt idx="15">
                  <c:v>0.71253000542426204</c:v>
                </c:pt>
                <c:pt idx="16">
                  <c:v>0.76135954590401711</c:v>
                </c:pt>
                <c:pt idx="17">
                  <c:v>0.81178343399853004</c:v>
                </c:pt>
                <c:pt idx="18">
                  <c:v>0.86377252029964213</c:v>
                </c:pt>
              </c:numCache>
            </c:numRef>
          </c:val>
          <c:smooth val="0"/>
        </c:ser>
        <c:ser>
          <c:idx val="2"/>
          <c:order val="2"/>
          <c:tx>
            <c:v>Limit t = 2</c:v>
          </c:tx>
          <c:cat>
            <c:numRef>
              <c:f>Base!$B$2:$T$2</c:f>
              <c:numCache>
                <c:formatCode>_(* #,##0.000_);_(* \(#,##0.000\);_(* "-"??_);_(@_)</c:formatCode>
                <c:ptCount val="19"/>
                <c:pt idx="0">
                  <c:v>2010</c:v>
                </c:pt>
                <c:pt idx="1">
                  <c:v>2015</c:v>
                </c:pt>
                <c:pt idx="2">
                  <c:v>2020</c:v>
                </c:pt>
                <c:pt idx="3">
                  <c:v>2025</c:v>
                </c:pt>
                <c:pt idx="4">
                  <c:v>2030</c:v>
                </c:pt>
                <c:pt idx="5">
                  <c:v>2035</c:v>
                </c:pt>
                <c:pt idx="6">
                  <c:v>2040</c:v>
                </c:pt>
                <c:pt idx="7">
                  <c:v>2045</c:v>
                </c:pt>
                <c:pt idx="8">
                  <c:v>2050</c:v>
                </c:pt>
                <c:pt idx="9">
                  <c:v>2055</c:v>
                </c:pt>
                <c:pt idx="10">
                  <c:v>2060</c:v>
                </c:pt>
                <c:pt idx="11">
                  <c:v>2065</c:v>
                </c:pt>
                <c:pt idx="12">
                  <c:v>2070</c:v>
                </c:pt>
                <c:pt idx="13">
                  <c:v>2075</c:v>
                </c:pt>
                <c:pt idx="14">
                  <c:v>2080</c:v>
                </c:pt>
                <c:pt idx="15">
                  <c:v>2085</c:v>
                </c:pt>
                <c:pt idx="16">
                  <c:v>2090</c:v>
                </c:pt>
                <c:pt idx="17">
                  <c:v>2095</c:v>
                </c:pt>
                <c:pt idx="18">
                  <c:v>2100</c:v>
                </c:pt>
              </c:numCache>
            </c:numRef>
          </c:cat>
          <c:val>
            <c:numRef>
              <c:f>Limt2!$B$137:$T$137</c:f>
              <c:numCache>
                <c:formatCode>_(* #,##0.0000_);_(* \(#,##0.0000\);_(* "-"??_);_(@_)</c:formatCode>
                <c:ptCount val="19"/>
                <c:pt idx="0">
                  <c:v>3.8976322961607419E-2</c:v>
                </c:pt>
                <c:pt idx="1">
                  <c:v>0.33080499840555921</c:v>
                </c:pt>
                <c:pt idx="2">
                  <c:v>0.38119976285051183</c:v>
                </c:pt>
                <c:pt idx="3">
                  <c:v>0.43828885266917872</c:v>
                </c:pt>
                <c:pt idx="4">
                  <c:v>0.50264457569075771</c:v>
                </c:pt>
                <c:pt idx="5">
                  <c:v>0.57486773681719872</c:v>
                </c:pt>
                <c:pt idx="6">
                  <c:v>0.65556084611396503</c:v>
                </c:pt>
                <c:pt idx="7">
                  <c:v>0.74532006310756516</c:v>
                </c:pt>
                <c:pt idx="8">
                  <c:v>0.8447786492671765</c:v>
                </c:pt>
                <c:pt idx="9">
                  <c:v>0.95477639254103275</c:v>
                </c:pt>
                <c:pt idx="10">
                  <c:v>1</c:v>
                </c:pt>
                <c:pt idx="11">
                  <c:v>0.99999999999999978</c:v>
                </c:pt>
                <c:pt idx="12">
                  <c:v>1</c:v>
                </c:pt>
                <c:pt idx="13">
                  <c:v>1</c:v>
                </c:pt>
                <c:pt idx="14">
                  <c:v>0.99999999999999956</c:v>
                </c:pt>
                <c:pt idx="15">
                  <c:v>1</c:v>
                </c:pt>
                <c:pt idx="16">
                  <c:v>1</c:v>
                </c:pt>
                <c:pt idx="17">
                  <c:v>0.999999999999999</c:v>
                </c:pt>
                <c:pt idx="18">
                  <c:v>0.99999999999999944</c:v>
                </c:pt>
              </c:numCache>
            </c:numRef>
          </c:val>
          <c:smooth val="0"/>
        </c:ser>
        <c:ser>
          <c:idx val="3"/>
          <c:order val="3"/>
          <c:tx>
            <c:v>Stern</c:v>
          </c:tx>
          <c:cat>
            <c:numRef>
              <c:f>Base!$B$2:$T$2</c:f>
              <c:numCache>
                <c:formatCode>_(* #,##0.000_);_(* \(#,##0.000\);_(* "-"??_);_(@_)</c:formatCode>
                <c:ptCount val="19"/>
                <c:pt idx="0">
                  <c:v>2010</c:v>
                </c:pt>
                <c:pt idx="1">
                  <c:v>2015</c:v>
                </c:pt>
                <c:pt idx="2">
                  <c:v>2020</c:v>
                </c:pt>
                <c:pt idx="3">
                  <c:v>2025</c:v>
                </c:pt>
                <c:pt idx="4">
                  <c:v>2030</c:v>
                </c:pt>
                <c:pt idx="5">
                  <c:v>2035</c:v>
                </c:pt>
                <c:pt idx="6">
                  <c:v>2040</c:v>
                </c:pt>
                <c:pt idx="7">
                  <c:v>2045</c:v>
                </c:pt>
                <c:pt idx="8">
                  <c:v>2050</c:v>
                </c:pt>
                <c:pt idx="9">
                  <c:v>2055</c:v>
                </c:pt>
                <c:pt idx="10">
                  <c:v>2060</c:v>
                </c:pt>
                <c:pt idx="11">
                  <c:v>2065</c:v>
                </c:pt>
                <c:pt idx="12">
                  <c:v>2070</c:v>
                </c:pt>
                <c:pt idx="13">
                  <c:v>2075</c:v>
                </c:pt>
                <c:pt idx="14">
                  <c:v>2080</c:v>
                </c:pt>
                <c:pt idx="15">
                  <c:v>2085</c:v>
                </c:pt>
                <c:pt idx="16">
                  <c:v>2090</c:v>
                </c:pt>
                <c:pt idx="17">
                  <c:v>2095</c:v>
                </c:pt>
                <c:pt idx="18">
                  <c:v>2100</c:v>
                </c:pt>
              </c:numCache>
            </c:numRef>
          </c:cat>
          <c:val>
            <c:numRef>
              <c:f>stern!$B$137:$T$137</c:f>
              <c:numCache>
                <c:formatCode>_(* #,##0.000_);_(* \(#,##0.000\);_(* "-"??_);_(@_)</c:formatCode>
                <c:ptCount val="19"/>
                <c:pt idx="0">
                  <c:v>3.897599999999999E-2</c:v>
                </c:pt>
                <c:pt idx="1">
                  <c:v>0.58248709218152295</c:v>
                </c:pt>
                <c:pt idx="2">
                  <c:v>0.63471260398635965</c:v>
                </c:pt>
                <c:pt idx="3">
                  <c:v>0.68763238115979108</c:v>
                </c:pt>
                <c:pt idx="4">
                  <c:v>0.74170351462725281</c:v>
                </c:pt>
                <c:pt idx="5">
                  <c:v>0.79719327949598462</c:v>
                </c:pt>
                <c:pt idx="6">
                  <c:v>0.85428197176858012</c:v>
                </c:pt>
                <c:pt idx="7">
                  <c:v>0.91314523367229683</c:v>
                </c:pt>
                <c:pt idx="8">
                  <c:v>0.97404649492297612</c:v>
                </c:pt>
                <c:pt idx="9">
                  <c:v>1</c:v>
                </c:pt>
                <c:pt idx="10">
                  <c:v>1</c:v>
                </c:pt>
                <c:pt idx="11">
                  <c:v>0.99999999999999978</c:v>
                </c:pt>
                <c:pt idx="12">
                  <c:v>1</c:v>
                </c:pt>
                <c:pt idx="13">
                  <c:v>1</c:v>
                </c:pt>
                <c:pt idx="14">
                  <c:v>0.99999999999999956</c:v>
                </c:pt>
                <c:pt idx="15">
                  <c:v>1</c:v>
                </c:pt>
                <c:pt idx="16">
                  <c:v>1</c:v>
                </c:pt>
                <c:pt idx="17">
                  <c:v>0.999999999999999</c:v>
                </c:pt>
                <c:pt idx="18">
                  <c:v>0.99999999999999944</c:v>
                </c:pt>
              </c:numCache>
            </c:numRef>
          </c:val>
          <c:smooth val="0"/>
        </c:ser>
        <c:ser>
          <c:idx val="4"/>
          <c:order val="4"/>
          <c:tx>
            <c:v>Stern calibrated</c:v>
          </c:tx>
          <c:cat>
            <c:numRef>
              <c:f>Base!$B$2:$T$2</c:f>
              <c:numCache>
                <c:formatCode>_(* #,##0.000_);_(* \(#,##0.000\);_(* "-"??_);_(@_)</c:formatCode>
                <c:ptCount val="19"/>
                <c:pt idx="0">
                  <c:v>2010</c:v>
                </c:pt>
                <c:pt idx="1">
                  <c:v>2015</c:v>
                </c:pt>
                <c:pt idx="2">
                  <c:v>2020</c:v>
                </c:pt>
                <c:pt idx="3">
                  <c:v>2025</c:v>
                </c:pt>
                <c:pt idx="4">
                  <c:v>2030</c:v>
                </c:pt>
                <c:pt idx="5">
                  <c:v>2035</c:v>
                </c:pt>
                <c:pt idx="6">
                  <c:v>2040</c:v>
                </c:pt>
                <c:pt idx="7">
                  <c:v>2045</c:v>
                </c:pt>
                <c:pt idx="8">
                  <c:v>2050</c:v>
                </c:pt>
                <c:pt idx="9">
                  <c:v>2055</c:v>
                </c:pt>
                <c:pt idx="10">
                  <c:v>2060</c:v>
                </c:pt>
                <c:pt idx="11">
                  <c:v>2065</c:v>
                </c:pt>
                <c:pt idx="12">
                  <c:v>2070</c:v>
                </c:pt>
                <c:pt idx="13">
                  <c:v>2075</c:v>
                </c:pt>
                <c:pt idx="14">
                  <c:v>2080</c:v>
                </c:pt>
                <c:pt idx="15">
                  <c:v>2085</c:v>
                </c:pt>
                <c:pt idx="16">
                  <c:v>2090</c:v>
                </c:pt>
                <c:pt idx="17">
                  <c:v>2095</c:v>
                </c:pt>
                <c:pt idx="18">
                  <c:v>2100</c:v>
                </c:pt>
              </c:numCache>
            </c:numRef>
          </c:cat>
          <c:val>
            <c:numRef>
              <c:f>sterncalib!$B$137:$T$137</c:f>
              <c:numCache>
                <c:formatCode>_(* #,##0.000_);_(* \(#,##0.000\);_(* "-"??_);_(@_)</c:formatCode>
                <c:ptCount val="19"/>
                <c:pt idx="0">
                  <c:v>3.897599999999999E-2</c:v>
                </c:pt>
                <c:pt idx="1">
                  <c:v>0.22743459156733059</c:v>
                </c:pt>
                <c:pt idx="2">
                  <c:v>0.257166803825298</c:v>
                </c:pt>
                <c:pt idx="3">
                  <c:v>0.28966760121049751</c:v>
                </c:pt>
                <c:pt idx="4">
                  <c:v>0.32488592313100706</c:v>
                </c:pt>
                <c:pt idx="5">
                  <c:v>0.36278138300146939</c:v>
                </c:pt>
                <c:pt idx="6">
                  <c:v>0.40331832856025435</c:v>
                </c:pt>
                <c:pt idx="7">
                  <c:v>0.44646170280251385</c:v>
                </c:pt>
                <c:pt idx="8">
                  <c:v>0.4921743291237291</c:v>
                </c:pt>
                <c:pt idx="9">
                  <c:v>0.54041562716375713</c:v>
                </c:pt>
                <c:pt idx="10">
                  <c:v>0.59114167398296424</c:v>
                </c:pt>
                <c:pt idx="11">
                  <c:v>0.64430672589599758</c:v>
                </c:pt>
                <c:pt idx="12">
                  <c:v>0.69986648955663422</c:v>
                </c:pt>
                <c:pt idx="13">
                  <c:v>0.75778364439628565</c:v>
                </c:pt>
                <c:pt idx="14">
                  <c:v>0.81803648199805246</c:v>
                </c:pt>
                <c:pt idx="15">
                  <c:v>0.8806324536747977</c:v>
                </c:pt>
                <c:pt idx="16">
                  <c:v>0.94562943860053417</c:v>
                </c:pt>
                <c:pt idx="17">
                  <c:v>0.999999999999999</c:v>
                </c:pt>
                <c:pt idx="18">
                  <c:v>0.99999999999999944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8434560"/>
        <c:axId val="128436096"/>
      </c:lineChart>
      <c:catAx>
        <c:axId val="128434560"/>
        <c:scaling>
          <c:orientation val="minMax"/>
        </c:scaling>
        <c:delete val="0"/>
        <c:axPos val="b"/>
        <c:numFmt formatCode="#,##0" sourceLinked="0"/>
        <c:majorTickMark val="out"/>
        <c:minorTickMark val="none"/>
        <c:tickLblPos val="nextTo"/>
        <c:crossAx val="128436096"/>
        <c:crosses val="autoZero"/>
        <c:auto val="1"/>
        <c:lblAlgn val="ctr"/>
        <c:lblOffset val="100"/>
        <c:tickLblSkip val="4"/>
        <c:noMultiLvlLbl val="0"/>
      </c:catAx>
      <c:valAx>
        <c:axId val="128436096"/>
        <c:scaling>
          <c:orientation val="minMax"/>
        </c:scaling>
        <c:delete val="0"/>
        <c:axPos val="l"/>
        <c:majorGridlines/>
        <c:numFmt formatCode="0.0%" sourceLinked="0"/>
        <c:majorTickMark val="out"/>
        <c:minorTickMark val="none"/>
        <c:tickLblPos val="nextTo"/>
        <c:crossAx val="128434560"/>
        <c:crosses val="autoZero"/>
        <c:crossBetween val="between"/>
      </c:valAx>
    </c:plotArea>
    <c:legend>
      <c:legendPos val="l"/>
      <c:layout>
        <c:manualLayout>
          <c:xMode val="edge"/>
          <c:yMode val="edge"/>
          <c:x val="0.11471409591974124"/>
          <c:y val="3.674749952490447E-2"/>
          <c:w val="0.18620371293916968"/>
          <c:h val="0.32302148133032371"/>
        </c:manualLayout>
      </c:layout>
      <c:overlay val="1"/>
    </c:legend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Emissions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0.11401077942256292"/>
          <c:y val="2.6590471252256304E-2"/>
          <c:w val="0.85064794611520334"/>
          <c:h val="0.80675964524042365"/>
        </c:manualLayout>
      </c:layout>
      <c:lineChart>
        <c:grouping val="standard"/>
        <c:varyColors val="0"/>
        <c:ser>
          <c:idx val="0"/>
          <c:order val="0"/>
          <c:tx>
            <c:v>Base</c:v>
          </c:tx>
          <c:marker>
            <c:symbol val="circle"/>
            <c:size val="5"/>
            <c:spPr>
              <a:noFill/>
            </c:spPr>
          </c:marker>
          <c:cat>
            <c:numRef>
              <c:f>Base!$B$2:$BN$2</c:f>
              <c:numCache>
                <c:formatCode>_(* #,##0.000_);_(* \(#,##0.000\);_(* "-"??_);_(@_)</c:formatCode>
                <c:ptCount val="65"/>
                <c:pt idx="0">
                  <c:v>2010</c:v>
                </c:pt>
                <c:pt idx="1">
                  <c:v>2015</c:v>
                </c:pt>
                <c:pt idx="2">
                  <c:v>2020</c:v>
                </c:pt>
                <c:pt idx="3">
                  <c:v>2025</c:v>
                </c:pt>
                <c:pt idx="4">
                  <c:v>2030</c:v>
                </c:pt>
                <c:pt idx="5">
                  <c:v>2035</c:v>
                </c:pt>
                <c:pt idx="6">
                  <c:v>2040</c:v>
                </c:pt>
                <c:pt idx="7">
                  <c:v>2045</c:v>
                </c:pt>
                <c:pt idx="8">
                  <c:v>2050</c:v>
                </c:pt>
                <c:pt idx="9">
                  <c:v>2055</c:v>
                </c:pt>
                <c:pt idx="10">
                  <c:v>2060</c:v>
                </c:pt>
                <c:pt idx="11">
                  <c:v>2065</c:v>
                </c:pt>
                <c:pt idx="12">
                  <c:v>2070</c:v>
                </c:pt>
                <c:pt idx="13">
                  <c:v>2075</c:v>
                </c:pt>
                <c:pt idx="14">
                  <c:v>2080</c:v>
                </c:pt>
                <c:pt idx="15">
                  <c:v>2085</c:v>
                </c:pt>
                <c:pt idx="16">
                  <c:v>2090</c:v>
                </c:pt>
                <c:pt idx="17">
                  <c:v>2095</c:v>
                </c:pt>
                <c:pt idx="18">
                  <c:v>2100</c:v>
                </c:pt>
                <c:pt idx="19">
                  <c:v>2105</c:v>
                </c:pt>
                <c:pt idx="20">
                  <c:v>2110</c:v>
                </c:pt>
                <c:pt idx="21">
                  <c:v>2115</c:v>
                </c:pt>
                <c:pt idx="22">
                  <c:v>2120</c:v>
                </c:pt>
                <c:pt idx="23">
                  <c:v>2125</c:v>
                </c:pt>
                <c:pt idx="24">
                  <c:v>2130</c:v>
                </c:pt>
                <c:pt idx="25">
                  <c:v>2135</c:v>
                </c:pt>
                <c:pt idx="26">
                  <c:v>2140</c:v>
                </c:pt>
                <c:pt idx="27">
                  <c:v>2145</c:v>
                </c:pt>
                <c:pt idx="28">
                  <c:v>2150</c:v>
                </c:pt>
                <c:pt idx="29">
                  <c:v>2155</c:v>
                </c:pt>
                <c:pt idx="30">
                  <c:v>2160</c:v>
                </c:pt>
                <c:pt idx="31">
                  <c:v>2165</c:v>
                </c:pt>
                <c:pt idx="32">
                  <c:v>2170</c:v>
                </c:pt>
                <c:pt idx="33">
                  <c:v>2175</c:v>
                </c:pt>
                <c:pt idx="34">
                  <c:v>2180</c:v>
                </c:pt>
                <c:pt idx="35">
                  <c:v>2185</c:v>
                </c:pt>
                <c:pt idx="36">
                  <c:v>2190</c:v>
                </c:pt>
                <c:pt idx="37">
                  <c:v>2195</c:v>
                </c:pt>
                <c:pt idx="38">
                  <c:v>2200</c:v>
                </c:pt>
                <c:pt idx="39">
                  <c:v>2205</c:v>
                </c:pt>
                <c:pt idx="40">
                  <c:v>2210</c:v>
                </c:pt>
                <c:pt idx="41">
                  <c:v>2215</c:v>
                </c:pt>
                <c:pt idx="42">
                  <c:v>2220</c:v>
                </c:pt>
                <c:pt idx="43">
                  <c:v>2225</c:v>
                </c:pt>
                <c:pt idx="44">
                  <c:v>2230</c:v>
                </c:pt>
                <c:pt idx="45">
                  <c:v>2235</c:v>
                </c:pt>
                <c:pt idx="46">
                  <c:v>2240</c:v>
                </c:pt>
                <c:pt idx="47">
                  <c:v>2245</c:v>
                </c:pt>
                <c:pt idx="48">
                  <c:v>2250</c:v>
                </c:pt>
                <c:pt idx="49">
                  <c:v>2255</c:v>
                </c:pt>
                <c:pt idx="50">
                  <c:v>2260</c:v>
                </c:pt>
                <c:pt idx="51">
                  <c:v>2265</c:v>
                </c:pt>
                <c:pt idx="52">
                  <c:v>2270</c:v>
                </c:pt>
                <c:pt idx="53">
                  <c:v>2275</c:v>
                </c:pt>
                <c:pt idx="54">
                  <c:v>2280</c:v>
                </c:pt>
                <c:pt idx="55">
                  <c:v>2285</c:v>
                </c:pt>
                <c:pt idx="56">
                  <c:v>2290</c:v>
                </c:pt>
                <c:pt idx="57">
                  <c:v>2295</c:v>
                </c:pt>
                <c:pt idx="58">
                  <c:v>2300</c:v>
                </c:pt>
                <c:pt idx="59">
                  <c:v>2305</c:v>
                </c:pt>
              </c:numCache>
            </c:numRef>
          </c:cat>
          <c:val>
            <c:numRef>
              <c:f>Base!$B$113:$T$113</c:f>
              <c:numCache>
                <c:formatCode>_(* #,##0.000_);_(* \(#,##0.000\);_(* "-"??_);_(@_)</c:formatCode>
                <c:ptCount val="19"/>
                <c:pt idx="0">
                  <c:v>29.859985321427349</c:v>
                </c:pt>
                <c:pt idx="1">
                  <c:v>33.787627099620622</c:v>
                </c:pt>
                <c:pt idx="2">
                  <c:v>37.847064655396153</c:v>
                </c:pt>
                <c:pt idx="3">
                  <c:v>41.988237049333378</c:v>
                </c:pt>
                <c:pt idx="4">
                  <c:v>46.165741787311092</c:v>
                </c:pt>
                <c:pt idx="5">
                  <c:v>50.338384747035619</c:v>
                </c:pt>
                <c:pt idx="6">
                  <c:v>54.468790055079403</c:v>
                </c:pt>
                <c:pt idx="7">
                  <c:v>58.523051089855493</c:v>
                </c:pt>
                <c:pt idx="8">
                  <c:v>62.470409405644588</c:v>
                </c:pt>
                <c:pt idx="9">
                  <c:v>66.282975859579963</c:v>
                </c:pt>
                <c:pt idx="10">
                  <c:v>69.935497161661601</c:v>
                </c:pt>
                <c:pt idx="11">
                  <c:v>73.405164177706823</c:v>
                </c:pt>
                <c:pt idx="12">
                  <c:v>76.671447322349806</c:v>
                </c:pt>
                <c:pt idx="13">
                  <c:v>79.715947254728576</c:v>
                </c:pt>
                <c:pt idx="14">
                  <c:v>82.522241326905387</c:v>
                </c:pt>
                <c:pt idx="15">
                  <c:v>85.075729634132713</c:v>
                </c:pt>
                <c:pt idx="16">
                  <c:v>87.363469209060185</c:v>
                </c:pt>
                <c:pt idx="17">
                  <c:v>89.373998102396385</c:v>
                </c:pt>
                <c:pt idx="18">
                  <c:v>91.09712862599163</c:v>
                </c:pt>
              </c:numCache>
            </c:numRef>
          </c:val>
          <c:smooth val="0"/>
        </c:ser>
        <c:ser>
          <c:idx val="1"/>
          <c:order val="1"/>
          <c:tx>
            <c:v>Optimal tax</c:v>
          </c:tx>
          <c:marker>
            <c:symbol val="square"/>
            <c:size val="5"/>
            <c:spPr>
              <a:solidFill>
                <a:schemeClr val="accent6">
                  <a:lumMod val="20000"/>
                  <a:lumOff val="80000"/>
                </a:schemeClr>
              </a:solidFill>
            </c:spPr>
          </c:marker>
          <c:val>
            <c:numRef>
              <c:f>Opttax!$B$114:$T$114</c:f>
              <c:numCache>
                <c:formatCode>_(* #,##0.0000_);_(* \(#,##0.0000\);_(* "-"??_);_(@_)</c:formatCode>
                <c:ptCount val="19"/>
                <c:pt idx="0">
                  <c:v>29.859985321427349</c:v>
                </c:pt>
                <c:pt idx="1">
                  <c:v>28.005075152871523</c:v>
                </c:pt>
                <c:pt idx="2">
                  <c:v>30.495114138257339</c:v>
                </c:pt>
                <c:pt idx="3">
                  <c:v>32.780860426799606</c:v>
                </c:pt>
                <c:pt idx="4">
                  <c:v>34.799687727100121</c:v>
                </c:pt>
                <c:pt idx="5">
                  <c:v>36.495539331552891</c:v>
                </c:pt>
                <c:pt idx="6">
                  <c:v>37.818760455254925</c:v>
                </c:pt>
                <c:pt idx="7">
                  <c:v>38.725928226721329</c:v>
                </c:pt>
                <c:pt idx="8">
                  <c:v>39.179681779511128</c:v>
                </c:pt>
                <c:pt idx="9">
                  <c:v>39.148549571851916</c:v>
                </c:pt>
                <c:pt idx="10">
                  <c:v>38.606770267270761</c:v>
                </c:pt>
                <c:pt idx="11">
                  <c:v>37.534104511269597</c:v>
                </c:pt>
                <c:pt idx="12">
                  <c:v>35.915636568595957</c:v>
                </c:pt>
                <c:pt idx="13">
                  <c:v>33.741566327159447</c:v>
                </c:pt>
                <c:pt idx="14">
                  <c:v>31.006993019241559</c:v>
                </c:pt>
                <c:pt idx="15">
                  <c:v>27.711690983543562</c:v>
                </c:pt>
                <c:pt idx="16">
                  <c:v>23.859873022785145</c:v>
                </c:pt>
                <c:pt idx="17">
                  <c:v>19.459924926949899</c:v>
                </c:pt>
                <c:pt idx="18">
                  <c:v>14.524069546442373</c:v>
                </c:pt>
              </c:numCache>
            </c:numRef>
          </c:val>
          <c:smooth val="0"/>
        </c:ser>
        <c:ser>
          <c:idx val="2"/>
          <c:order val="2"/>
          <c:tx>
            <c:v>Limit t = 2</c:v>
          </c:tx>
          <c:marker>
            <c:spPr>
              <a:noFill/>
            </c:spPr>
          </c:marker>
          <c:val>
            <c:numRef>
              <c:f>Limt2!$B$114:$T$114</c:f>
              <c:numCache>
                <c:formatCode>_(* #,##0.0000_);_(* \(#,##0.0000\);_(* "-"??_);_(@_)</c:formatCode>
                <c:ptCount val="19"/>
                <c:pt idx="0">
                  <c:v>29.859985321427349</c:v>
                </c:pt>
                <c:pt idx="1">
                  <c:v>23.612617313734837</c:v>
                </c:pt>
                <c:pt idx="2">
                  <c:v>24.535741695487168</c:v>
                </c:pt>
                <c:pt idx="3">
                  <c:v>24.792669626472847</c:v>
                </c:pt>
                <c:pt idx="4">
                  <c:v>24.222827798301644</c:v>
                </c:pt>
                <c:pt idx="5">
                  <c:v>22.662545004670065</c:v>
                </c:pt>
                <c:pt idx="6">
                  <c:v>19.947239190763845</c:v>
                </c:pt>
                <c:pt idx="7">
                  <c:v>15.913531984831353</c:v>
                </c:pt>
                <c:pt idx="8">
                  <c:v>10.398469988109788</c:v>
                </c:pt>
                <c:pt idx="9">
                  <c:v>3.2290395907356944</c:v>
                </c:pt>
                <c:pt idx="10">
                  <c:v>0</c:v>
                </c:pt>
                <c:pt idx="11">
                  <c:v>1.7738916565973303E-14</c:v>
                </c:pt>
                <c:pt idx="12">
                  <c:v>0</c:v>
                </c:pt>
                <c:pt idx="13">
                  <c:v>0</c:v>
                </c:pt>
                <c:pt idx="14">
                  <c:v>4.0880438371358545E-14</c:v>
                </c:pt>
                <c:pt idx="15">
                  <c:v>0</c:v>
                </c:pt>
                <c:pt idx="16">
                  <c:v>0</c:v>
                </c:pt>
                <c:pt idx="17">
                  <c:v>1.0303010417323245E-13</c:v>
                </c:pt>
                <c:pt idx="18">
                  <c:v>5.9109546928846614E-14</c:v>
                </c:pt>
              </c:numCache>
            </c:numRef>
          </c:val>
          <c:smooth val="0"/>
        </c:ser>
        <c:ser>
          <c:idx val="3"/>
          <c:order val="3"/>
          <c:tx>
            <c:v>Copenhagen:Rich</c:v>
          </c:tx>
          <c:val>
            <c:numRef>
              <c:f>stern!$B$114:$T$114</c:f>
              <c:numCache>
                <c:formatCode>_(* #,##0.0000_);_(* \(#,##0.0000\);_(* "-"??_);_(@_)</c:formatCode>
                <c:ptCount val="19"/>
                <c:pt idx="0">
                  <c:v>31.421404970496607</c:v>
                </c:pt>
                <c:pt idx="1">
                  <c:v>15.83859028936433</c:v>
                </c:pt>
                <c:pt idx="2">
                  <c:v>15.710594591963869</c:v>
                </c:pt>
                <c:pt idx="3">
                  <c:v>15.026749765752474</c:v>
                </c:pt>
                <c:pt idx="4">
                  <c:v>13.748112584616639</c:v>
                </c:pt>
                <c:pt idx="5">
                  <c:v>11.834984979226514</c:v>
                </c:pt>
                <c:pt idx="6">
                  <c:v>9.2492919506735731</c:v>
                </c:pt>
                <c:pt idx="7">
                  <c:v>5.9539379654519031</c:v>
                </c:pt>
                <c:pt idx="8">
                  <c:v>1.90878689045589</c:v>
                </c:pt>
                <c:pt idx="9">
                  <c:v>0</c:v>
                </c:pt>
                <c:pt idx="10">
                  <c:v>0</c:v>
                </c:pt>
                <c:pt idx="11">
                  <c:v>1.9512161762945275E-14</c:v>
                </c:pt>
                <c:pt idx="12">
                  <c:v>0</c:v>
                </c:pt>
                <c:pt idx="13">
                  <c:v>0</c:v>
                </c:pt>
                <c:pt idx="14">
                  <c:v>4.4978106010917824E-14</c:v>
                </c:pt>
                <c:pt idx="15">
                  <c:v>0</c:v>
                </c:pt>
                <c:pt idx="16">
                  <c:v>0</c:v>
                </c:pt>
                <c:pt idx="17">
                  <c:v>1.1312703103252878E-13</c:v>
                </c:pt>
                <c:pt idx="18">
                  <c:v>6.4844019636108057E-14</c:v>
                </c:pt>
              </c:numCache>
            </c:numRef>
          </c:val>
          <c:smooth val="0"/>
        </c:ser>
        <c:ser>
          <c:idx val="4"/>
          <c:order val="4"/>
          <c:tx>
            <c:v>Realistic</c:v>
          </c:tx>
          <c:val>
            <c:numRef>
              <c:f>Copen!$B$114:$T$114</c:f>
              <c:numCache>
                <c:formatCode>_(* #,##0.0000_);_(* \(#,##0.0000\);_(* "-"??_);_(@_)</c:formatCode>
                <c:ptCount val="19"/>
                <c:pt idx="0">
                  <c:v>30.82881259120153</c:v>
                </c:pt>
                <c:pt idx="1">
                  <c:v>33.305091331114809</c:v>
                </c:pt>
                <c:pt idx="2">
                  <c:v>35.256976735648884</c:v>
                </c:pt>
                <c:pt idx="3">
                  <c:v>36.953043308197913</c:v>
                </c:pt>
                <c:pt idx="4">
                  <c:v>38.689040470988999</c:v>
                </c:pt>
                <c:pt idx="5">
                  <c:v>40.448781950236672</c:v>
                </c:pt>
                <c:pt idx="6">
                  <c:v>40.474981220556657</c:v>
                </c:pt>
                <c:pt idx="7">
                  <c:v>39.793563320429008</c:v>
                </c:pt>
                <c:pt idx="8">
                  <c:v>38.722118053614892</c:v>
                </c:pt>
                <c:pt idx="9">
                  <c:v>37.411779945565073</c:v>
                </c:pt>
                <c:pt idx="10">
                  <c:v>35.466625635873719</c:v>
                </c:pt>
                <c:pt idx="11">
                  <c:v>33.130217042881256</c:v>
                </c:pt>
                <c:pt idx="12">
                  <c:v>31.003998979153963</c:v>
                </c:pt>
                <c:pt idx="13">
                  <c:v>29.037535583190223</c:v>
                </c:pt>
                <c:pt idx="14">
                  <c:v>27.279199335865311</c:v>
                </c:pt>
                <c:pt idx="15">
                  <c:v>25.693847876953384</c:v>
                </c:pt>
                <c:pt idx="16">
                  <c:v>24.301476100259823</c:v>
                </c:pt>
                <c:pt idx="17">
                  <c:v>23.076064602577421</c:v>
                </c:pt>
                <c:pt idx="18">
                  <c:v>21.8959594029246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8992384"/>
        <c:axId val="128993920"/>
      </c:lineChart>
      <c:catAx>
        <c:axId val="128992384"/>
        <c:scaling>
          <c:orientation val="minMax"/>
        </c:scaling>
        <c:delete val="0"/>
        <c:axPos val="b"/>
        <c:numFmt formatCode="#,##0" sourceLinked="0"/>
        <c:majorTickMark val="out"/>
        <c:minorTickMark val="none"/>
        <c:tickLblPos val="nextTo"/>
        <c:crossAx val="128993920"/>
        <c:crosses val="autoZero"/>
        <c:auto val="1"/>
        <c:lblAlgn val="ctr"/>
        <c:lblOffset val="100"/>
        <c:tickLblSkip val="2"/>
        <c:noMultiLvlLbl val="0"/>
      </c:catAx>
      <c:valAx>
        <c:axId val="128993920"/>
        <c:scaling>
          <c:orientation val="minMax"/>
          <c:max val="100"/>
          <c:min val="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" sourceLinked="0"/>
        <c:majorTickMark val="out"/>
        <c:minorTickMark val="none"/>
        <c:tickLblPos val="nextTo"/>
        <c:crossAx val="128992384"/>
        <c:crosses val="autoZero"/>
        <c:crossBetween val="between"/>
      </c:valAx>
    </c:plotArea>
    <c:legend>
      <c:legendPos val="l"/>
      <c:layout>
        <c:manualLayout>
          <c:xMode val="edge"/>
          <c:yMode val="edge"/>
          <c:x val="0.16378479750923972"/>
          <c:y val="9.1464175007329646E-2"/>
          <c:w val="0.2627448143549419"/>
          <c:h val="0.27046542056735168"/>
        </c:manualLayout>
      </c:layout>
      <c:overlay val="1"/>
    </c:legend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Per</a:t>
            </a:r>
            <a:r>
              <a:rPr lang="en-US" baseline="0"/>
              <a:t> capita consumption</a:t>
            </a:r>
            <a:endParaRPr lang="en-US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99120764531975"/>
          <c:y val="2.6590378962867502E-2"/>
          <c:w val="0.85064794611520234"/>
          <c:h val="0.80675964524042365"/>
        </c:manualLayout>
      </c:layout>
      <c:lineChart>
        <c:grouping val="standard"/>
        <c:varyColors val="0"/>
        <c:ser>
          <c:idx val="0"/>
          <c:order val="0"/>
          <c:tx>
            <c:v>Base</c:v>
          </c:tx>
          <c:marker>
            <c:symbol val="circle"/>
            <c:size val="5"/>
            <c:spPr>
              <a:noFill/>
            </c:spPr>
          </c:marker>
          <c:cat>
            <c:numRef>
              <c:f>Base!$B$2:$AZ$2</c:f>
              <c:numCache>
                <c:formatCode>_(* #,##0.000_);_(* \(#,##0.000\);_(* "-"??_);_(@_)</c:formatCode>
                <c:ptCount val="51"/>
                <c:pt idx="0">
                  <c:v>2010</c:v>
                </c:pt>
                <c:pt idx="1">
                  <c:v>2015</c:v>
                </c:pt>
                <c:pt idx="2">
                  <c:v>2020</c:v>
                </c:pt>
                <c:pt idx="3">
                  <c:v>2025</c:v>
                </c:pt>
                <c:pt idx="4">
                  <c:v>2030</c:v>
                </c:pt>
                <c:pt idx="5">
                  <c:v>2035</c:v>
                </c:pt>
                <c:pt idx="6">
                  <c:v>2040</c:v>
                </c:pt>
                <c:pt idx="7">
                  <c:v>2045</c:v>
                </c:pt>
                <c:pt idx="8">
                  <c:v>2050</c:v>
                </c:pt>
                <c:pt idx="9">
                  <c:v>2055</c:v>
                </c:pt>
                <c:pt idx="10">
                  <c:v>2060</c:v>
                </c:pt>
                <c:pt idx="11">
                  <c:v>2065</c:v>
                </c:pt>
                <c:pt idx="12">
                  <c:v>2070</c:v>
                </c:pt>
                <c:pt idx="13">
                  <c:v>2075</c:v>
                </c:pt>
                <c:pt idx="14">
                  <c:v>2080</c:v>
                </c:pt>
                <c:pt idx="15">
                  <c:v>2085</c:v>
                </c:pt>
                <c:pt idx="16">
                  <c:v>2090</c:v>
                </c:pt>
                <c:pt idx="17">
                  <c:v>2095</c:v>
                </c:pt>
                <c:pt idx="18">
                  <c:v>2100</c:v>
                </c:pt>
                <c:pt idx="19">
                  <c:v>2105</c:v>
                </c:pt>
                <c:pt idx="20">
                  <c:v>2110</c:v>
                </c:pt>
                <c:pt idx="21">
                  <c:v>2115</c:v>
                </c:pt>
                <c:pt idx="22">
                  <c:v>2120</c:v>
                </c:pt>
                <c:pt idx="23">
                  <c:v>2125</c:v>
                </c:pt>
                <c:pt idx="24">
                  <c:v>2130</c:v>
                </c:pt>
                <c:pt idx="25">
                  <c:v>2135</c:v>
                </c:pt>
                <c:pt idx="26">
                  <c:v>2140</c:v>
                </c:pt>
                <c:pt idx="27">
                  <c:v>2145</c:v>
                </c:pt>
                <c:pt idx="28">
                  <c:v>2150</c:v>
                </c:pt>
                <c:pt idx="29">
                  <c:v>2155</c:v>
                </c:pt>
                <c:pt idx="30">
                  <c:v>2160</c:v>
                </c:pt>
                <c:pt idx="31">
                  <c:v>2165</c:v>
                </c:pt>
                <c:pt idx="32">
                  <c:v>2170</c:v>
                </c:pt>
                <c:pt idx="33">
                  <c:v>2175</c:v>
                </c:pt>
                <c:pt idx="34">
                  <c:v>2180</c:v>
                </c:pt>
                <c:pt idx="35">
                  <c:v>2185</c:v>
                </c:pt>
                <c:pt idx="36">
                  <c:v>2190</c:v>
                </c:pt>
                <c:pt idx="37">
                  <c:v>2195</c:v>
                </c:pt>
                <c:pt idx="38">
                  <c:v>2200</c:v>
                </c:pt>
                <c:pt idx="39">
                  <c:v>2205</c:v>
                </c:pt>
                <c:pt idx="40">
                  <c:v>2210</c:v>
                </c:pt>
                <c:pt idx="41">
                  <c:v>2215</c:v>
                </c:pt>
                <c:pt idx="42">
                  <c:v>2220</c:v>
                </c:pt>
                <c:pt idx="43">
                  <c:v>2225</c:v>
                </c:pt>
                <c:pt idx="44">
                  <c:v>2230</c:v>
                </c:pt>
                <c:pt idx="45">
                  <c:v>2235</c:v>
                </c:pt>
                <c:pt idx="46">
                  <c:v>2240</c:v>
                </c:pt>
                <c:pt idx="47">
                  <c:v>2245</c:v>
                </c:pt>
                <c:pt idx="48">
                  <c:v>2250</c:v>
                </c:pt>
                <c:pt idx="49">
                  <c:v>2255</c:v>
                </c:pt>
                <c:pt idx="50">
                  <c:v>2260</c:v>
                </c:pt>
              </c:numCache>
            </c:numRef>
          </c:cat>
          <c:val>
            <c:numRef>
              <c:f>Base!$B$126:$AZ$126</c:f>
              <c:numCache>
                <c:formatCode>_(* #,##0.000_);_(* \(#,##0.000\);_(* "-"??_);_(@_)</c:formatCode>
                <c:ptCount val="51"/>
                <c:pt idx="0">
                  <c:v>6.8827315708347028</c:v>
                </c:pt>
                <c:pt idx="1">
                  <c:v>7.7768421712482816</c:v>
                </c:pt>
                <c:pt idx="2">
                  <c:v>8.7619741902123831</c:v>
                </c:pt>
                <c:pt idx="3">
                  <c:v>9.838061335877498</c:v>
                </c:pt>
                <c:pt idx="4">
                  <c:v>11.005633790636878</c:v>
                </c:pt>
                <c:pt idx="5">
                  <c:v>12.265407041946226</c:v>
                </c:pt>
                <c:pt idx="6">
                  <c:v>13.618019866936397</c:v>
                </c:pt>
                <c:pt idx="7">
                  <c:v>15.063867545486755</c:v>
                </c:pt>
                <c:pt idx="8">
                  <c:v>16.602986469912818</c:v>
                </c:pt>
                <c:pt idx="9">
                  <c:v>18.234978440906279</c:v>
                </c:pt>
                <c:pt idx="10">
                  <c:v>19.958966818259796</c:v>
                </c:pt>
                <c:pt idx="11">
                  <c:v>21.773583444368949</c:v>
                </c:pt>
                <c:pt idx="12">
                  <c:v>23.676979627181311</c:v>
                </c:pt>
                <c:pt idx="13">
                  <c:v>25.666863352451898</c:v>
                </c:pt>
                <c:pt idx="14">
                  <c:v>27.740544495871376</c:v>
                </c:pt>
                <c:pt idx="15">
                  <c:v>29.894996890374021</c:v>
                </c:pt>
                <c:pt idx="16">
                  <c:v>32.126926225621425</c:v>
                </c:pt>
                <c:pt idx="17">
                  <c:v>34.432861556028918</c:v>
                </c:pt>
                <c:pt idx="18">
                  <c:v>36.809279074081338</c:v>
                </c:pt>
                <c:pt idx="19">
                  <c:v>39.253815106303477</c:v>
                </c:pt>
                <c:pt idx="20">
                  <c:v>41.763783546557235</c:v>
                </c:pt>
                <c:pt idx="21">
                  <c:v>44.336263301411122</c:v>
                </c:pt>
                <c:pt idx="22">
                  <c:v>46.968211620870029</c:v>
                </c:pt>
                <c:pt idx="23">
                  <c:v>49.656542223163996</c:v>
                </c:pt>
                <c:pt idx="24">
                  <c:v>52.398195966057187</c:v>
                </c:pt>
                <c:pt idx="25">
                  <c:v>55.190181088148435</c:v>
                </c:pt>
                <c:pt idx="26">
                  <c:v>58.029611789452545</c:v>
                </c:pt>
                <c:pt idx="27">
                  <c:v>60.913722884566042</c:v>
                </c:pt>
                <c:pt idx="28">
                  <c:v>63.839875574148259</c:v>
                </c:pt>
                <c:pt idx="29">
                  <c:v>66.844063365717489</c:v>
                </c:pt>
                <c:pt idx="30">
                  <c:v>69.847633028090371</c:v>
                </c:pt>
                <c:pt idx="31">
                  <c:v>72.889689107973339</c:v>
                </c:pt>
                <c:pt idx="32">
                  <c:v>75.968309256091032</c:v>
                </c:pt>
                <c:pt idx="33">
                  <c:v>79.081939273060584</c:v>
                </c:pt>
                <c:pt idx="34">
                  <c:v>82.229356042617525</c:v>
                </c:pt>
                <c:pt idx="35">
                  <c:v>85.409627901837197</c:v>
                </c:pt>
                <c:pt idx="36">
                  <c:v>88.622049966008518</c:v>
                </c:pt>
                <c:pt idx="37">
                  <c:v>91.866044229409326</c:v>
                </c:pt>
                <c:pt idx="38">
                  <c:v>95.140953157910928</c:v>
                </c:pt>
                <c:pt idx="39">
                  <c:v>98.445701879827709</c:v>
                </c:pt>
                <c:pt idx="40">
                  <c:v>101.77812760701981</c:v>
                </c:pt>
                <c:pt idx="41">
                  <c:v>105.13379745696476</c:v>
                </c:pt>
                <c:pt idx="42">
                  <c:v>108.50382038282385</c:v>
                </c:pt>
                <c:pt idx="43">
                  <c:v>111.87091913258924</c:v>
                </c:pt>
                <c:pt idx="44">
                  <c:v>115.20244365903714</c:v>
                </c:pt>
                <c:pt idx="45">
                  <c:v>119.17442580767697</c:v>
                </c:pt>
                <c:pt idx="46">
                  <c:v>123.00895192282496</c:v>
                </c:pt>
                <c:pt idx="47">
                  <c:v>126.89401885087797</c:v>
                </c:pt>
                <c:pt idx="48">
                  <c:v>130.87762897327565</c:v>
                </c:pt>
                <c:pt idx="49">
                  <c:v>135.02217419003145</c:v>
                </c:pt>
                <c:pt idx="50">
                  <c:v>135.73901655697912</c:v>
                </c:pt>
              </c:numCache>
            </c:numRef>
          </c:val>
          <c:smooth val="0"/>
        </c:ser>
        <c:ser>
          <c:idx val="1"/>
          <c:order val="1"/>
          <c:tx>
            <c:v>Limit T &lt; 2</c:v>
          </c:tx>
          <c:marker>
            <c:spPr>
              <a:noFill/>
            </c:spPr>
          </c:marker>
          <c:cat>
            <c:numRef>
              <c:f>Base!$B$2:$AZ$2</c:f>
              <c:numCache>
                <c:formatCode>_(* #,##0.000_);_(* \(#,##0.000\);_(* "-"??_);_(@_)</c:formatCode>
                <c:ptCount val="51"/>
                <c:pt idx="0">
                  <c:v>2010</c:v>
                </c:pt>
                <c:pt idx="1">
                  <c:v>2015</c:v>
                </c:pt>
                <c:pt idx="2">
                  <c:v>2020</c:v>
                </c:pt>
                <c:pt idx="3">
                  <c:v>2025</c:v>
                </c:pt>
                <c:pt idx="4">
                  <c:v>2030</c:v>
                </c:pt>
                <c:pt idx="5">
                  <c:v>2035</c:v>
                </c:pt>
                <c:pt idx="6">
                  <c:v>2040</c:v>
                </c:pt>
                <c:pt idx="7">
                  <c:v>2045</c:v>
                </c:pt>
                <c:pt idx="8">
                  <c:v>2050</c:v>
                </c:pt>
                <c:pt idx="9">
                  <c:v>2055</c:v>
                </c:pt>
                <c:pt idx="10">
                  <c:v>2060</c:v>
                </c:pt>
                <c:pt idx="11">
                  <c:v>2065</c:v>
                </c:pt>
                <c:pt idx="12">
                  <c:v>2070</c:v>
                </c:pt>
                <c:pt idx="13">
                  <c:v>2075</c:v>
                </c:pt>
                <c:pt idx="14">
                  <c:v>2080</c:v>
                </c:pt>
                <c:pt idx="15">
                  <c:v>2085</c:v>
                </c:pt>
                <c:pt idx="16">
                  <c:v>2090</c:v>
                </c:pt>
                <c:pt idx="17">
                  <c:v>2095</c:v>
                </c:pt>
                <c:pt idx="18">
                  <c:v>2100</c:v>
                </c:pt>
                <c:pt idx="19">
                  <c:v>2105</c:v>
                </c:pt>
                <c:pt idx="20">
                  <c:v>2110</c:v>
                </c:pt>
                <c:pt idx="21">
                  <c:v>2115</c:v>
                </c:pt>
                <c:pt idx="22">
                  <c:v>2120</c:v>
                </c:pt>
                <c:pt idx="23">
                  <c:v>2125</c:v>
                </c:pt>
                <c:pt idx="24">
                  <c:v>2130</c:v>
                </c:pt>
                <c:pt idx="25">
                  <c:v>2135</c:v>
                </c:pt>
                <c:pt idx="26">
                  <c:v>2140</c:v>
                </c:pt>
                <c:pt idx="27">
                  <c:v>2145</c:v>
                </c:pt>
                <c:pt idx="28">
                  <c:v>2150</c:v>
                </c:pt>
                <c:pt idx="29">
                  <c:v>2155</c:v>
                </c:pt>
                <c:pt idx="30">
                  <c:v>2160</c:v>
                </c:pt>
                <c:pt idx="31">
                  <c:v>2165</c:v>
                </c:pt>
                <c:pt idx="32">
                  <c:v>2170</c:v>
                </c:pt>
                <c:pt idx="33">
                  <c:v>2175</c:v>
                </c:pt>
                <c:pt idx="34">
                  <c:v>2180</c:v>
                </c:pt>
                <c:pt idx="35">
                  <c:v>2185</c:v>
                </c:pt>
                <c:pt idx="36">
                  <c:v>2190</c:v>
                </c:pt>
                <c:pt idx="37">
                  <c:v>2195</c:v>
                </c:pt>
                <c:pt idx="38">
                  <c:v>2200</c:v>
                </c:pt>
                <c:pt idx="39">
                  <c:v>2205</c:v>
                </c:pt>
                <c:pt idx="40">
                  <c:v>2210</c:v>
                </c:pt>
                <c:pt idx="41">
                  <c:v>2215</c:v>
                </c:pt>
                <c:pt idx="42">
                  <c:v>2220</c:v>
                </c:pt>
                <c:pt idx="43">
                  <c:v>2225</c:v>
                </c:pt>
                <c:pt idx="44">
                  <c:v>2230</c:v>
                </c:pt>
                <c:pt idx="45">
                  <c:v>2235</c:v>
                </c:pt>
                <c:pt idx="46">
                  <c:v>2240</c:v>
                </c:pt>
                <c:pt idx="47">
                  <c:v>2245</c:v>
                </c:pt>
                <c:pt idx="48">
                  <c:v>2250</c:v>
                </c:pt>
                <c:pt idx="49">
                  <c:v>2255</c:v>
                </c:pt>
                <c:pt idx="50">
                  <c:v>2260</c:v>
                </c:pt>
              </c:numCache>
            </c:numRef>
          </c:cat>
          <c:val>
            <c:numRef>
              <c:f>Limt2!$B$127:$AZ$127</c:f>
              <c:numCache>
                <c:formatCode>_(* #,##0.0000_);_(* \(#,##0.0000\);_(* "-"??_);_(@_)</c:formatCode>
                <c:ptCount val="51"/>
                <c:pt idx="0">
                  <c:v>6.8716094136808445</c:v>
                </c:pt>
                <c:pt idx="1">
                  <c:v>7.750566111316731</c:v>
                </c:pt>
                <c:pt idx="2">
                  <c:v>8.7228364278691117</c:v>
                </c:pt>
                <c:pt idx="3">
                  <c:v>9.7799489389289782</c:v>
                </c:pt>
                <c:pt idx="4">
                  <c:v>10.920001835696381</c:v>
                </c:pt>
                <c:pt idx="5">
                  <c:v>12.14030446249161</c:v>
                </c:pt>
                <c:pt idx="6">
                  <c:v>13.436779297559912</c:v>
                </c:pt>
                <c:pt idx="7">
                  <c:v>14.803455976866971</c:v>
                </c:pt>
                <c:pt idx="8">
                  <c:v>16.231800731597172</c:v>
                </c:pt>
                <c:pt idx="9">
                  <c:v>17.709840669258391</c:v>
                </c:pt>
                <c:pt idx="10">
                  <c:v>19.352197529240346</c:v>
                </c:pt>
                <c:pt idx="11">
                  <c:v>21.17461305065801</c:v>
                </c:pt>
                <c:pt idx="12">
                  <c:v>23.12041729295029</c:v>
                </c:pt>
                <c:pt idx="13">
                  <c:v>25.18796130244791</c:v>
                </c:pt>
                <c:pt idx="14">
                  <c:v>27.3759410290921</c:v>
                </c:pt>
                <c:pt idx="15">
                  <c:v>29.683301504414889</c:v>
                </c:pt>
                <c:pt idx="16">
                  <c:v>32.109261971451964</c:v>
                </c:pt>
                <c:pt idx="17">
                  <c:v>34.653541932609428</c:v>
                </c:pt>
                <c:pt idx="18">
                  <c:v>37.31692558542899</c:v>
                </c:pt>
                <c:pt idx="19">
                  <c:v>40.102310892322912</c:v>
                </c:pt>
                <c:pt idx="20">
                  <c:v>43.05620702070668</c:v>
                </c:pt>
                <c:pt idx="21">
                  <c:v>46.067817839161243</c:v>
                </c:pt>
                <c:pt idx="22">
                  <c:v>49.148807644060959</c:v>
                </c:pt>
                <c:pt idx="23">
                  <c:v>52.306986204713112</c:v>
                </c:pt>
                <c:pt idx="24">
                  <c:v>55.597335607266359</c:v>
                </c:pt>
                <c:pt idx="25">
                  <c:v>58.985791860152879</c:v>
                </c:pt>
                <c:pt idx="26">
                  <c:v>62.465651635900194</c:v>
                </c:pt>
                <c:pt idx="27">
                  <c:v>66.028683267280542</c:v>
                </c:pt>
                <c:pt idx="28">
                  <c:v>69.997360874980046</c:v>
                </c:pt>
                <c:pt idx="29">
                  <c:v>73.662733787071531</c:v>
                </c:pt>
                <c:pt idx="30">
                  <c:v>77.425645073443533</c:v>
                </c:pt>
                <c:pt idx="31">
                  <c:v>81.275830398367674</c:v>
                </c:pt>
                <c:pt idx="32">
                  <c:v>85.204463811012118</c:v>
                </c:pt>
                <c:pt idx="33">
                  <c:v>89.203774726122376</c:v>
                </c:pt>
                <c:pt idx="34">
                  <c:v>93.266768367654919</c:v>
                </c:pt>
                <c:pt idx="35">
                  <c:v>97.387023714961572</c:v>
                </c:pt>
                <c:pt idx="36">
                  <c:v>101.55854895637337</c:v>
                </c:pt>
                <c:pt idx="37">
                  <c:v>105.77567929655908</c:v>
                </c:pt>
                <c:pt idx="38">
                  <c:v>110.03300575500181</c:v>
                </c:pt>
                <c:pt idx="39">
                  <c:v>114.32532649719383</c:v>
                </c:pt>
                <c:pt idx="40">
                  <c:v>118.64761443447287</c:v>
                </c:pt>
                <c:pt idx="41">
                  <c:v>122.99499647143962</c:v>
                </c:pt>
                <c:pt idx="42">
                  <c:v>127.3627410027636</c:v>
                </c:pt>
                <c:pt idx="43">
                  <c:v>131.74625116768698</c:v>
                </c:pt>
                <c:pt idx="44">
                  <c:v>136.14106204070004</c:v>
                </c:pt>
                <c:pt idx="45">
                  <c:v>140.54284043140814</c:v>
                </c:pt>
                <c:pt idx="46">
                  <c:v>144.9473863310975</c:v>
                </c:pt>
                <c:pt idx="47">
                  <c:v>149.35063531193109</c:v>
                </c:pt>
                <c:pt idx="48">
                  <c:v>153.74866138225369</c:v>
                </c:pt>
                <c:pt idx="49">
                  <c:v>158.13767994681211</c:v>
                </c:pt>
                <c:pt idx="50">
                  <c:v>162.51405062753986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9031168"/>
        <c:axId val="129037440"/>
      </c:lineChart>
      <c:catAx>
        <c:axId val="129031168"/>
        <c:scaling>
          <c:orientation val="minMax"/>
        </c:scaling>
        <c:delete val="0"/>
        <c:axPos val="b"/>
        <c:numFmt formatCode="#,##0" sourceLinked="0"/>
        <c:majorTickMark val="out"/>
        <c:minorTickMark val="none"/>
        <c:tickLblPos val="nextTo"/>
        <c:crossAx val="129037440"/>
        <c:crosses val="autoZero"/>
        <c:auto val="1"/>
        <c:lblAlgn val="ctr"/>
        <c:lblOffset val="100"/>
        <c:tickLblSkip val="10"/>
        <c:noMultiLvlLbl val="0"/>
      </c:catAx>
      <c:valAx>
        <c:axId val="129037440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" sourceLinked="0"/>
        <c:majorTickMark val="out"/>
        <c:minorTickMark val="none"/>
        <c:tickLblPos val="nextTo"/>
        <c:crossAx val="12903116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2149280437010837"/>
          <c:y val="0.30799538094695783"/>
          <c:w val="0.21622319783390509"/>
          <c:h val="0.14902773086585833"/>
        </c:manualLayout>
      </c:layout>
      <c:overlay val="0"/>
    </c:legend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val>
            <c:numRef>
              <c:f>Limt2!$K$100:$BI$100</c:f>
              <c:numCache>
                <c:formatCode>_(* #,##0.0000_);_(* \(#,##0.0000\);_(* "-"??_);_(@_)</c:formatCode>
                <c:ptCount val="51"/>
                <c:pt idx="0">
                  <c:v>1.7350862726649421</c:v>
                </c:pt>
                <c:pt idx="1">
                  <c:v>1.8005127899526534</c:v>
                </c:pt>
                <c:pt idx="2">
                  <c:v>1.8512217209828543</c:v>
                </c:pt>
                <c:pt idx="3">
                  <c:v>1.890236287339442</c:v>
                </c:pt>
                <c:pt idx="4">
                  <c:v>1.9200731701488229</c:v>
                </c:pt>
                <c:pt idx="5">
                  <c:v>1.9428169588126818</c:v>
                </c:pt>
                <c:pt idx="6">
                  <c:v>1.9601849279419679</c:v>
                </c:pt>
                <c:pt idx="7">
                  <c:v>1.9735832267160129</c:v>
                </c:pt>
                <c:pt idx="8">
                  <c:v>1.9841554626337836</c:v>
                </c:pt>
                <c:pt idx="9">
                  <c:v>1.9928245696357241</c:v>
                </c:pt>
                <c:pt idx="10">
                  <c:v>1.9967927662773899</c:v>
                </c:pt>
                <c:pt idx="11">
                  <c:v>1.9971133889490218</c:v>
                </c:pt>
                <c:pt idx="12">
                  <c:v>1.9971572589464095</c:v>
                </c:pt>
                <c:pt idx="13">
                  <c:v>1.9972003764331847</c:v>
                </c:pt>
                <c:pt idx="14">
                  <c:v>1.9970212846088709</c:v>
                </c:pt>
                <c:pt idx="15">
                  <c:v>1.9944591024360292</c:v>
                </c:pt>
                <c:pt idx="16">
                  <c:v>1.9901220608261225</c:v>
                </c:pt>
                <c:pt idx="17">
                  <c:v>1.9845017123178366</c:v>
                </c:pt>
                <c:pt idx="18">
                  <c:v>1.977992567844798</c:v>
                </c:pt>
                <c:pt idx="19">
                  <c:v>1.9709087012923685</c:v>
                </c:pt>
                <c:pt idx="20">
                  <c:v>1.9634977555973097</c:v>
                </c:pt>
                <c:pt idx="21">
                  <c:v>1.9559527274568103</c:v>
                </c:pt>
                <c:pt idx="22">
                  <c:v>1.9484218574717385</c:v>
                </c:pt>
                <c:pt idx="23">
                  <c:v>1.9410169082052158</c:v>
                </c:pt>
                <c:pt idx="24">
                  <c:v>1.9338200736544831</c:v>
                </c:pt>
                <c:pt idx="25">
                  <c:v>1.9268897294918883</c:v>
                </c:pt>
                <c:pt idx="26">
                  <c:v>1.9202652036337149</c:v>
                </c:pt>
                <c:pt idx="27">
                  <c:v>1.9139707207761909</c:v>
                </c:pt>
                <c:pt idx="28">
                  <c:v>1.9080186520611664</c:v>
                </c:pt>
                <c:pt idx="29">
                  <c:v>1.9024121815985608</c:v>
                </c:pt>
                <c:pt idx="30">
                  <c:v>1.8971474848125185</c:v>
                </c:pt>
                <c:pt idx="31">
                  <c:v>1.892215499161723</c:v>
                </c:pt>
                <c:pt idx="32">
                  <c:v>1.8876033554134151</c:v>
                </c:pt>
                <c:pt idx="33">
                  <c:v>1.8832955270591647</c:v>
                </c:pt>
                <c:pt idx="34">
                  <c:v>1.879274746412041</c:v>
                </c:pt>
                <c:pt idx="35">
                  <c:v>1.875522728210723</c:v>
                </c:pt>
                <c:pt idx="36">
                  <c:v>1.8720207349927653</c:v>
                </c:pt>
                <c:pt idx="37">
                  <c:v>1.8687500129259054</c:v>
                </c:pt>
                <c:pt idx="38">
                  <c:v>1.8656921220627776</c:v>
                </c:pt>
                <c:pt idx="39">
                  <c:v>1.8628291809887088</c:v>
                </c:pt>
                <c:pt idx="40">
                  <c:v>1.8601440424587261</c:v>
                </c:pt>
                <c:pt idx="41">
                  <c:v>1.8576204137771029</c:v>
                </c:pt>
                <c:pt idx="42">
                  <c:v>1.8552429332819136</c:v>
                </c:pt>
                <c:pt idx="43">
                  <c:v>1.8529972122903404</c:v>
                </c:pt>
                <c:pt idx="44">
                  <c:v>1.8508698501796828</c:v>
                </c:pt>
                <c:pt idx="45">
                  <c:v>1.8488484288742912</c:v>
                </c:pt>
                <c:pt idx="46">
                  <c:v>1.8469214918373329</c:v>
                </c:pt>
                <c:pt idx="47">
                  <c:v>1.8450785116920096</c:v>
                </c:pt>
                <c:pt idx="48">
                  <c:v>1.8433098497885576</c:v>
                </c:pt>
                <c:pt idx="49">
                  <c:v>1.8621739819361063</c:v>
                </c:pt>
                <c:pt idx="50">
                  <c:v>1.9282814302297044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9260160"/>
        <c:axId val="129278336"/>
      </c:lineChart>
      <c:catAx>
        <c:axId val="129260160"/>
        <c:scaling>
          <c:orientation val="minMax"/>
        </c:scaling>
        <c:delete val="0"/>
        <c:axPos val="b"/>
        <c:majorTickMark val="out"/>
        <c:minorTickMark val="none"/>
        <c:tickLblPos val="nextTo"/>
        <c:crossAx val="129278336"/>
        <c:crosses val="autoZero"/>
        <c:auto val="1"/>
        <c:lblAlgn val="ctr"/>
        <c:lblOffset val="100"/>
        <c:noMultiLvlLbl val="0"/>
      </c:catAx>
      <c:valAx>
        <c:axId val="129278336"/>
        <c:scaling>
          <c:orientation val="minMax"/>
        </c:scaling>
        <c:delete val="0"/>
        <c:axPos val="l"/>
        <c:majorGridlines/>
        <c:numFmt formatCode="_(* #,##0.0000_);_(* \(#,##0.0000\);_(* &quot;-&quot;??_);_(@_)" sourceLinked="1"/>
        <c:majorTickMark val="out"/>
        <c:minorTickMark val="none"/>
        <c:tickLblPos val="nextTo"/>
        <c:crossAx val="12926016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2.xml"/><Relationship Id="rId13" Type="http://schemas.openxmlformats.org/officeDocument/2006/relationships/chart" Target="../charts/chart17.xml"/><Relationship Id="rId3" Type="http://schemas.openxmlformats.org/officeDocument/2006/relationships/chart" Target="../charts/chart7.xml"/><Relationship Id="rId7" Type="http://schemas.openxmlformats.org/officeDocument/2006/relationships/chart" Target="../charts/chart11.xml"/><Relationship Id="rId12" Type="http://schemas.openxmlformats.org/officeDocument/2006/relationships/chart" Target="../charts/chart16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6" Type="http://schemas.openxmlformats.org/officeDocument/2006/relationships/chart" Target="../charts/chart10.xml"/><Relationship Id="rId11" Type="http://schemas.openxmlformats.org/officeDocument/2006/relationships/chart" Target="../charts/chart15.xml"/><Relationship Id="rId5" Type="http://schemas.openxmlformats.org/officeDocument/2006/relationships/chart" Target="../charts/chart9.xml"/><Relationship Id="rId10" Type="http://schemas.openxmlformats.org/officeDocument/2006/relationships/chart" Target="../charts/chart14.xml"/><Relationship Id="rId4" Type="http://schemas.openxmlformats.org/officeDocument/2006/relationships/chart" Target="../charts/chart8.xml"/><Relationship Id="rId9" Type="http://schemas.openxmlformats.org/officeDocument/2006/relationships/chart" Target="../charts/chart13.xml"/><Relationship Id="rId14" Type="http://schemas.openxmlformats.org/officeDocument/2006/relationships/chart" Target="../charts/chart18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80683</xdr:colOff>
      <xdr:row>129</xdr:row>
      <xdr:rowOff>85165</xdr:rowOff>
    </xdr:from>
    <xdr:to>
      <xdr:col>8</xdr:col>
      <xdr:colOff>412376</xdr:colOff>
      <xdr:row>145</xdr:row>
      <xdr:rowOff>170329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457199</xdr:colOff>
      <xdr:row>176</xdr:row>
      <xdr:rowOff>4482</xdr:rowOff>
    </xdr:from>
    <xdr:to>
      <xdr:col>9</xdr:col>
      <xdr:colOff>582705</xdr:colOff>
      <xdr:row>191</xdr:row>
      <xdr:rowOff>58270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2967317</xdr:colOff>
      <xdr:row>176</xdr:row>
      <xdr:rowOff>147917</xdr:rowOff>
    </xdr:from>
    <xdr:to>
      <xdr:col>4</xdr:col>
      <xdr:colOff>457199</xdr:colOff>
      <xdr:row>192</xdr:row>
      <xdr:rowOff>22411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358589</xdr:colOff>
      <xdr:row>165</xdr:row>
      <xdr:rowOff>76200</xdr:rowOff>
    </xdr:from>
    <xdr:to>
      <xdr:col>12</xdr:col>
      <xdr:colOff>457200</xdr:colOff>
      <xdr:row>180</xdr:row>
      <xdr:rowOff>129988</xdr:rowOff>
    </xdr:to>
    <xdr:graphicFrame macro="">
      <xdr:nvGraphicFramePr>
        <xdr:cNvPr id="10" name="Chart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561975</xdr:colOff>
      <xdr:row>18</xdr:row>
      <xdr:rowOff>142874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290944</xdr:colOff>
      <xdr:row>45</xdr:row>
      <xdr:rowOff>21772</xdr:rowOff>
    </xdr:from>
    <xdr:to>
      <xdr:col>16</xdr:col>
      <xdr:colOff>293913</xdr:colOff>
      <xdr:row>68</xdr:row>
      <xdr:rowOff>61047</xdr:rowOff>
    </xdr:to>
    <xdr:graphicFrame macro="">
      <xdr:nvGraphicFramePr>
        <xdr:cNvPr id="15" name="Chart 1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138546</xdr:colOff>
      <xdr:row>0</xdr:row>
      <xdr:rowOff>41563</xdr:rowOff>
    </xdr:from>
    <xdr:to>
      <xdr:col>24</xdr:col>
      <xdr:colOff>62753</xdr:colOff>
      <xdr:row>21</xdr:row>
      <xdr:rowOff>125506</xdr:rowOff>
    </xdr:to>
    <xdr:graphicFrame macro="">
      <xdr:nvGraphicFramePr>
        <xdr:cNvPr id="22" name="Chart 2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313764</xdr:colOff>
      <xdr:row>67</xdr:row>
      <xdr:rowOff>125505</xdr:rowOff>
    </xdr:from>
    <xdr:to>
      <xdr:col>16</xdr:col>
      <xdr:colOff>452309</xdr:colOff>
      <xdr:row>90</xdr:row>
      <xdr:rowOff>94536</xdr:rowOff>
    </xdr:to>
    <xdr:graphicFrame macro="">
      <xdr:nvGraphicFramePr>
        <xdr:cNvPr id="25" name="Chart 2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138545</xdr:colOff>
      <xdr:row>94</xdr:row>
      <xdr:rowOff>83128</xdr:rowOff>
    </xdr:from>
    <xdr:to>
      <xdr:col>17</xdr:col>
      <xdr:colOff>465116</xdr:colOff>
      <xdr:row>120</xdr:row>
      <xdr:rowOff>115786</xdr:rowOff>
    </xdr:to>
    <xdr:graphicFrame macro="">
      <xdr:nvGraphicFramePr>
        <xdr:cNvPr id="21" name="Chart 2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0</xdr:colOff>
      <xdr:row>21</xdr:row>
      <xdr:rowOff>0</xdr:rowOff>
    </xdr:from>
    <xdr:to>
      <xdr:col>6</xdr:col>
      <xdr:colOff>561975</xdr:colOff>
      <xdr:row>39</xdr:row>
      <xdr:rowOff>142874</xdr:rowOff>
    </xdr:to>
    <xdr:graphicFrame macro="">
      <xdr:nvGraphicFramePr>
        <xdr:cNvPr id="26" name="Chart 2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123</xdr:row>
      <xdr:rowOff>124690</xdr:rowOff>
    </xdr:from>
    <xdr:to>
      <xdr:col>8</xdr:col>
      <xdr:colOff>326571</xdr:colOff>
      <xdr:row>149</xdr:row>
      <xdr:rowOff>157348</xdr:rowOff>
    </xdr:to>
    <xdr:graphicFrame macro="">
      <xdr:nvGraphicFramePr>
        <xdr:cNvPr id="17" name="Chart 1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235527</xdr:colOff>
      <xdr:row>123</xdr:row>
      <xdr:rowOff>92092</xdr:rowOff>
    </xdr:from>
    <xdr:to>
      <xdr:col>18</xdr:col>
      <xdr:colOff>197427</xdr:colOff>
      <xdr:row>150</xdr:row>
      <xdr:rowOff>164217</xdr:rowOff>
    </xdr:to>
    <xdr:graphicFrame macro="">
      <xdr:nvGraphicFramePr>
        <xdr:cNvPr id="20" name="Chart 1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0</xdr:colOff>
      <xdr:row>178</xdr:row>
      <xdr:rowOff>0</xdr:rowOff>
    </xdr:from>
    <xdr:to>
      <xdr:col>9</xdr:col>
      <xdr:colOff>97970</xdr:colOff>
      <xdr:row>203</xdr:row>
      <xdr:rowOff>43543</xdr:rowOff>
    </xdr:to>
    <xdr:graphicFrame macro="">
      <xdr:nvGraphicFramePr>
        <xdr:cNvPr id="19" name="Chart 1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8</xdr:col>
      <xdr:colOff>108857</xdr:colOff>
      <xdr:row>0</xdr:row>
      <xdr:rowOff>0</xdr:rowOff>
    </xdr:from>
    <xdr:to>
      <xdr:col>16</xdr:col>
      <xdr:colOff>33064</xdr:colOff>
      <xdr:row>21</xdr:row>
      <xdr:rowOff>83943</xdr:rowOff>
    </xdr:to>
    <xdr:graphicFrame macro="">
      <xdr:nvGraphicFramePr>
        <xdr:cNvPr id="24" name="Chart 2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0</xdr:colOff>
      <xdr:row>44</xdr:row>
      <xdr:rowOff>0</xdr:rowOff>
    </xdr:from>
    <xdr:to>
      <xdr:col>8</xdr:col>
      <xdr:colOff>2969</xdr:colOff>
      <xdr:row>67</xdr:row>
      <xdr:rowOff>39275</xdr:rowOff>
    </xdr:to>
    <xdr:graphicFrame macro="">
      <xdr:nvGraphicFramePr>
        <xdr:cNvPr id="32" name="Chart 3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0</xdr:colOff>
      <xdr:row>93</xdr:row>
      <xdr:rowOff>10886</xdr:rowOff>
    </xdr:from>
    <xdr:to>
      <xdr:col>8</xdr:col>
      <xdr:colOff>326571</xdr:colOff>
      <xdr:row>119</xdr:row>
      <xdr:rowOff>43544</xdr:rowOff>
    </xdr:to>
    <xdr:graphicFrame macro="">
      <xdr:nvGraphicFramePr>
        <xdr:cNvPr id="31" name="Chart 3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17</xdr:col>
      <xdr:colOff>0</xdr:colOff>
      <xdr:row>45</xdr:row>
      <xdr:rowOff>0</xdr:rowOff>
    </xdr:from>
    <xdr:to>
      <xdr:col>25</xdr:col>
      <xdr:colOff>2969</xdr:colOff>
      <xdr:row>68</xdr:row>
      <xdr:rowOff>39275</xdr:rowOff>
    </xdr:to>
    <xdr:graphicFrame macro="">
      <xdr:nvGraphicFramePr>
        <xdr:cNvPr id="33" name="Chart 3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8</xdr:col>
      <xdr:colOff>0</xdr:colOff>
      <xdr:row>22</xdr:row>
      <xdr:rowOff>0</xdr:rowOff>
    </xdr:from>
    <xdr:to>
      <xdr:col>14</xdr:col>
      <xdr:colOff>561975</xdr:colOff>
      <xdr:row>40</xdr:row>
      <xdr:rowOff>142874</xdr:rowOff>
    </xdr:to>
    <xdr:graphicFrame macro="">
      <xdr:nvGraphicFramePr>
        <xdr:cNvPr id="34" name="Chart 3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60</xdr:col>
      <xdr:colOff>6</xdr:colOff>
      <xdr:row>97</xdr:row>
      <xdr:rowOff>95250</xdr:rowOff>
    </xdr:from>
    <xdr:to>
      <xdr:col>63</xdr:col>
      <xdr:colOff>891546</xdr:colOff>
      <xdr:row>107</xdr:row>
      <xdr:rowOff>102870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42"/>
  <sheetViews>
    <sheetView workbookViewId="0">
      <selection activeCell="N5" sqref="N5"/>
    </sheetView>
  </sheetViews>
  <sheetFormatPr defaultColWidth="8.90625" defaultRowHeight="19.25" customHeight="1" x14ac:dyDescent="0.25"/>
  <cols>
    <col min="1" max="16384" width="8.90625" style="125"/>
  </cols>
  <sheetData>
    <row r="1" spans="1:1" ht="20.399999999999999" customHeight="1" thickBot="1" x14ac:dyDescent="0.45">
      <c r="A1" s="124" t="s">
        <v>317</v>
      </c>
    </row>
    <row r="2" spans="1:1" ht="19.25" customHeight="1" thickTop="1" x14ac:dyDescent="0.25"/>
    <row r="3" spans="1:1" ht="19.25" customHeight="1" x14ac:dyDescent="0.25">
      <c r="A3" s="125" t="s">
        <v>344</v>
      </c>
    </row>
    <row r="4" spans="1:1" ht="19.25" customHeight="1" x14ac:dyDescent="0.25">
      <c r="A4" s="125" t="s">
        <v>345</v>
      </c>
    </row>
    <row r="5" spans="1:1" ht="19.25" customHeight="1" x14ac:dyDescent="0.25">
      <c r="A5" s="125" t="s">
        <v>346</v>
      </c>
    </row>
    <row r="6" spans="1:1" ht="19.25" customHeight="1" x14ac:dyDescent="0.25">
      <c r="A6" s="125" t="s">
        <v>347</v>
      </c>
    </row>
    <row r="8" spans="1:1" ht="19.25" customHeight="1" thickBot="1" x14ac:dyDescent="0.4">
      <c r="A8" s="126" t="s">
        <v>323</v>
      </c>
    </row>
    <row r="9" spans="1:1" ht="19.25" customHeight="1" thickTop="1" x14ac:dyDescent="0.25">
      <c r="A9" s="125" t="s">
        <v>324</v>
      </c>
    </row>
    <row r="10" spans="1:1" ht="19.25" customHeight="1" x14ac:dyDescent="0.25">
      <c r="A10" s="125" t="s">
        <v>325</v>
      </c>
    </row>
    <row r="11" spans="1:1" ht="19.25" customHeight="1" x14ac:dyDescent="0.25">
      <c r="A11" s="125" t="s">
        <v>326</v>
      </c>
    </row>
    <row r="12" spans="1:1" ht="19.25" customHeight="1" x14ac:dyDescent="0.25">
      <c r="A12" s="125" t="s">
        <v>327</v>
      </c>
    </row>
    <row r="13" spans="1:1" ht="19.25" customHeight="1" x14ac:dyDescent="0.25">
      <c r="A13" s="125" t="s">
        <v>328</v>
      </c>
    </row>
    <row r="14" spans="1:1" ht="19.25" customHeight="1" x14ac:dyDescent="0.25">
      <c r="A14" s="125" t="s">
        <v>329</v>
      </c>
    </row>
    <row r="15" spans="1:1" ht="19.25" customHeight="1" x14ac:dyDescent="0.25">
      <c r="A15" s="125" t="s">
        <v>330</v>
      </c>
    </row>
    <row r="18" spans="1:1" ht="19.25" customHeight="1" thickBot="1" x14ac:dyDescent="0.4">
      <c r="A18" s="126" t="s">
        <v>255</v>
      </c>
    </row>
    <row r="19" spans="1:1" ht="19.25" customHeight="1" thickTop="1" x14ac:dyDescent="0.25">
      <c r="A19" s="127" t="s">
        <v>256</v>
      </c>
    </row>
    <row r="20" spans="1:1" ht="19.25" customHeight="1" x14ac:dyDescent="0.25">
      <c r="A20" s="127" t="s">
        <v>257</v>
      </c>
    </row>
    <row r="21" spans="1:1" ht="19.25" customHeight="1" x14ac:dyDescent="0.25">
      <c r="A21" s="127" t="s">
        <v>258</v>
      </c>
    </row>
    <row r="22" spans="1:1" ht="19.25" customHeight="1" x14ac:dyDescent="0.25">
      <c r="A22" s="127" t="s">
        <v>259</v>
      </c>
    </row>
    <row r="23" spans="1:1" ht="19.25" customHeight="1" x14ac:dyDescent="0.25">
      <c r="A23" s="127"/>
    </row>
    <row r="24" spans="1:1" ht="19.25" customHeight="1" thickBot="1" x14ac:dyDescent="0.4">
      <c r="A24" s="126" t="s">
        <v>260</v>
      </c>
    </row>
    <row r="25" spans="1:1" ht="19.25" customHeight="1" thickTop="1" x14ac:dyDescent="0.25">
      <c r="A25" s="125" t="s">
        <v>318</v>
      </c>
    </row>
    <row r="27" spans="1:1" ht="19.25" customHeight="1" thickBot="1" x14ac:dyDescent="0.4">
      <c r="A27" s="126" t="s">
        <v>260</v>
      </c>
    </row>
    <row r="28" spans="1:1" ht="19.25" customHeight="1" thickTop="1" x14ac:dyDescent="0.25">
      <c r="A28" s="125" t="s">
        <v>331</v>
      </c>
    </row>
    <row r="29" spans="1:1" ht="19.25" customHeight="1" x14ac:dyDescent="0.25">
      <c r="A29" s="125" t="s">
        <v>332</v>
      </c>
    </row>
    <row r="30" spans="1:1" ht="19.25" customHeight="1" x14ac:dyDescent="0.25">
      <c r="A30" s="125" t="s">
        <v>333</v>
      </c>
    </row>
    <row r="32" spans="1:1" ht="19.25" customHeight="1" thickBot="1" x14ac:dyDescent="0.4">
      <c r="A32" s="126" t="s">
        <v>334</v>
      </c>
    </row>
    <row r="33" spans="1:1" ht="19.25" customHeight="1" thickTop="1" x14ac:dyDescent="0.25">
      <c r="A33" s="125" t="s">
        <v>335</v>
      </c>
    </row>
    <row r="34" spans="1:1" ht="19.25" customHeight="1" x14ac:dyDescent="0.25">
      <c r="A34" s="125" t="s">
        <v>336</v>
      </c>
    </row>
    <row r="35" spans="1:1" ht="19.25" customHeight="1" x14ac:dyDescent="0.25">
      <c r="A35" s="125" t="s">
        <v>337</v>
      </c>
    </row>
    <row r="37" spans="1:1" ht="19.25" customHeight="1" thickBot="1" x14ac:dyDescent="0.4">
      <c r="A37" s="126" t="s">
        <v>338</v>
      </c>
    </row>
    <row r="38" spans="1:1" ht="19.25" customHeight="1" thickTop="1" x14ac:dyDescent="0.25">
      <c r="A38" s="125" t="s">
        <v>321</v>
      </c>
    </row>
    <row r="39" spans="1:1" ht="19.25" customHeight="1" x14ac:dyDescent="0.25">
      <c r="A39" s="125" t="s">
        <v>274</v>
      </c>
    </row>
    <row r="41" spans="1:1" ht="19.25" customHeight="1" x14ac:dyDescent="0.25">
      <c r="A41" s="125" t="s">
        <v>319</v>
      </c>
    </row>
    <row r="42" spans="1:1" ht="19.25" customHeight="1" x14ac:dyDescent="0.25">
      <c r="A42" s="125" t="s">
        <v>320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J176"/>
  <sheetViews>
    <sheetView topLeftCell="A37" zoomScale="85" zoomScaleNormal="85" workbookViewId="0">
      <selection activeCell="B89" sqref="B89"/>
    </sheetView>
  </sheetViews>
  <sheetFormatPr defaultColWidth="10.54296875" defaultRowHeight="14.25" customHeight="1" x14ac:dyDescent="0.35"/>
  <cols>
    <col min="1" max="1" width="62" style="129" customWidth="1"/>
    <col min="2" max="2" width="18" style="128" customWidth="1"/>
    <col min="3" max="3" width="12.54296875" style="129" customWidth="1"/>
    <col min="4" max="7" width="10.6328125" style="129" customWidth="1"/>
    <col min="8" max="8" width="10.36328125" style="129" customWidth="1"/>
    <col min="9" max="9" width="11.6328125" style="129" customWidth="1"/>
    <col min="10" max="10" width="10.36328125" style="129" customWidth="1"/>
    <col min="11" max="12" width="11.08984375" style="129" customWidth="1"/>
    <col min="13" max="14" width="9.453125" style="129" customWidth="1"/>
    <col min="15" max="18" width="7.54296875" style="129" customWidth="1"/>
    <col min="19" max="73" width="11.08984375" style="129" bestFit="1" customWidth="1"/>
    <col min="74" max="100" width="12.08984375" style="129" bestFit="1" customWidth="1"/>
    <col min="101" max="124" width="13.90625" style="129" bestFit="1" customWidth="1"/>
    <col min="125" max="140" width="10.6328125" style="129" bestFit="1" customWidth="1"/>
    <col min="141" max="16384" width="10.54296875" style="129"/>
  </cols>
  <sheetData>
    <row r="1" spans="1:3" ht="21" customHeight="1" thickBot="1" x14ac:dyDescent="0.5">
      <c r="A1" s="142" t="s">
        <v>273</v>
      </c>
    </row>
    <row r="2" spans="1:3" ht="21" customHeight="1" thickTop="1" x14ac:dyDescent="0.35">
      <c r="B2" s="128" t="s">
        <v>124</v>
      </c>
      <c r="C2" s="129" t="s">
        <v>111</v>
      </c>
    </row>
    <row r="4" spans="1:3" ht="17.25" customHeight="1" thickBot="1" x14ac:dyDescent="0.5">
      <c r="A4" s="142" t="s">
        <v>104</v>
      </c>
    </row>
    <row r="5" spans="1:3" ht="17.25" customHeight="1" thickTop="1" x14ac:dyDescent="0.35">
      <c r="A5" s="129" t="s">
        <v>30</v>
      </c>
      <c r="B5" s="128">
        <v>1.4999999999999999E-2</v>
      </c>
      <c r="C5" s="129" t="s">
        <v>112</v>
      </c>
    </row>
    <row r="6" spans="1:3" ht="17.25" customHeight="1" x14ac:dyDescent="0.35">
      <c r="A6" s="129" t="s">
        <v>34</v>
      </c>
      <c r="B6" s="128">
        <v>1.45</v>
      </c>
      <c r="C6" s="129" t="s">
        <v>112</v>
      </c>
    </row>
    <row r="7" spans="1:3" ht="17.25" customHeight="1" x14ac:dyDescent="0.35">
      <c r="A7" s="129" t="s">
        <v>81</v>
      </c>
      <c r="B7" s="128">
        <v>0</v>
      </c>
      <c r="C7" s="129" t="s">
        <v>156</v>
      </c>
    </row>
    <row r="8" spans="1:3" ht="17.25" customHeight="1" x14ac:dyDescent="0.35">
      <c r="A8" s="129" t="s">
        <v>82</v>
      </c>
      <c r="B8" s="128">
        <v>2.1310000000000001E-3</v>
      </c>
      <c r="C8" s="129" t="s">
        <v>156</v>
      </c>
    </row>
    <row r="9" spans="1:3" ht="17.25" customHeight="1" x14ac:dyDescent="0.35">
      <c r="A9" s="129" t="s">
        <v>20</v>
      </c>
      <c r="B9" s="128">
        <v>2</v>
      </c>
      <c r="C9" s="129" t="s">
        <v>113</v>
      </c>
    </row>
    <row r="10" spans="1:3" ht="17.25" customHeight="1" x14ac:dyDescent="0.35">
      <c r="A10" s="129" t="s">
        <v>267</v>
      </c>
      <c r="B10" s="128">
        <v>344</v>
      </c>
      <c r="C10" s="129" t="s">
        <v>114</v>
      </c>
    </row>
    <row r="11" spans="1:3" ht="17.25" customHeight="1" x14ac:dyDescent="0.35">
      <c r="A11" s="129" t="s">
        <v>37</v>
      </c>
      <c r="B11" s="128">
        <v>2.8</v>
      </c>
      <c r="C11" s="129" t="s">
        <v>114</v>
      </c>
    </row>
    <row r="12" spans="1:3" ht="17.25" customHeight="1" x14ac:dyDescent="0.35">
      <c r="A12" s="129" t="s">
        <v>115</v>
      </c>
      <c r="B12" s="128">
        <v>2250</v>
      </c>
      <c r="C12" s="129" t="s">
        <v>116</v>
      </c>
    </row>
    <row r="13" spans="1:3" ht="17.25" customHeight="1" x14ac:dyDescent="0.35">
      <c r="A13" s="129" t="s">
        <v>28</v>
      </c>
      <c r="B13" s="128">
        <v>6000</v>
      </c>
      <c r="C13" s="129" t="s">
        <v>117</v>
      </c>
    </row>
    <row r="14" spans="1:3" ht="17.25" customHeight="1" x14ac:dyDescent="0.35">
      <c r="A14" s="129" t="s">
        <v>72</v>
      </c>
      <c r="B14" s="128">
        <v>3.2</v>
      </c>
      <c r="C14" s="129" t="s">
        <v>128</v>
      </c>
    </row>
    <row r="15" spans="1:3" ht="17.25" customHeight="1" x14ac:dyDescent="0.35">
      <c r="A15" s="129" t="s">
        <v>105</v>
      </c>
      <c r="B15" s="130">
        <v>-0.01</v>
      </c>
      <c r="C15" s="129" t="s">
        <v>118</v>
      </c>
    </row>
    <row r="16" spans="1:3" ht="17.25" customHeight="1" x14ac:dyDescent="0.35">
      <c r="A16" s="129" t="s">
        <v>123</v>
      </c>
      <c r="B16" s="128">
        <v>8.8000000000000007</v>
      </c>
      <c r="C16" s="129" t="s">
        <v>59</v>
      </c>
    </row>
    <row r="17" spans="1:16" ht="17.25" customHeight="1" x14ac:dyDescent="0.35">
      <c r="A17" s="129" t="s">
        <v>77</v>
      </c>
      <c r="B17" s="128">
        <v>6.4397046086323555E-3</v>
      </c>
      <c r="C17" s="129" t="s">
        <v>180</v>
      </c>
    </row>
    <row r="18" spans="1:16" ht="17.25" customHeight="1" x14ac:dyDescent="0.35">
      <c r="A18" s="129" t="s">
        <v>75</v>
      </c>
      <c r="B18" s="128">
        <v>4</v>
      </c>
      <c r="C18" s="129" t="s">
        <v>157</v>
      </c>
    </row>
    <row r="19" spans="1:16" ht="17.25" customHeight="1" x14ac:dyDescent="0.35">
      <c r="A19" s="129" t="s">
        <v>76</v>
      </c>
      <c r="B19" s="128">
        <v>3</v>
      </c>
      <c r="C19" s="129" t="s">
        <v>157</v>
      </c>
    </row>
    <row r="20" spans="1:16" ht="17.25" customHeight="1" x14ac:dyDescent="0.35">
      <c r="A20" s="129" t="s">
        <v>158</v>
      </c>
      <c r="B20" s="128">
        <v>0</v>
      </c>
      <c r="C20" s="129" t="s">
        <v>193</v>
      </c>
    </row>
    <row r="21" spans="1:16" ht="17.25" customHeight="1" x14ac:dyDescent="0.35">
      <c r="A21" s="129" t="s">
        <v>134</v>
      </c>
      <c r="B21" s="128">
        <v>5</v>
      </c>
      <c r="C21" s="129" t="s">
        <v>193</v>
      </c>
    </row>
    <row r="22" spans="1:16" ht="17.25" customHeight="1" x14ac:dyDescent="0.35">
      <c r="A22" s="129" t="s">
        <v>171</v>
      </c>
      <c r="B22" s="128">
        <v>0</v>
      </c>
      <c r="C22" s="129" t="s">
        <v>194</v>
      </c>
    </row>
    <row r="23" spans="1:16" ht="17.25" customHeight="1" x14ac:dyDescent="0.35">
      <c r="A23" s="129" t="s">
        <v>166</v>
      </c>
      <c r="B23" s="128">
        <v>1.2</v>
      </c>
      <c r="C23" s="129" t="s">
        <v>194</v>
      </c>
    </row>
    <row r="24" spans="1:16" ht="17.25" customHeight="1" x14ac:dyDescent="0.35">
      <c r="A24" s="129" t="s">
        <v>170</v>
      </c>
      <c r="B24" s="128">
        <v>0.5</v>
      </c>
      <c r="C24" s="129" t="s">
        <v>194</v>
      </c>
    </row>
    <row r="25" spans="1:16" ht="17.25" customHeight="1" x14ac:dyDescent="0.35">
      <c r="A25" s="129" t="s">
        <v>142</v>
      </c>
      <c r="B25" s="128">
        <v>1.25</v>
      </c>
      <c r="C25" s="129" t="s">
        <v>172</v>
      </c>
    </row>
    <row r="26" spans="1:16" ht="17.25" customHeight="1" x14ac:dyDescent="0.35">
      <c r="A26" s="129" t="s">
        <v>159</v>
      </c>
      <c r="B26" s="128">
        <v>2.5000000000000001E-2</v>
      </c>
      <c r="C26" s="129" t="s">
        <v>173</v>
      </c>
    </row>
    <row r="27" spans="1:16" ht="17.25" customHeight="1" x14ac:dyDescent="0.35">
      <c r="A27" s="129" t="s">
        <v>176</v>
      </c>
      <c r="B27" s="128">
        <v>4</v>
      </c>
      <c r="C27" s="129" t="s">
        <v>177</v>
      </c>
    </row>
    <row r="28" spans="1:16" ht="17.25" customHeight="1" x14ac:dyDescent="0.35">
      <c r="A28" s="129" t="s">
        <v>268</v>
      </c>
      <c r="B28" s="128">
        <v>0.8</v>
      </c>
      <c r="C28" s="129" t="s">
        <v>102</v>
      </c>
    </row>
    <row r="29" spans="1:16" ht="17.25" customHeight="1" x14ac:dyDescent="0.35">
      <c r="A29" s="129" t="s">
        <v>107</v>
      </c>
      <c r="B29" s="128">
        <v>1</v>
      </c>
      <c r="C29" s="129" t="s">
        <v>193</v>
      </c>
    </row>
    <row r="30" spans="1:16" ht="17.399999999999999" customHeight="1" x14ac:dyDescent="0.35">
      <c r="A30" s="129" t="s">
        <v>206</v>
      </c>
      <c r="B30" s="128">
        <v>1</v>
      </c>
    </row>
    <row r="31" spans="1:16" ht="26" customHeight="1" thickBot="1" x14ac:dyDescent="0.5">
      <c r="A31" s="142" t="s">
        <v>103</v>
      </c>
      <c r="F31" s="129" t="s">
        <v>47</v>
      </c>
      <c r="G31" s="129" t="s">
        <v>130</v>
      </c>
      <c r="H31" s="129" t="s">
        <v>23</v>
      </c>
      <c r="I31" s="129" t="s">
        <v>24</v>
      </c>
      <c r="J31" s="129" t="s">
        <v>25</v>
      </c>
      <c r="K31" s="129" t="s">
        <v>26</v>
      </c>
      <c r="L31" s="129" t="s">
        <v>136</v>
      </c>
      <c r="M31" s="129" t="s">
        <v>137</v>
      </c>
      <c r="N31" s="129" t="s">
        <v>138</v>
      </c>
      <c r="O31" s="129" t="s">
        <v>139</v>
      </c>
      <c r="P31" s="129" t="s">
        <v>99</v>
      </c>
    </row>
    <row r="32" spans="1:16" ht="17.25" customHeight="1" thickTop="1" x14ac:dyDescent="0.35">
      <c r="A32" s="129" t="s">
        <v>51</v>
      </c>
      <c r="B32" s="128">
        <v>0.3</v>
      </c>
      <c r="C32" s="129" t="s">
        <v>91</v>
      </c>
    </row>
    <row r="33" spans="1:140" ht="17.25" customHeight="1" x14ac:dyDescent="0.35">
      <c r="A33" s="129" t="s">
        <v>48</v>
      </c>
      <c r="B33" s="128">
        <v>0.1</v>
      </c>
      <c r="C33" s="129" t="s">
        <v>91</v>
      </c>
    </row>
    <row r="34" spans="1:140" ht="17.25" customHeight="1" x14ac:dyDescent="0.35">
      <c r="A34" s="129" t="s">
        <v>22</v>
      </c>
      <c r="B34" s="128">
        <v>66.95</v>
      </c>
      <c r="C34" s="129" t="s">
        <v>263</v>
      </c>
      <c r="E34" s="129">
        <v>13.087925255874296</v>
      </c>
      <c r="F34" s="129">
        <v>13.643107611359378</v>
      </c>
      <c r="G34" s="129">
        <v>3.8953293931094133</v>
      </c>
      <c r="H34" s="129">
        <v>2.0100133342943636</v>
      </c>
      <c r="I34" s="129">
        <v>9.1176805535534093</v>
      </c>
      <c r="J34" s="129">
        <v>3.6559274542309352</v>
      </c>
      <c r="K34" s="129">
        <v>3.3192257099610778</v>
      </c>
      <c r="L34" s="129">
        <v>6.659702501081159</v>
      </c>
      <c r="M34" s="129">
        <v>2.0179850800057664</v>
      </c>
      <c r="N34" s="129">
        <v>4.1103412858584401</v>
      </c>
      <c r="O34" s="129">
        <v>5.5010892676949883</v>
      </c>
      <c r="P34" s="129">
        <v>0</v>
      </c>
    </row>
    <row r="35" spans="1:140" s="131" customFormat="1" ht="17.25" customHeight="1" x14ac:dyDescent="0.35">
      <c r="A35" s="131" t="s">
        <v>196</v>
      </c>
      <c r="B35" s="132">
        <v>6838</v>
      </c>
      <c r="C35" s="7">
        <v>7162.4244978363549</v>
      </c>
      <c r="D35" s="7">
        <v>7482.6379056423466</v>
      </c>
      <c r="E35" s="7">
        <v>7796.4159061191067</v>
      </c>
      <c r="F35" s="7">
        <v>8101.0499961779087</v>
      </c>
      <c r="G35" s="7">
        <v>8393.7906593467924</v>
      </c>
      <c r="H35" s="7">
        <v>8671.8907496576139</v>
      </c>
      <c r="I35" s="7">
        <v>8932.6508339568154</v>
      </c>
      <c r="J35" s="7">
        <v>9173.4653509243653</v>
      </c>
      <c r="K35" s="7">
        <v>9391.8683824360596</v>
      </c>
      <c r="L35" s="7">
        <v>9585.5778142633881</v>
      </c>
      <c r="M35" s="7">
        <v>9752.5366901552497</v>
      </c>
      <c r="N35" s="7">
        <v>9890.9506353962734</v>
      </c>
      <c r="O35" s="7">
        <v>9999.320340176866</v>
      </c>
      <c r="P35" s="7">
        <v>10076.468244596765</v>
      </c>
      <c r="Q35" s="7">
        <v>10121.558749171985</v>
      </c>
      <c r="R35" s="7">
        <v>10134.11147917772</v>
      </c>
      <c r="S35" s="7">
        <v>10114.007349027466</v>
      </c>
      <c r="T35" s="7">
        <v>10061.487394680604</v>
      </c>
      <c r="U35" s="7">
        <v>10097.975795537552</v>
      </c>
      <c r="V35" s="7">
        <v>10133.279505783681</v>
      </c>
      <c r="W35" s="7">
        <v>10167.060769913012</v>
      </c>
      <c r="X35" s="7">
        <v>10199.099477930211</v>
      </c>
      <c r="Y35" s="7">
        <v>10229.266082121017</v>
      </c>
      <c r="Z35" s="7">
        <v>10257.500014868614</v>
      </c>
      <c r="AA35" s="7">
        <v>10283.792542088673</v>
      </c>
      <c r="AB35" s="7">
        <v>10308.173192768421</v>
      </c>
      <c r="AC35" s="7">
        <v>10330.699069257773</v>
      </c>
      <c r="AD35" s="7">
        <v>10351.446474817529</v>
      </c>
      <c r="AE35" s="7">
        <v>10370.504401429427</v>
      </c>
      <c r="AF35" s="7">
        <v>10387.969507232518</v>
      </c>
      <c r="AG35" s="7">
        <v>10403.942283162462</v>
      </c>
      <c r="AH35" s="7">
        <v>10418.524165542294</v>
      </c>
      <c r="AI35" s="7">
        <v>10431.815397958688</v>
      </c>
      <c r="AJ35" s="7">
        <v>10443.913483718095</v>
      </c>
      <c r="AK35" s="7">
        <v>10454.912101092783</v>
      </c>
      <c r="AL35" s="7">
        <v>10464.900378722288</v>
      </c>
      <c r="AM35" s="7">
        <v>10473.962448978205</v>
      </c>
      <c r="AN35" s="7">
        <v>10482.177213687328</v>
      </c>
      <c r="AO35" s="7">
        <v>10489.618270043087</v>
      </c>
      <c r="AP35" s="7">
        <v>10496.353955395494</v>
      </c>
      <c r="AQ35" s="7">
        <v>10502.44747836934</v>
      </c>
      <c r="AR35" s="7">
        <v>10507.957110808738</v>
      </c>
      <c r="AS35" s="7">
        <v>10512.936420702088</v>
      </c>
      <c r="AT35" s="7">
        <v>10517.434530767239</v>
      </c>
      <c r="AU35" s="7">
        <v>10521.496390985716</v>
      </c>
      <c r="AV35" s="7">
        <v>10525.163056242745</v>
      </c>
      <c r="AW35" s="7">
        <v>10528.471962499063</v>
      </c>
      <c r="AX35" s="7">
        <v>10531.457196707534</v>
      </c>
      <c r="AY35" s="7">
        <v>10534.149757087242</v>
      </c>
      <c r="AZ35" s="7">
        <v>10536.577801456682</v>
      </c>
      <c r="BA35" s="7">
        <v>10538.766882168473</v>
      </c>
      <c r="BB35" s="7">
        <v>10540.740166830958</v>
      </c>
      <c r="BC35" s="7">
        <v>10542.518644488075</v>
      </c>
      <c r="BD35" s="7">
        <v>10544.12131729063</v>
      </c>
      <c r="BE35" s="7">
        <v>10545.565377956176</v>
      </c>
      <c r="BF35" s="7">
        <v>10546.866373502296</v>
      </c>
      <c r="BG35" s="7">
        <v>10548.038355866085</v>
      </c>
      <c r="BH35" s="7">
        <v>10549.094020104681</v>
      </c>
      <c r="BI35" s="7">
        <v>10550.044830918649</v>
      </c>
    </row>
    <row r="36" spans="1:140" ht="17.25" customHeight="1" x14ac:dyDescent="0.35">
      <c r="A36" s="129" t="s">
        <v>88</v>
      </c>
      <c r="B36" s="143">
        <v>9.85</v>
      </c>
      <c r="C36" s="143">
        <v>11.274567569332813</v>
      </c>
      <c r="D36" s="143">
        <v>12.240950248735528</v>
      </c>
      <c r="E36" s="143">
        <v>13.199900506966344</v>
      </c>
      <c r="F36" s="143">
        <v>14.144552397631209</v>
      </c>
      <c r="G36" s="143">
        <v>15.077263643967758</v>
      </c>
      <c r="H36" s="143">
        <v>16.011846388385912</v>
      </c>
      <c r="I36" s="143">
        <v>17.019882924869691</v>
      </c>
      <c r="J36" s="143">
        <v>18.106149528055862</v>
      </c>
      <c r="K36" s="143">
        <v>19.247081695754691</v>
      </c>
      <c r="L36" s="143">
        <v>20.442549470146115</v>
      </c>
      <c r="M36" s="143">
        <v>21.692078004173116</v>
      </c>
      <c r="N36" s="143">
        <v>22.994835872458694</v>
      </c>
      <c r="O36" s="143">
        <v>24.349625948551221</v>
      </c>
      <c r="P36" s="143">
        <v>25.754878990107212</v>
      </c>
      <c r="Q36" s="143">
        <v>27.208650058279495</v>
      </c>
      <c r="R36" s="143">
        <v>28.708617878361231</v>
      </c>
      <c r="S36" s="143">
        <v>30.252087225687859</v>
      </c>
      <c r="T36" s="143">
        <v>31.835994394203468</v>
      </c>
      <c r="U36" s="143">
        <v>33.452172581415532</v>
      </c>
      <c r="V36" s="143">
        <v>35.087775044837272</v>
      </c>
      <c r="W36" s="143">
        <v>36.737843277901042</v>
      </c>
      <c r="X36" s="143">
        <v>38.39708864255789</v>
      </c>
      <c r="Y36" s="143">
        <v>40.059929769074095</v>
      </c>
      <c r="Z36" s="143">
        <v>41.720531260150899</v>
      </c>
      <c r="AA36" s="143">
        <v>43.372843730753139</v>
      </c>
      <c r="AB36" s="143">
        <v>45.010645160748489</v>
      </c>
      <c r="AC36" s="143">
        <v>46.627583478858696</v>
      </c>
      <c r="AD36" s="143">
        <v>48.217220238623547</v>
      </c>
      <c r="AE36" s="143">
        <v>49.773075193114906</v>
      </c>
      <c r="AF36" s="143">
        <v>51.288671526762727</v>
      </c>
      <c r="AG36" s="143">
        <v>52.757581460824092</v>
      </c>
      <c r="AH36" s="143">
        <v>54.173471914227314</v>
      </c>
      <c r="AI36" s="143">
        <v>55.530149873960269</v>
      </c>
      <c r="AJ36" s="143">
        <v>56.821607108877942</v>
      </c>
      <c r="AK36" s="143">
        <v>58.042063847707674</v>
      </c>
      <c r="AL36" s="143">
        <v>59.186011035982553</v>
      </c>
      <c r="AM36" s="143">
        <v>60.248250787429562</v>
      </c>
      <c r="AN36" s="143">
        <v>62.140103565330172</v>
      </c>
      <c r="AO36" s="143">
        <v>64.076426105192496</v>
      </c>
      <c r="AP36" s="143">
        <v>66.058033775697041</v>
      </c>
      <c r="AQ36" s="143">
        <v>68.085764864137687</v>
      </c>
      <c r="AR36" s="143">
        <v>70.160480435397375</v>
      </c>
      <c r="AS36" s="143">
        <v>72.283064213334995</v>
      </c>
      <c r="AT36" s="143">
        <v>74.454422487995146</v>
      </c>
      <c r="AU36" s="143">
        <v>76.675484050760176</v>
      </c>
      <c r="AV36" s="143">
        <v>77.830553445007951</v>
      </c>
      <c r="AW36" s="143">
        <v>79.003398265687295</v>
      </c>
      <c r="AX36" s="143">
        <v>80.194260267971501</v>
      </c>
      <c r="AY36" s="143">
        <v>81.403387065416112</v>
      </c>
      <c r="AZ36" s="143">
        <v>82.631032049394662</v>
      </c>
      <c r="BA36" s="143">
        <v>83.877454318029152</v>
      </c>
      <c r="BB36" s="143">
        <v>85.142918614551945</v>
      </c>
      <c r="BC36" s="143">
        <v>86.4276952749169</v>
      </c>
      <c r="BD36" s="143">
        <v>87.732060184395337</v>
      </c>
      <c r="BE36" s="143">
        <v>89.056294742835547</v>
      </c>
      <c r="BF36" s="143">
        <v>90.400685838226593</v>
      </c>
      <c r="BG36" s="143">
        <v>91.765525828187293</v>
      </c>
      <c r="BH36" s="143">
        <v>91.764273139617387</v>
      </c>
    </row>
    <row r="37" spans="1:140" ht="17.25" customHeight="1" x14ac:dyDescent="0.35">
      <c r="A37" s="129" t="s">
        <v>13</v>
      </c>
      <c r="B37" s="128">
        <v>135</v>
      </c>
      <c r="C37" s="129" t="s">
        <v>94</v>
      </c>
    </row>
    <row r="38" spans="1:140" ht="17.25" customHeight="1" x14ac:dyDescent="0.35">
      <c r="A38" s="129" t="s">
        <v>31</v>
      </c>
      <c r="B38" s="128">
        <v>3.7976214000000001</v>
      </c>
      <c r="C38" s="129">
        <f>+B38*C36/B36</f>
        <v>4.3468567590907892</v>
      </c>
    </row>
    <row r="39" spans="1:140" ht="17.25" customHeight="1" x14ac:dyDescent="0.35">
      <c r="A39" s="129" t="s">
        <v>162</v>
      </c>
      <c r="B39" s="128">
        <v>2.4</v>
      </c>
      <c r="D39" s="129" t="s">
        <v>264</v>
      </c>
    </row>
    <row r="40" spans="1:140" ht="26.4" customHeight="1" thickBot="1" x14ac:dyDescent="0.5">
      <c r="A40" s="142" t="s">
        <v>49</v>
      </c>
      <c r="C40" s="129">
        <f>+LN(C36/B36)/5</f>
        <v>2.7015615283345069E-2</v>
      </c>
      <c r="D40" s="129">
        <f>+LN(D36/C36)/5</f>
        <v>1.6447475434130974E-2</v>
      </c>
      <c r="E40" s="129">
        <f>+LN(E36/D36)/5</f>
        <v>1.5084476688301384E-2</v>
      </c>
      <c r="F40" s="129">
        <f>+LN(F36/E36)/5</f>
        <v>1.3824053636430722E-2</v>
      </c>
    </row>
    <row r="41" spans="1:140" ht="17.25" customHeight="1" thickTop="1" x14ac:dyDescent="0.35">
      <c r="A41" s="129" t="s">
        <v>78</v>
      </c>
      <c r="B41" s="128">
        <v>0.1</v>
      </c>
      <c r="C41" s="129" t="s">
        <v>91</v>
      </c>
    </row>
    <row r="42" spans="1:140" ht="17.25" customHeight="1" x14ac:dyDescent="0.35">
      <c r="A42" s="129" t="s">
        <v>79</v>
      </c>
      <c r="B42" s="128">
        <v>1</v>
      </c>
      <c r="C42" s="129" t="s">
        <v>91</v>
      </c>
    </row>
    <row r="43" spans="1:140" ht="29.4" customHeight="1" thickBot="1" x14ac:dyDescent="0.5">
      <c r="A43" s="142" t="s">
        <v>174</v>
      </c>
    </row>
    <row r="44" spans="1:140" s="133" customFormat="1" ht="17.25" customHeight="1" thickTop="1" x14ac:dyDescent="0.35">
      <c r="A44" s="133" t="s">
        <v>175</v>
      </c>
      <c r="B44" s="128">
        <v>2010</v>
      </c>
      <c r="C44" s="133">
        <v>2015</v>
      </c>
      <c r="D44" s="133">
        <v>2020</v>
      </c>
      <c r="E44" s="133">
        <v>2025</v>
      </c>
      <c r="F44" s="133">
        <v>2030</v>
      </c>
      <c r="G44" s="133">
        <v>2035</v>
      </c>
      <c r="H44" s="133">
        <v>2040</v>
      </c>
      <c r="I44" s="133">
        <v>2045</v>
      </c>
      <c r="J44" s="133">
        <v>2050</v>
      </c>
      <c r="K44" s="133">
        <v>2055</v>
      </c>
      <c r="L44" s="133">
        <v>2060</v>
      </c>
      <c r="M44" s="133">
        <v>2065</v>
      </c>
      <c r="N44" s="133">
        <v>2070</v>
      </c>
      <c r="O44" s="133">
        <v>2075</v>
      </c>
      <c r="P44" s="133">
        <v>2080</v>
      </c>
      <c r="Q44" s="133">
        <v>2085</v>
      </c>
      <c r="R44" s="133">
        <v>2090</v>
      </c>
      <c r="S44" s="133">
        <v>2095</v>
      </c>
      <c r="T44" s="133">
        <v>2100</v>
      </c>
      <c r="U44" s="133">
        <v>2105</v>
      </c>
      <c r="V44" s="133">
        <v>2110</v>
      </c>
      <c r="W44" s="133">
        <v>2115</v>
      </c>
      <c r="X44" s="133">
        <v>2120</v>
      </c>
      <c r="Y44" s="133">
        <v>2125</v>
      </c>
      <c r="Z44" s="133">
        <v>2130</v>
      </c>
      <c r="AA44" s="133">
        <v>2135</v>
      </c>
      <c r="AB44" s="133">
        <v>2140</v>
      </c>
      <c r="AC44" s="133">
        <v>2145</v>
      </c>
      <c r="AD44" s="133">
        <v>2150</v>
      </c>
      <c r="AE44" s="133">
        <v>2155</v>
      </c>
      <c r="AF44" s="133">
        <v>2160</v>
      </c>
      <c r="AG44" s="133">
        <v>2165</v>
      </c>
      <c r="AH44" s="133">
        <v>2170</v>
      </c>
      <c r="AI44" s="133">
        <v>2175</v>
      </c>
      <c r="AJ44" s="133">
        <v>2180</v>
      </c>
      <c r="AK44" s="133">
        <v>2185</v>
      </c>
      <c r="AL44" s="133">
        <v>2190</v>
      </c>
      <c r="AM44" s="133">
        <v>2195</v>
      </c>
      <c r="AN44" s="133">
        <v>2200</v>
      </c>
      <c r="AO44" s="133">
        <f>+AN44+5</f>
        <v>2205</v>
      </c>
      <c r="AP44" s="133">
        <f t="shared" ref="AP44:BW44" si="0">+AO44+5</f>
        <v>2210</v>
      </c>
      <c r="AQ44" s="133">
        <f t="shared" si="0"/>
        <v>2215</v>
      </c>
      <c r="AR44" s="133">
        <f t="shared" si="0"/>
        <v>2220</v>
      </c>
      <c r="AS44" s="133">
        <f t="shared" si="0"/>
        <v>2225</v>
      </c>
      <c r="AT44" s="133">
        <f t="shared" si="0"/>
        <v>2230</v>
      </c>
      <c r="AU44" s="133">
        <f t="shared" si="0"/>
        <v>2235</v>
      </c>
      <c r="AV44" s="133">
        <f t="shared" si="0"/>
        <v>2240</v>
      </c>
      <c r="AW44" s="133">
        <f t="shared" si="0"/>
        <v>2245</v>
      </c>
      <c r="AX44" s="133">
        <f t="shared" si="0"/>
        <v>2250</v>
      </c>
      <c r="AY44" s="133">
        <f t="shared" si="0"/>
        <v>2255</v>
      </c>
      <c r="AZ44" s="133">
        <f t="shared" si="0"/>
        <v>2260</v>
      </c>
      <c r="BA44" s="133">
        <f t="shared" si="0"/>
        <v>2265</v>
      </c>
      <c r="BB44" s="133">
        <f t="shared" si="0"/>
        <v>2270</v>
      </c>
      <c r="BC44" s="133">
        <f t="shared" si="0"/>
        <v>2275</v>
      </c>
      <c r="BD44" s="133">
        <f t="shared" si="0"/>
        <v>2280</v>
      </c>
      <c r="BE44" s="133">
        <f t="shared" si="0"/>
        <v>2285</v>
      </c>
      <c r="BF44" s="133">
        <f t="shared" si="0"/>
        <v>2290</v>
      </c>
      <c r="BG44" s="133">
        <f t="shared" si="0"/>
        <v>2295</v>
      </c>
      <c r="BH44" s="133">
        <f t="shared" si="0"/>
        <v>2300</v>
      </c>
      <c r="BI44" s="133">
        <f t="shared" si="0"/>
        <v>2305</v>
      </c>
      <c r="BJ44" s="133">
        <f t="shared" si="0"/>
        <v>2310</v>
      </c>
      <c r="BK44" s="133">
        <f t="shared" si="0"/>
        <v>2315</v>
      </c>
      <c r="BL44" s="133">
        <f t="shared" si="0"/>
        <v>2320</v>
      </c>
      <c r="BM44" s="133">
        <f t="shared" si="0"/>
        <v>2325</v>
      </c>
      <c r="BN44" s="133">
        <f t="shared" si="0"/>
        <v>2330</v>
      </c>
      <c r="BO44" s="133">
        <f t="shared" si="0"/>
        <v>2335</v>
      </c>
      <c r="BP44" s="133">
        <f t="shared" si="0"/>
        <v>2340</v>
      </c>
      <c r="BQ44" s="133">
        <f t="shared" si="0"/>
        <v>2345</v>
      </c>
      <c r="BR44" s="133">
        <f t="shared" si="0"/>
        <v>2350</v>
      </c>
      <c r="BS44" s="133">
        <f t="shared" si="0"/>
        <v>2355</v>
      </c>
      <c r="BT44" s="133">
        <f t="shared" si="0"/>
        <v>2360</v>
      </c>
      <c r="BU44" s="133">
        <f t="shared" si="0"/>
        <v>2365</v>
      </c>
      <c r="BV44" s="133">
        <f t="shared" si="0"/>
        <v>2370</v>
      </c>
      <c r="BW44" s="133">
        <f t="shared" si="0"/>
        <v>2375</v>
      </c>
    </row>
    <row r="45" spans="1:140" ht="17.25" customHeight="1" x14ac:dyDescent="0.35">
      <c r="A45" s="129" t="s">
        <v>298</v>
      </c>
      <c r="B45" s="128">
        <v>0.1</v>
      </c>
      <c r="C45" s="129">
        <v>0.39896937886013067</v>
      </c>
      <c r="D45" s="129">
        <v>0.39615601060895211</v>
      </c>
      <c r="E45" s="129">
        <v>0.39334264235777361</v>
      </c>
      <c r="F45" s="129">
        <v>0.54188670813543793</v>
      </c>
      <c r="G45" s="129">
        <v>0.69043077391310215</v>
      </c>
      <c r="H45" s="129">
        <v>0.77183895055122909</v>
      </c>
      <c r="I45" s="129">
        <v>0.85324712718935602</v>
      </c>
      <c r="J45" s="129">
        <v>0.90205651534085751</v>
      </c>
      <c r="K45" s="129">
        <v>0.950865903492359</v>
      </c>
      <c r="L45" s="129">
        <v>0.94849572896155787</v>
      </c>
      <c r="M45" s="129">
        <v>0.94612555443075674</v>
      </c>
      <c r="N45" s="129">
        <v>0.97306277721537837</v>
      </c>
      <c r="O45" s="129">
        <v>1</v>
      </c>
      <c r="P45" s="129">
        <v>1</v>
      </c>
      <c r="Q45" s="129">
        <v>1</v>
      </c>
      <c r="R45" s="129">
        <v>1</v>
      </c>
      <c r="S45" s="129">
        <v>1</v>
      </c>
      <c r="T45" s="129">
        <v>1</v>
      </c>
      <c r="U45" s="129">
        <v>1</v>
      </c>
      <c r="V45" s="129">
        <v>1</v>
      </c>
      <c r="W45" s="129">
        <v>1</v>
      </c>
      <c r="X45" s="129">
        <v>1</v>
      </c>
      <c r="Y45" s="129">
        <v>1</v>
      </c>
      <c r="Z45" s="129">
        <v>1</v>
      </c>
      <c r="AA45" s="129">
        <v>1</v>
      </c>
      <c r="AB45" s="129">
        <v>1</v>
      </c>
      <c r="AC45" s="129">
        <v>1</v>
      </c>
      <c r="AD45" s="129">
        <v>1</v>
      </c>
      <c r="AE45" s="129">
        <v>1</v>
      </c>
      <c r="AF45" s="129">
        <v>1</v>
      </c>
      <c r="AG45" s="129">
        <v>1</v>
      </c>
      <c r="AH45" s="129">
        <v>1</v>
      </c>
      <c r="AI45" s="129">
        <v>1</v>
      </c>
      <c r="AJ45" s="129">
        <v>1</v>
      </c>
      <c r="AK45" s="129">
        <v>1</v>
      </c>
      <c r="AL45" s="129">
        <v>1</v>
      </c>
      <c r="AM45" s="129">
        <v>1</v>
      </c>
      <c r="AN45" s="129">
        <v>1</v>
      </c>
      <c r="AO45" s="129">
        <f>+AN45</f>
        <v>1</v>
      </c>
      <c r="AP45" s="129">
        <f t="shared" ref="AP45:BW45" si="1">+AO45</f>
        <v>1</v>
      </c>
      <c r="AQ45" s="129">
        <f t="shared" si="1"/>
        <v>1</v>
      </c>
      <c r="AR45" s="129">
        <f t="shared" si="1"/>
        <v>1</v>
      </c>
      <c r="AS45" s="129">
        <f t="shared" si="1"/>
        <v>1</v>
      </c>
      <c r="AT45" s="129">
        <f t="shared" si="1"/>
        <v>1</v>
      </c>
      <c r="AU45" s="129">
        <f t="shared" si="1"/>
        <v>1</v>
      </c>
      <c r="AV45" s="129">
        <f t="shared" si="1"/>
        <v>1</v>
      </c>
      <c r="AW45" s="129">
        <f t="shared" si="1"/>
        <v>1</v>
      </c>
      <c r="AX45" s="129">
        <f t="shared" si="1"/>
        <v>1</v>
      </c>
      <c r="AY45" s="129">
        <f t="shared" si="1"/>
        <v>1</v>
      </c>
      <c r="AZ45" s="129">
        <f t="shared" si="1"/>
        <v>1</v>
      </c>
      <c r="BA45" s="129">
        <f t="shared" si="1"/>
        <v>1</v>
      </c>
      <c r="BB45" s="129">
        <f t="shared" si="1"/>
        <v>1</v>
      </c>
      <c r="BC45" s="129">
        <f t="shared" si="1"/>
        <v>1</v>
      </c>
      <c r="BD45" s="129">
        <f t="shared" si="1"/>
        <v>1</v>
      </c>
      <c r="BE45" s="129">
        <f t="shared" si="1"/>
        <v>1</v>
      </c>
      <c r="BF45" s="129">
        <f t="shared" si="1"/>
        <v>1</v>
      </c>
      <c r="BG45" s="129">
        <f t="shared" si="1"/>
        <v>1</v>
      </c>
      <c r="BH45" s="129">
        <f t="shared" si="1"/>
        <v>1</v>
      </c>
      <c r="BI45" s="129">
        <f t="shared" si="1"/>
        <v>1</v>
      </c>
      <c r="BJ45" s="129">
        <f t="shared" si="1"/>
        <v>1</v>
      </c>
      <c r="BK45" s="129">
        <f t="shared" si="1"/>
        <v>1</v>
      </c>
      <c r="BL45" s="129">
        <f t="shared" si="1"/>
        <v>1</v>
      </c>
      <c r="BM45" s="129">
        <f t="shared" si="1"/>
        <v>1</v>
      </c>
      <c r="BN45" s="129">
        <f t="shared" si="1"/>
        <v>1</v>
      </c>
      <c r="BO45" s="129">
        <f t="shared" si="1"/>
        <v>1</v>
      </c>
      <c r="BP45" s="129">
        <f t="shared" si="1"/>
        <v>1</v>
      </c>
      <c r="BQ45" s="129">
        <f t="shared" si="1"/>
        <v>1</v>
      </c>
      <c r="BR45" s="129">
        <f t="shared" si="1"/>
        <v>1</v>
      </c>
      <c r="BS45" s="129">
        <f t="shared" si="1"/>
        <v>1</v>
      </c>
      <c r="BT45" s="129">
        <f t="shared" si="1"/>
        <v>1</v>
      </c>
      <c r="BU45" s="129">
        <f t="shared" si="1"/>
        <v>1</v>
      </c>
      <c r="BV45" s="129">
        <f t="shared" si="1"/>
        <v>1</v>
      </c>
      <c r="BW45" s="129">
        <f t="shared" si="1"/>
        <v>1</v>
      </c>
      <c r="BX45" s="129">
        <f t="shared" ref="BX45:EI45" si="2">+BW45</f>
        <v>1</v>
      </c>
      <c r="BY45" s="129">
        <f t="shared" si="2"/>
        <v>1</v>
      </c>
      <c r="BZ45" s="129">
        <f t="shared" si="2"/>
        <v>1</v>
      </c>
      <c r="CA45" s="129">
        <f t="shared" si="2"/>
        <v>1</v>
      </c>
      <c r="CB45" s="129">
        <f t="shared" si="2"/>
        <v>1</v>
      </c>
      <c r="CC45" s="129">
        <f t="shared" si="2"/>
        <v>1</v>
      </c>
      <c r="CD45" s="129">
        <f t="shared" si="2"/>
        <v>1</v>
      </c>
      <c r="CE45" s="129">
        <f t="shared" si="2"/>
        <v>1</v>
      </c>
      <c r="CF45" s="129">
        <f t="shared" si="2"/>
        <v>1</v>
      </c>
      <c r="CG45" s="129">
        <f t="shared" si="2"/>
        <v>1</v>
      </c>
      <c r="CH45" s="129">
        <f t="shared" si="2"/>
        <v>1</v>
      </c>
      <c r="CI45" s="129">
        <f t="shared" si="2"/>
        <v>1</v>
      </c>
      <c r="CJ45" s="129">
        <f t="shared" si="2"/>
        <v>1</v>
      </c>
      <c r="CK45" s="129">
        <f t="shared" si="2"/>
        <v>1</v>
      </c>
      <c r="CL45" s="129">
        <f t="shared" si="2"/>
        <v>1</v>
      </c>
      <c r="CM45" s="129">
        <f t="shared" si="2"/>
        <v>1</v>
      </c>
      <c r="CN45" s="129">
        <f t="shared" si="2"/>
        <v>1</v>
      </c>
      <c r="CO45" s="129">
        <f t="shared" si="2"/>
        <v>1</v>
      </c>
      <c r="CP45" s="129">
        <f t="shared" si="2"/>
        <v>1</v>
      </c>
      <c r="CQ45" s="129">
        <f t="shared" si="2"/>
        <v>1</v>
      </c>
      <c r="CR45" s="129">
        <f t="shared" si="2"/>
        <v>1</v>
      </c>
      <c r="CS45" s="129">
        <f t="shared" si="2"/>
        <v>1</v>
      </c>
      <c r="CT45" s="129">
        <f t="shared" si="2"/>
        <v>1</v>
      </c>
      <c r="CU45" s="129">
        <f t="shared" si="2"/>
        <v>1</v>
      </c>
      <c r="CV45" s="129">
        <f t="shared" si="2"/>
        <v>1</v>
      </c>
      <c r="CW45" s="129">
        <f t="shared" si="2"/>
        <v>1</v>
      </c>
      <c r="CX45" s="129">
        <f t="shared" si="2"/>
        <v>1</v>
      </c>
      <c r="CY45" s="129">
        <f t="shared" si="2"/>
        <v>1</v>
      </c>
      <c r="CZ45" s="129">
        <f t="shared" si="2"/>
        <v>1</v>
      </c>
      <c r="DA45" s="129">
        <f t="shared" si="2"/>
        <v>1</v>
      </c>
      <c r="DB45" s="129">
        <f t="shared" si="2"/>
        <v>1</v>
      </c>
      <c r="DC45" s="129">
        <f t="shared" si="2"/>
        <v>1</v>
      </c>
      <c r="DD45" s="129">
        <f t="shared" si="2"/>
        <v>1</v>
      </c>
      <c r="DE45" s="129">
        <f t="shared" si="2"/>
        <v>1</v>
      </c>
      <c r="DF45" s="129">
        <f t="shared" si="2"/>
        <v>1</v>
      </c>
      <c r="DG45" s="129">
        <f t="shared" si="2"/>
        <v>1</v>
      </c>
      <c r="DH45" s="129">
        <f t="shared" si="2"/>
        <v>1</v>
      </c>
      <c r="DI45" s="129">
        <f t="shared" si="2"/>
        <v>1</v>
      </c>
      <c r="DJ45" s="129">
        <f t="shared" si="2"/>
        <v>1</v>
      </c>
      <c r="DK45" s="129">
        <f t="shared" si="2"/>
        <v>1</v>
      </c>
      <c r="DL45" s="129">
        <f t="shared" si="2"/>
        <v>1</v>
      </c>
      <c r="DM45" s="129">
        <f t="shared" si="2"/>
        <v>1</v>
      </c>
      <c r="DN45" s="129">
        <f t="shared" si="2"/>
        <v>1</v>
      </c>
      <c r="DO45" s="129">
        <f t="shared" si="2"/>
        <v>1</v>
      </c>
      <c r="DP45" s="129">
        <f t="shared" si="2"/>
        <v>1</v>
      </c>
      <c r="DQ45" s="129">
        <f t="shared" si="2"/>
        <v>1</v>
      </c>
      <c r="DR45" s="129">
        <f t="shared" si="2"/>
        <v>1</v>
      </c>
      <c r="DS45" s="129">
        <f t="shared" si="2"/>
        <v>1</v>
      </c>
      <c r="DT45" s="129">
        <f t="shared" si="2"/>
        <v>1</v>
      </c>
      <c r="DU45" s="129">
        <f t="shared" si="2"/>
        <v>1</v>
      </c>
      <c r="DV45" s="129">
        <f t="shared" si="2"/>
        <v>1</v>
      </c>
      <c r="DW45" s="129">
        <f t="shared" si="2"/>
        <v>1</v>
      </c>
      <c r="DX45" s="129">
        <f t="shared" si="2"/>
        <v>1</v>
      </c>
      <c r="DY45" s="129">
        <f t="shared" si="2"/>
        <v>1</v>
      </c>
      <c r="DZ45" s="129">
        <f t="shared" si="2"/>
        <v>1</v>
      </c>
      <c r="EA45" s="129">
        <f t="shared" si="2"/>
        <v>1</v>
      </c>
      <c r="EB45" s="129">
        <f t="shared" si="2"/>
        <v>1</v>
      </c>
      <c r="EC45" s="129">
        <f t="shared" si="2"/>
        <v>1</v>
      </c>
      <c r="ED45" s="129">
        <f t="shared" si="2"/>
        <v>1</v>
      </c>
      <c r="EE45" s="129">
        <f t="shared" si="2"/>
        <v>1</v>
      </c>
      <c r="EF45" s="129">
        <f t="shared" si="2"/>
        <v>1</v>
      </c>
      <c r="EG45" s="129">
        <f t="shared" si="2"/>
        <v>1</v>
      </c>
      <c r="EH45" s="129">
        <f t="shared" si="2"/>
        <v>1</v>
      </c>
      <c r="EI45" s="129">
        <f t="shared" si="2"/>
        <v>1</v>
      </c>
      <c r="EJ45" s="129">
        <f t="shared" ref="EJ45" si="3">+EI45</f>
        <v>1</v>
      </c>
    </row>
    <row r="46" spans="1:140" ht="17.25" customHeight="1" x14ac:dyDescent="0.35">
      <c r="A46" s="129" t="s">
        <v>299</v>
      </c>
      <c r="B46" s="128">
        <v>0.1</v>
      </c>
      <c r="C46" s="129">
        <v>0.39896937886013067</v>
      </c>
      <c r="D46" s="129">
        <v>0.38491204834005499</v>
      </c>
      <c r="E46" s="129">
        <v>0.37085471781997936</v>
      </c>
      <c r="F46" s="129">
        <v>0.35902318672010458</v>
      </c>
      <c r="G46" s="129">
        <v>0.34719165562022986</v>
      </c>
      <c r="H46" s="129">
        <v>0.3369354847218427</v>
      </c>
      <c r="I46" s="129">
        <v>0.32667931382345555</v>
      </c>
      <c r="J46" s="129">
        <v>0.31882567346243468</v>
      </c>
      <c r="K46" s="129">
        <v>0.3109720331014138</v>
      </c>
      <c r="L46" s="129">
        <v>0.30417943323233526</v>
      </c>
      <c r="M46" s="129">
        <v>0.29738683336325672</v>
      </c>
      <c r="N46" s="129">
        <v>0.29114605301511443</v>
      </c>
      <c r="O46" s="129">
        <v>0.28490527266697213</v>
      </c>
      <c r="P46" s="129">
        <v>0.27917551028771859</v>
      </c>
      <c r="Q46" s="129">
        <v>0.27344574790846504</v>
      </c>
      <c r="R46" s="129">
        <v>0.26819588535018302</v>
      </c>
      <c r="S46" s="129">
        <v>0.26294602279190105</v>
      </c>
      <c r="T46" s="129">
        <v>0.35233085533350944</v>
      </c>
      <c r="U46" s="129">
        <v>0.44171568787511784</v>
      </c>
      <c r="V46" s="129">
        <v>0.53367544832972591</v>
      </c>
      <c r="W46" s="129">
        <v>0.62563520878433398</v>
      </c>
      <c r="X46" s="129">
        <v>0.71873996510126215</v>
      </c>
      <c r="Y46" s="129">
        <v>0.81184472141819031</v>
      </c>
      <c r="Z46" s="129">
        <v>0.90592236070909515</v>
      </c>
      <c r="AA46" s="129">
        <v>1</v>
      </c>
      <c r="AB46" s="129">
        <v>1</v>
      </c>
      <c r="AC46" s="129">
        <v>1</v>
      </c>
      <c r="AD46" s="129">
        <v>1</v>
      </c>
      <c r="AE46" s="129">
        <v>1</v>
      </c>
      <c r="AF46" s="129">
        <v>1</v>
      </c>
      <c r="AG46" s="129">
        <v>1</v>
      </c>
      <c r="AH46" s="129">
        <v>1</v>
      </c>
      <c r="AI46" s="129">
        <v>1</v>
      </c>
      <c r="AJ46" s="129">
        <v>1</v>
      </c>
      <c r="AK46" s="129">
        <v>1</v>
      </c>
      <c r="AL46" s="129">
        <v>1</v>
      </c>
      <c r="AM46" s="129">
        <v>1</v>
      </c>
      <c r="AN46" s="129">
        <v>1</v>
      </c>
      <c r="AO46" s="129">
        <f>+AN46</f>
        <v>1</v>
      </c>
      <c r="AP46" s="129">
        <f t="shared" ref="AP46:BW46" si="4">+AO46</f>
        <v>1</v>
      </c>
      <c r="AQ46" s="129">
        <f t="shared" si="4"/>
        <v>1</v>
      </c>
      <c r="AR46" s="129">
        <f t="shared" si="4"/>
        <v>1</v>
      </c>
      <c r="AS46" s="129">
        <f t="shared" si="4"/>
        <v>1</v>
      </c>
      <c r="AT46" s="129">
        <f t="shared" si="4"/>
        <v>1</v>
      </c>
      <c r="AU46" s="129">
        <f t="shared" si="4"/>
        <v>1</v>
      </c>
      <c r="AV46" s="129">
        <f t="shared" si="4"/>
        <v>1</v>
      </c>
      <c r="AW46" s="129">
        <f t="shared" si="4"/>
        <v>1</v>
      </c>
      <c r="AX46" s="129">
        <f t="shared" si="4"/>
        <v>1</v>
      </c>
      <c r="AY46" s="129">
        <f t="shared" si="4"/>
        <v>1</v>
      </c>
      <c r="AZ46" s="129">
        <f t="shared" si="4"/>
        <v>1</v>
      </c>
      <c r="BA46" s="129">
        <f t="shared" si="4"/>
        <v>1</v>
      </c>
      <c r="BB46" s="129">
        <f t="shared" si="4"/>
        <v>1</v>
      </c>
      <c r="BC46" s="129">
        <f t="shared" si="4"/>
        <v>1</v>
      </c>
      <c r="BD46" s="129">
        <f t="shared" si="4"/>
        <v>1</v>
      </c>
      <c r="BE46" s="129">
        <f t="shared" si="4"/>
        <v>1</v>
      </c>
      <c r="BF46" s="129">
        <f t="shared" si="4"/>
        <v>1</v>
      </c>
      <c r="BG46" s="129">
        <f t="shared" si="4"/>
        <v>1</v>
      </c>
      <c r="BH46" s="129">
        <f t="shared" si="4"/>
        <v>1</v>
      </c>
      <c r="BI46" s="129">
        <f t="shared" si="4"/>
        <v>1</v>
      </c>
      <c r="BJ46" s="129">
        <f t="shared" si="4"/>
        <v>1</v>
      </c>
      <c r="BK46" s="129">
        <f t="shared" si="4"/>
        <v>1</v>
      </c>
      <c r="BL46" s="129">
        <f t="shared" si="4"/>
        <v>1</v>
      </c>
      <c r="BM46" s="129">
        <f t="shared" si="4"/>
        <v>1</v>
      </c>
      <c r="BN46" s="129">
        <f t="shared" si="4"/>
        <v>1</v>
      </c>
      <c r="BO46" s="129">
        <f t="shared" si="4"/>
        <v>1</v>
      </c>
      <c r="BP46" s="129">
        <f t="shared" si="4"/>
        <v>1</v>
      </c>
      <c r="BQ46" s="129">
        <f t="shared" si="4"/>
        <v>1</v>
      </c>
      <c r="BR46" s="129">
        <f t="shared" si="4"/>
        <v>1</v>
      </c>
      <c r="BS46" s="129">
        <f t="shared" si="4"/>
        <v>1</v>
      </c>
      <c r="BT46" s="129">
        <f t="shared" si="4"/>
        <v>1</v>
      </c>
      <c r="BU46" s="129">
        <f t="shared" si="4"/>
        <v>1</v>
      </c>
      <c r="BV46" s="129">
        <f t="shared" si="4"/>
        <v>1</v>
      </c>
      <c r="BW46" s="129">
        <f t="shared" si="4"/>
        <v>1</v>
      </c>
      <c r="BX46" s="129">
        <f t="shared" ref="BX46:EI46" si="5">+BW46</f>
        <v>1</v>
      </c>
      <c r="BY46" s="129">
        <f t="shared" si="5"/>
        <v>1</v>
      </c>
      <c r="BZ46" s="129">
        <f t="shared" si="5"/>
        <v>1</v>
      </c>
      <c r="CA46" s="129">
        <f t="shared" si="5"/>
        <v>1</v>
      </c>
      <c r="CB46" s="129">
        <f t="shared" si="5"/>
        <v>1</v>
      </c>
      <c r="CC46" s="129">
        <f t="shared" si="5"/>
        <v>1</v>
      </c>
      <c r="CD46" s="129">
        <f t="shared" si="5"/>
        <v>1</v>
      </c>
      <c r="CE46" s="129">
        <f t="shared" si="5"/>
        <v>1</v>
      </c>
      <c r="CF46" s="129">
        <f t="shared" si="5"/>
        <v>1</v>
      </c>
      <c r="CG46" s="129">
        <f t="shared" si="5"/>
        <v>1</v>
      </c>
      <c r="CH46" s="129">
        <f t="shared" si="5"/>
        <v>1</v>
      </c>
      <c r="CI46" s="129">
        <f t="shared" si="5"/>
        <v>1</v>
      </c>
      <c r="CJ46" s="129">
        <f t="shared" si="5"/>
        <v>1</v>
      </c>
      <c r="CK46" s="129">
        <f t="shared" si="5"/>
        <v>1</v>
      </c>
      <c r="CL46" s="129">
        <f t="shared" si="5"/>
        <v>1</v>
      </c>
      <c r="CM46" s="129">
        <f t="shared" si="5"/>
        <v>1</v>
      </c>
      <c r="CN46" s="129">
        <f t="shared" si="5"/>
        <v>1</v>
      </c>
      <c r="CO46" s="129">
        <f t="shared" si="5"/>
        <v>1</v>
      </c>
      <c r="CP46" s="129">
        <f t="shared" si="5"/>
        <v>1</v>
      </c>
      <c r="CQ46" s="129">
        <f t="shared" si="5"/>
        <v>1</v>
      </c>
      <c r="CR46" s="129">
        <f t="shared" si="5"/>
        <v>1</v>
      </c>
      <c r="CS46" s="129">
        <f t="shared" si="5"/>
        <v>1</v>
      </c>
      <c r="CT46" s="129">
        <f t="shared" si="5"/>
        <v>1</v>
      </c>
      <c r="CU46" s="129">
        <f t="shared" si="5"/>
        <v>1</v>
      </c>
      <c r="CV46" s="129">
        <f t="shared" si="5"/>
        <v>1</v>
      </c>
      <c r="CW46" s="129">
        <f t="shared" si="5"/>
        <v>1</v>
      </c>
      <c r="CX46" s="129">
        <f t="shared" si="5"/>
        <v>1</v>
      </c>
      <c r="CY46" s="129">
        <f t="shared" si="5"/>
        <v>1</v>
      </c>
      <c r="CZ46" s="129">
        <f t="shared" si="5"/>
        <v>1</v>
      </c>
      <c r="DA46" s="129">
        <f t="shared" si="5"/>
        <v>1</v>
      </c>
      <c r="DB46" s="129">
        <f t="shared" si="5"/>
        <v>1</v>
      </c>
      <c r="DC46" s="129">
        <f t="shared" si="5"/>
        <v>1</v>
      </c>
      <c r="DD46" s="129">
        <f t="shared" si="5"/>
        <v>1</v>
      </c>
      <c r="DE46" s="129">
        <f t="shared" si="5"/>
        <v>1</v>
      </c>
      <c r="DF46" s="129">
        <f t="shared" si="5"/>
        <v>1</v>
      </c>
      <c r="DG46" s="129">
        <f t="shared" si="5"/>
        <v>1</v>
      </c>
      <c r="DH46" s="129">
        <f t="shared" si="5"/>
        <v>1</v>
      </c>
      <c r="DI46" s="129">
        <f t="shared" si="5"/>
        <v>1</v>
      </c>
      <c r="DJ46" s="129">
        <f t="shared" si="5"/>
        <v>1</v>
      </c>
      <c r="DK46" s="129">
        <f t="shared" si="5"/>
        <v>1</v>
      </c>
      <c r="DL46" s="129">
        <f t="shared" si="5"/>
        <v>1</v>
      </c>
      <c r="DM46" s="129">
        <f t="shared" si="5"/>
        <v>1</v>
      </c>
      <c r="DN46" s="129">
        <f t="shared" si="5"/>
        <v>1</v>
      </c>
      <c r="DO46" s="129">
        <f t="shared" si="5"/>
        <v>1</v>
      </c>
      <c r="DP46" s="129">
        <f t="shared" si="5"/>
        <v>1</v>
      </c>
      <c r="DQ46" s="129">
        <f t="shared" si="5"/>
        <v>1</v>
      </c>
      <c r="DR46" s="129">
        <f t="shared" si="5"/>
        <v>1</v>
      </c>
      <c r="DS46" s="129">
        <f t="shared" si="5"/>
        <v>1</v>
      </c>
      <c r="DT46" s="129">
        <f t="shared" si="5"/>
        <v>1</v>
      </c>
      <c r="DU46" s="129">
        <f t="shared" si="5"/>
        <v>1</v>
      </c>
      <c r="DV46" s="129">
        <f t="shared" si="5"/>
        <v>1</v>
      </c>
      <c r="DW46" s="129">
        <f t="shared" si="5"/>
        <v>1</v>
      </c>
      <c r="DX46" s="129">
        <f t="shared" si="5"/>
        <v>1</v>
      </c>
      <c r="DY46" s="129">
        <f t="shared" si="5"/>
        <v>1</v>
      </c>
      <c r="DZ46" s="129">
        <f t="shared" si="5"/>
        <v>1</v>
      </c>
      <c r="EA46" s="129">
        <f t="shared" si="5"/>
        <v>1</v>
      </c>
      <c r="EB46" s="129">
        <f t="shared" si="5"/>
        <v>1</v>
      </c>
      <c r="EC46" s="129">
        <f t="shared" si="5"/>
        <v>1</v>
      </c>
      <c r="ED46" s="129">
        <f t="shared" si="5"/>
        <v>1</v>
      </c>
      <c r="EE46" s="129">
        <f t="shared" si="5"/>
        <v>1</v>
      </c>
      <c r="EF46" s="129">
        <f t="shared" si="5"/>
        <v>1</v>
      </c>
      <c r="EG46" s="129">
        <f t="shared" si="5"/>
        <v>1</v>
      </c>
      <c r="EH46" s="129">
        <f t="shared" si="5"/>
        <v>1</v>
      </c>
      <c r="EI46" s="129">
        <f t="shared" si="5"/>
        <v>1</v>
      </c>
      <c r="EJ46" s="129">
        <f t="shared" ref="EJ46" si="6">+EI46</f>
        <v>1</v>
      </c>
    </row>
    <row r="47" spans="1:140" ht="17.25" customHeight="1" x14ac:dyDescent="0.35">
      <c r="A47" s="129" t="s">
        <v>300</v>
      </c>
      <c r="B47" s="128">
        <v>0.1</v>
      </c>
      <c r="C47" s="129">
        <v>0.13798868315877549</v>
      </c>
      <c r="D47" s="129">
        <v>0.18366979657443924</v>
      </c>
      <c r="E47" s="129">
        <v>0.22935090999010299</v>
      </c>
      <c r="F47" s="129">
        <v>0.30470841950808203</v>
      </c>
      <c r="G47" s="129">
        <v>0.38006592902606101</v>
      </c>
      <c r="H47" s="129">
        <v>0.4479867841695172</v>
      </c>
      <c r="I47" s="129">
        <v>0.51590763931297345</v>
      </c>
      <c r="J47" s="129">
        <v>0.59115890993256182</v>
      </c>
      <c r="K47" s="129">
        <v>0.66641018055215007</v>
      </c>
      <c r="L47" s="129">
        <v>0.73475443894799963</v>
      </c>
      <c r="M47" s="129">
        <v>0.8030986973438492</v>
      </c>
      <c r="N47" s="129">
        <v>0.84437816559280465</v>
      </c>
      <c r="O47" s="129">
        <v>0.88565763384176011</v>
      </c>
      <c r="P47" s="129">
        <v>0.90357417335545631</v>
      </c>
      <c r="Q47" s="129">
        <v>0.92149071286915241</v>
      </c>
      <c r="R47" s="129">
        <v>0.92893900981736666</v>
      </c>
      <c r="S47" s="129">
        <v>0.93638730676558102</v>
      </c>
      <c r="T47" s="129">
        <v>0.9431936533827906</v>
      </c>
      <c r="U47" s="129">
        <v>0.95000000000000018</v>
      </c>
      <c r="V47" s="129">
        <v>0.95</v>
      </c>
      <c r="W47" s="129">
        <v>0.94999999999999973</v>
      </c>
      <c r="X47" s="129">
        <v>0.95</v>
      </c>
      <c r="Y47" s="129">
        <v>0.95000000000000007</v>
      </c>
      <c r="Z47" s="129">
        <v>0.95</v>
      </c>
      <c r="AA47" s="129">
        <v>0.94999999999999973</v>
      </c>
      <c r="AB47" s="129">
        <v>0.94999999999999973</v>
      </c>
      <c r="AC47" s="129">
        <v>0.94999999999999973</v>
      </c>
      <c r="AD47" s="129">
        <v>0.94999999999999973</v>
      </c>
      <c r="AE47" s="129">
        <v>0.94999999999999973</v>
      </c>
      <c r="AF47" s="129">
        <v>0.94999999999999973</v>
      </c>
      <c r="AG47" s="129">
        <v>0.94999999999999973</v>
      </c>
      <c r="AH47" s="129">
        <v>0.94999999999999973</v>
      </c>
      <c r="AI47" s="129">
        <v>0.94999999999999973</v>
      </c>
      <c r="AJ47" s="129">
        <v>0.94999999999999973</v>
      </c>
      <c r="AK47" s="129">
        <v>0.94999999999999973</v>
      </c>
      <c r="AL47" s="129">
        <v>0.94999999999999973</v>
      </c>
      <c r="AM47" s="129">
        <v>0.94999999999999973</v>
      </c>
      <c r="AN47" s="129">
        <v>0.94999999999999973</v>
      </c>
      <c r="AO47" s="129">
        <f>+AN47</f>
        <v>0.94999999999999973</v>
      </c>
      <c r="AP47" s="129">
        <f t="shared" ref="AP47:BW47" si="7">+AO47</f>
        <v>0.94999999999999973</v>
      </c>
      <c r="AQ47" s="129">
        <f t="shared" si="7"/>
        <v>0.94999999999999973</v>
      </c>
      <c r="AR47" s="129">
        <f t="shared" si="7"/>
        <v>0.94999999999999973</v>
      </c>
      <c r="AS47" s="129">
        <f t="shared" si="7"/>
        <v>0.94999999999999973</v>
      </c>
      <c r="AT47" s="129">
        <f t="shared" si="7"/>
        <v>0.94999999999999973</v>
      </c>
      <c r="AU47" s="129">
        <f t="shared" si="7"/>
        <v>0.94999999999999973</v>
      </c>
      <c r="AV47" s="129">
        <f t="shared" si="7"/>
        <v>0.94999999999999973</v>
      </c>
      <c r="AW47" s="129">
        <f t="shared" si="7"/>
        <v>0.94999999999999973</v>
      </c>
      <c r="AX47" s="129">
        <f t="shared" si="7"/>
        <v>0.94999999999999973</v>
      </c>
      <c r="AY47" s="129">
        <f t="shared" si="7"/>
        <v>0.94999999999999973</v>
      </c>
      <c r="AZ47" s="129">
        <f t="shared" si="7"/>
        <v>0.94999999999999973</v>
      </c>
      <c r="BA47" s="129">
        <f t="shared" si="7"/>
        <v>0.94999999999999973</v>
      </c>
      <c r="BB47" s="129">
        <f t="shared" si="7"/>
        <v>0.94999999999999973</v>
      </c>
      <c r="BC47" s="129">
        <f t="shared" si="7"/>
        <v>0.94999999999999973</v>
      </c>
      <c r="BD47" s="129">
        <f t="shared" si="7"/>
        <v>0.94999999999999973</v>
      </c>
      <c r="BE47" s="129">
        <f t="shared" si="7"/>
        <v>0.94999999999999973</v>
      </c>
      <c r="BF47" s="129">
        <f t="shared" si="7"/>
        <v>0.94999999999999973</v>
      </c>
      <c r="BG47" s="129">
        <f t="shared" si="7"/>
        <v>0.94999999999999973</v>
      </c>
      <c r="BH47" s="129">
        <f t="shared" si="7"/>
        <v>0.94999999999999973</v>
      </c>
      <c r="BI47" s="129">
        <f t="shared" si="7"/>
        <v>0.94999999999999973</v>
      </c>
      <c r="BJ47" s="129">
        <f t="shared" si="7"/>
        <v>0.94999999999999973</v>
      </c>
      <c r="BK47" s="129">
        <f t="shared" si="7"/>
        <v>0.94999999999999973</v>
      </c>
      <c r="BL47" s="129">
        <f t="shared" si="7"/>
        <v>0.94999999999999973</v>
      </c>
      <c r="BM47" s="129">
        <f t="shared" si="7"/>
        <v>0.94999999999999973</v>
      </c>
      <c r="BN47" s="129">
        <f t="shared" si="7"/>
        <v>0.94999999999999973</v>
      </c>
      <c r="BO47" s="129">
        <f t="shared" si="7"/>
        <v>0.94999999999999973</v>
      </c>
      <c r="BP47" s="129">
        <f t="shared" si="7"/>
        <v>0.94999999999999973</v>
      </c>
      <c r="BQ47" s="129">
        <f t="shared" si="7"/>
        <v>0.94999999999999973</v>
      </c>
      <c r="BR47" s="129">
        <f t="shared" si="7"/>
        <v>0.94999999999999973</v>
      </c>
      <c r="BS47" s="129">
        <f t="shared" si="7"/>
        <v>0.94999999999999973</v>
      </c>
      <c r="BT47" s="129">
        <f t="shared" si="7"/>
        <v>0.94999999999999973</v>
      </c>
      <c r="BU47" s="129">
        <f t="shared" si="7"/>
        <v>0.94999999999999973</v>
      </c>
      <c r="BV47" s="129">
        <f t="shared" si="7"/>
        <v>0.94999999999999973</v>
      </c>
      <c r="BW47" s="129">
        <f t="shared" si="7"/>
        <v>0.94999999999999973</v>
      </c>
      <c r="BX47" s="129">
        <f t="shared" ref="BX47:EI47" si="8">+BW47</f>
        <v>0.94999999999999973</v>
      </c>
      <c r="BY47" s="129">
        <f t="shared" si="8"/>
        <v>0.94999999999999973</v>
      </c>
      <c r="BZ47" s="129">
        <f t="shared" si="8"/>
        <v>0.94999999999999973</v>
      </c>
      <c r="CA47" s="129">
        <f t="shared" si="8"/>
        <v>0.94999999999999973</v>
      </c>
      <c r="CB47" s="129">
        <f t="shared" si="8"/>
        <v>0.94999999999999973</v>
      </c>
      <c r="CC47" s="129">
        <f t="shared" si="8"/>
        <v>0.94999999999999973</v>
      </c>
      <c r="CD47" s="129">
        <f t="shared" si="8"/>
        <v>0.94999999999999973</v>
      </c>
      <c r="CE47" s="129">
        <f t="shared" si="8"/>
        <v>0.94999999999999973</v>
      </c>
      <c r="CF47" s="129">
        <f t="shared" si="8"/>
        <v>0.94999999999999973</v>
      </c>
      <c r="CG47" s="129">
        <f t="shared" si="8"/>
        <v>0.94999999999999973</v>
      </c>
      <c r="CH47" s="129">
        <f t="shared" si="8"/>
        <v>0.94999999999999973</v>
      </c>
      <c r="CI47" s="129">
        <f t="shared" si="8"/>
        <v>0.94999999999999973</v>
      </c>
      <c r="CJ47" s="129">
        <f t="shared" si="8"/>
        <v>0.94999999999999973</v>
      </c>
      <c r="CK47" s="129">
        <f t="shared" si="8"/>
        <v>0.94999999999999973</v>
      </c>
      <c r="CL47" s="129">
        <f t="shared" si="8"/>
        <v>0.94999999999999973</v>
      </c>
      <c r="CM47" s="129">
        <f t="shared" si="8"/>
        <v>0.94999999999999973</v>
      </c>
      <c r="CN47" s="129">
        <f t="shared" si="8"/>
        <v>0.94999999999999973</v>
      </c>
      <c r="CO47" s="129">
        <f t="shared" si="8"/>
        <v>0.94999999999999973</v>
      </c>
      <c r="CP47" s="129">
        <f t="shared" si="8"/>
        <v>0.94999999999999973</v>
      </c>
      <c r="CQ47" s="129">
        <f t="shared" si="8"/>
        <v>0.94999999999999973</v>
      </c>
      <c r="CR47" s="129">
        <f t="shared" si="8"/>
        <v>0.94999999999999973</v>
      </c>
      <c r="CS47" s="129">
        <f t="shared" si="8"/>
        <v>0.94999999999999973</v>
      </c>
      <c r="CT47" s="129">
        <f t="shared" si="8"/>
        <v>0.94999999999999973</v>
      </c>
      <c r="CU47" s="129">
        <f t="shared" si="8"/>
        <v>0.94999999999999973</v>
      </c>
      <c r="CV47" s="129">
        <f t="shared" si="8"/>
        <v>0.94999999999999973</v>
      </c>
      <c r="CW47" s="129">
        <f t="shared" si="8"/>
        <v>0.94999999999999973</v>
      </c>
      <c r="CX47" s="129">
        <f t="shared" si="8"/>
        <v>0.94999999999999973</v>
      </c>
      <c r="CY47" s="129">
        <f t="shared" si="8"/>
        <v>0.94999999999999973</v>
      </c>
      <c r="CZ47" s="129">
        <f t="shared" si="8"/>
        <v>0.94999999999999973</v>
      </c>
      <c r="DA47" s="129">
        <f t="shared" si="8"/>
        <v>0.94999999999999973</v>
      </c>
      <c r="DB47" s="129">
        <f t="shared" si="8"/>
        <v>0.94999999999999973</v>
      </c>
      <c r="DC47" s="129">
        <f t="shared" si="8"/>
        <v>0.94999999999999973</v>
      </c>
      <c r="DD47" s="129">
        <f t="shared" si="8"/>
        <v>0.94999999999999973</v>
      </c>
      <c r="DE47" s="129">
        <f t="shared" si="8"/>
        <v>0.94999999999999973</v>
      </c>
      <c r="DF47" s="129">
        <f t="shared" si="8"/>
        <v>0.94999999999999973</v>
      </c>
      <c r="DG47" s="129">
        <f t="shared" si="8"/>
        <v>0.94999999999999973</v>
      </c>
      <c r="DH47" s="129">
        <f t="shared" si="8"/>
        <v>0.94999999999999973</v>
      </c>
      <c r="DI47" s="129">
        <f t="shared" si="8"/>
        <v>0.94999999999999973</v>
      </c>
      <c r="DJ47" s="129">
        <f t="shared" si="8"/>
        <v>0.94999999999999973</v>
      </c>
      <c r="DK47" s="129">
        <f t="shared" si="8"/>
        <v>0.94999999999999973</v>
      </c>
      <c r="DL47" s="129">
        <f t="shared" si="8"/>
        <v>0.94999999999999973</v>
      </c>
      <c r="DM47" s="129">
        <f t="shared" si="8"/>
        <v>0.94999999999999973</v>
      </c>
      <c r="DN47" s="129">
        <f t="shared" si="8"/>
        <v>0.94999999999999973</v>
      </c>
      <c r="DO47" s="129">
        <f t="shared" si="8"/>
        <v>0.94999999999999973</v>
      </c>
      <c r="DP47" s="129">
        <f t="shared" si="8"/>
        <v>0.94999999999999973</v>
      </c>
      <c r="DQ47" s="129">
        <f t="shared" si="8"/>
        <v>0.94999999999999973</v>
      </c>
      <c r="DR47" s="129">
        <f t="shared" si="8"/>
        <v>0.94999999999999973</v>
      </c>
      <c r="DS47" s="129">
        <f t="shared" si="8"/>
        <v>0.94999999999999973</v>
      </c>
      <c r="DT47" s="129">
        <f t="shared" si="8"/>
        <v>0.94999999999999973</v>
      </c>
      <c r="DU47" s="129">
        <f t="shared" si="8"/>
        <v>0.94999999999999973</v>
      </c>
      <c r="DV47" s="129">
        <f t="shared" si="8"/>
        <v>0.94999999999999973</v>
      </c>
      <c r="DW47" s="129">
        <f t="shared" si="8"/>
        <v>0.94999999999999973</v>
      </c>
      <c r="DX47" s="129">
        <f t="shared" si="8"/>
        <v>0.94999999999999973</v>
      </c>
      <c r="DY47" s="129">
        <f t="shared" si="8"/>
        <v>0.94999999999999973</v>
      </c>
      <c r="DZ47" s="129">
        <f t="shared" si="8"/>
        <v>0.94999999999999973</v>
      </c>
      <c r="EA47" s="129">
        <f t="shared" si="8"/>
        <v>0.94999999999999973</v>
      </c>
      <c r="EB47" s="129">
        <f t="shared" si="8"/>
        <v>0.94999999999999973</v>
      </c>
      <c r="EC47" s="129">
        <f t="shared" si="8"/>
        <v>0.94999999999999973</v>
      </c>
      <c r="ED47" s="129">
        <f t="shared" si="8"/>
        <v>0.94999999999999973</v>
      </c>
      <c r="EE47" s="129">
        <f t="shared" si="8"/>
        <v>0.94999999999999973</v>
      </c>
      <c r="EF47" s="129">
        <f t="shared" si="8"/>
        <v>0.94999999999999973</v>
      </c>
      <c r="EG47" s="129">
        <f t="shared" si="8"/>
        <v>0.94999999999999973</v>
      </c>
      <c r="EH47" s="129">
        <f t="shared" si="8"/>
        <v>0.94999999999999973</v>
      </c>
      <c r="EI47" s="129">
        <f t="shared" si="8"/>
        <v>0.94999999999999973</v>
      </c>
      <c r="EJ47" s="129">
        <f t="shared" ref="EJ47" si="9">+EI47</f>
        <v>0.94999999999999973</v>
      </c>
    </row>
    <row r="48" spans="1:140" ht="17.25" customHeight="1" x14ac:dyDescent="0.35">
      <c r="A48" s="129" t="s">
        <v>178</v>
      </c>
      <c r="B48" s="128">
        <v>0.1</v>
      </c>
      <c r="C48" s="129">
        <v>1</v>
      </c>
      <c r="D48" s="129">
        <v>1</v>
      </c>
      <c r="E48" s="129">
        <v>1</v>
      </c>
      <c r="F48" s="129">
        <v>1</v>
      </c>
      <c r="G48" s="129">
        <v>1</v>
      </c>
      <c r="H48" s="129">
        <v>1</v>
      </c>
      <c r="I48" s="129">
        <v>1</v>
      </c>
      <c r="J48" s="129">
        <v>1</v>
      </c>
      <c r="K48" s="129">
        <v>1</v>
      </c>
      <c r="L48" s="129">
        <v>1</v>
      </c>
      <c r="M48" s="129">
        <v>1</v>
      </c>
      <c r="N48" s="129">
        <v>1</v>
      </c>
      <c r="O48" s="129">
        <v>1</v>
      </c>
      <c r="P48" s="129">
        <v>1</v>
      </c>
      <c r="Q48" s="129">
        <v>1</v>
      </c>
      <c r="R48" s="129">
        <v>1</v>
      </c>
      <c r="S48" s="129">
        <v>1</v>
      </c>
      <c r="T48" s="129">
        <v>1</v>
      </c>
      <c r="U48" s="129">
        <v>1</v>
      </c>
      <c r="V48" s="129">
        <v>1</v>
      </c>
      <c r="W48" s="129">
        <v>1</v>
      </c>
      <c r="X48" s="129">
        <v>1</v>
      </c>
      <c r="Y48" s="129">
        <v>1</v>
      </c>
      <c r="Z48" s="129">
        <v>1</v>
      </c>
      <c r="AA48" s="129">
        <v>1</v>
      </c>
      <c r="AB48" s="129">
        <v>1</v>
      </c>
      <c r="AC48" s="129">
        <v>1</v>
      </c>
      <c r="AD48" s="129">
        <v>1</v>
      </c>
      <c r="AE48" s="129">
        <v>1</v>
      </c>
      <c r="AF48" s="129">
        <v>1</v>
      </c>
      <c r="AG48" s="129">
        <v>1</v>
      </c>
      <c r="AH48" s="129">
        <v>1</v>
      </c>
      <c r="AI48" s="129">
        <v>1</v>
      </c>
      <c r="AJ48" s="129">
        <v>1</v>
      </c>
      <c r="AK48" s="129">
        <v>1</v>
      </c>
      <c r="AL48" s="129">
        <v>1</v>
      </c>
      <c r="AM48" s="129">
        <v>1</v>
      </c>
      <c r="AN48" s="129">
        <v>1</v>
      </c>
      <c r="AO48" s="129">
        <v>1</v>
      </c>
      <c r="AP48" s="129">
        <v>1</v>
      </c>
      <c r="AQ48" s="129">
        <v>1</v>
      </c>
      <c r="AR48" s="129">
        <v>1</v>
      </c>
      <c r="AS48" s="129">
        <v>1</v>
      </c>
      <c r="AT48" s="129">
        <v>1</v>
      </c>
      <c r="AU48" s="129">
        <v>1</v>
      </c>
      <c r="AV48" s="129">
        <v>1</v>
      </c>
      <c r="AW48" s="129">
        <v>1</v>
      </c>
      <c r="AX48" s="129">
        <v>1</v>
      </c>
      <c r="AY48" s="129">
        <v>1</v>
      </c>
      <c r="AZ48" s="129">
        <v>1</v>
      </c>
      <c r="BA48" s="129">
        <v>1</v>
      </c>
      <c r="BB48" s="129">
        <v>1</v>
      </c>
      <c r="BC48" s="129">
        <v>1</v>
      </c>
      <c r="BD48" s="129">
        <v>1</v>
      </c>
      <c r="BE48" s="129">
        <v>1</v>
      </c>
      <c r="BF48" s="129">
        <v>1</v>
      </c>
      <c r="BG48" s="129">
        <v>1</v>
      </c>
      <c r="BH48" s="129">
        <v>1</v>
      </c>
      <c r="BI48" s="129">
        <v>1</v>
      </c>
      <c r="BJ48" s="129">
        <v>1</v>
      </c>
      <c r="BK48" s="129">
        <v>1</v>
      </c>
      <c r="BL48" s="129">
        <v>1</v>
      </c>
      <c r="BM48" s="129">
        <v>1</v>
      </c>
      <c r="BN48" s="129">
        <v>1</v>
      </c>
      <c r="BO48" s="129">
        <v>1</v>
      </c>
      <c r="BP48" s="129">
        <v>1</v>
      </c>
      <c r="BQ48" s="129">
        <v>1</v>
      </c>
      <c r="BR48" s="129">
        <v>1</v>
      </c>
      <c r="BS48" s="129">
        <v>1</v>
      </c>
      <c r="BT48" s="129">
        <v>1</v>
      </c>
      <c r="BU48" s="129">
        <v>1</v>
      </c>
      <c r="BV48" s="129">
        <v>1</v>
      </c>
      <c r="BW48" s="129">
        <v>1</v>
      </c>
      <c r="BX48" s="129">
        <v>1</v>
      </c>
      <c r="BY48" s="129">
        <v>1</v>
      </c>
      <c r="BZ48" s="129">
        <v>1</v>
      </c>
      <c r="CA48" s="129">
        <v>1</v>
      </c>
      <c r="CB48" s="129">
        <v>1</v>
      </c>
      <c r="CC48" s="129">
        <v>1</v>
      </c>
      <c r="CD48" s="129">
        <v>1</v>
      </c>
      <c r="CE48" s="129">
        <v>1</v>
      </c>
      <c r="CF48" s="129">
        <v>1</v>
      </c>
      <c r="CG48" s="129">
        <v>1</v>
      </c>
      <c r="CH48" s="129">
        <v>1</v>
      </c>
      <c r="CI48" s="129">
        <v>1</v>
      </c>
      <c r="CJ48" s="129">
        <v>1</v>
      </c>
      <c r="CK48" s="129">
        <v>1</v>
      </c>
      <c r="CL48" s="129">
        <v>1</v>
      </c>
      <c r="CM48" s="129">
        <v>1</v>
      </c>
      <c r="CN48" s="129">
        <v>1</v>
      </c>
      <c r="CO48" s="129">
        <v>1</v>
      </c>
      <c r="CP48" s="129">
        <v>1</v>
      </c>
      <c r="CQ48" s="129">
        <v>1</v>
      </c>
      <c r="CR48" s="129">
        <v>1</v>
      </c>
      <c r="CS48" s="129">
        <v>1</v>
      </c>
      <c r="CT48" s="129">
        <v>1</v>
      </c>
      <c r="CU48" s="129">
        <v>1</v>
      </c>
      <c r="CV48" s="129">
        <v>1</v>
      </c>
      <c r="CW48" s="129">
        <v>1</v>
      </c>
      <c r="CX48" s="129">
        <v>1</v>
      </c>
      <c r="CY48" s="129">
        <v>1</v>
      </c>
      <c r="CZ48" s="129">
        <v>1</v>
      </c>
      <c r="DA48" s="129">
        <v>1</v>
      </c>
      <c r="DB48" s="129">
        <v>1</v>
      </c>
      <c r="DC48" s="129">
        <v>1</v>
      </c>
      <c r="DD48" s="129">
        <v>1</v>
      </c>
      <c r="DE48" s="129">
        <v>1</v>
      </c>
      <c r="DF48" s="129">
        <v>1</v>
      </c>
      <c r="DG48" s="129">
        <v>1</v>
      </c>
      <c r="DH48" s="129">
        <v>1</v>
      </c>
      <c r="DI48" s="129">
        <v>1</v>
      </c>
      <c r="DJ48" s="129">
        <v>1</v>
      </c>
      <c r="DK48" s="129">
        <v>1</v>
      </c>
      <c r="DL48" s="129">
        <v>1</v>
      </c>
      <c r="DM48" s="129">
        <v>1</v>
      </c>
      <c r="DN48" s="129">
        <v>1</v>
      </c>
      <c r="DO48" s="129">
        <v>1</v>
      </c>
      <c r="DP48" s="129">
        <v>1</v>
      </c>
      <c r="DQ48" s="129">
        <v>1</v>
      </c>
      <c r="DR48" s="129">
        <v>1</v>
      </c>
      <c r="DS48" s="129">
        <v>1</v>
      </c>
      <c r="DT48" s="129">
        <v>1</v>
      </c>
      <c r="DU48" s="129">
        <v>1</v>
      </c>
      <c r="DV48" s="129">
        <v>1</v>
      </c>
      <c r="DW48" s="129">
        <v>1</v>
      </c>
      <c r="DX48" s="129">
        <v>1</v>
      </c>
      <c r="DY48" s="129">
        <v>1</v>
      </c>
      <c r="DZ48" s="129">
        <v>1</v>
      </c>
      <c r="EA48" s="129">
        <v>1</v>
      </c>
      <c r="EB48" s="129">
        <v>1</v>
      </c>
      <c r="EC48" s="129">
        <v>1</v>
      </c>
      <c r="ED48" s="129">
        <v>1</v>
      </c>
      <c r="EE48" s="129">
        <v>1</v>
      </c>
      <c r="EF48" s="129">
        <v>1</v>
      </c>
      <c r="EG48" s="129">
        <v>1</v>
      </c>
      <c r="EH48" s="129">
        <v>1</v>
      </c>
      <c r="EI48" s="129">
        <v>1</v>
      </c>
      <c r="EJ48" s="129">
        <v>1</v>
      </c>
    </row>
    <row r="49" spans="1:5" ht="26" customHeight="1" thickBot="1" x14ac:dyDescent="0.5">
      <c r="A49" s="142" t="s">
        <v>38</v>
      </c>
    </row>
    <row r="50" spans="1:5" ht="17.25" customHeight="1" thickTop="1" x14ac:dyDescent="0.35">
      <c r="A50" s="129" t="s">
        <v>181</v>
      </c>
      <c r="C50" s="129">
        <v>8930</v>
      </c>
      <c r="D50" s="129" t="s">
        <v>262</v>
      </c>
    </row>
    <row r="51" spans="1:5" ht="17.25" customHeight="1" x14ac:dyDescent="0.35">
      <c r="A51" s="129" t="s">
        <v>182</v>
      </c>
      <c r="C51" s="129">
        <f>+C50*3.666</f>
        <v>32737.38</v>
      </c>
    </row>
    <row r="52" spans="1:5" ht="17.25" customHeight="1" x14ac:dyDescent="0.35">
      <c r="A52" s="129" t="s">
        <v>40</v>
      </c>
      <c r="C52" s="129">
        <v>5.0000000000000001E-3</v>
      </c>
      <c r="D52" s="129" t="s">
        <v>92</v>
      </c>
    </row>
    <row r="53" spans="1:5" ht="17.25" customHeight="1" x14ac:dyDescent="0.35">
      <c r="A53" s="129" t="s">
        <v>80</v>
      </c>
      <c r="C53" s="129">
        <f>+C51/B34/1000</f>
        <v>0.48898252427184469</v>
      </c>
      <c r="D53" s="129" t="s">
        <v>92</v>
      </c>
    </row>
    <row r="54" spans="1:5" ht="17.25" customHeight="1" x14ac:dyDescent="0.35">
      <c r="A54" s="129" t="s">
        <v>165</v>
      </c>
      <c r="C54" s="134">
        <f>3.666*0.42</f>
        <v>1.53972</v>
      </c>
      <c r="D54" s="129" t="s">
        <v>163</v>
      </c>
    </row>
    <row r="55" spans="1:5" ht="17.25" customHeight="1" x14ac:dyDescent="0.35">
      <c r="A55" s="129" t="s">
        <v>0</v>
      </c>
      <c r="C55" s="129">
        <v>0.2</v>
      </c>
      <c r="D55" s="129" t="s">
        <v>91</v>
      </c>
    </row>
    <row r="56" spans="1:5" ht="17.25" customHeight="1" x14ac:dyDescent="0.35">
      <c r="A56" s="129" t="s">
        <v>191</v>
      </c>
      <c r="B56" s="128">
        <v>10</v>
      </c>
      <c r="C56" s="129" t="s">
        <v>192</v>
      </c>
    </row>
    <row r="57" spans="1:5" ht="17.25" customHeight="1" x14ac:dyDescent="0.35">
      <c r="A57" s="129" t="s">
        <v>265</v>
      </c>
      <c r="B57" s="135">
        <v>-1E-3</v>
      </c>
    </row>
    <row r="58" spans="1:5" ht="17.25" customHeight="1" thickBot="1" x14ac:dyDescent="0.5">
      <c r="A58" s="142" t="s">
        <v>10</v>
      </c>
      <c r="B58" s="128" t="s">
        <v>151</v>
      </c>
      <c r="C58" s="129" t="s">
        <v>152</v>
      </c>
    </row>
    <row r="59" spans="1:5" ht="17.25" customHeight="1" thickTop="1" x14ac:dyDescent="0.35">
      <c r="A59" s="129" t="s">
        <v>149</v>
      </c>
      <c r="B59" s="128">
        <v>384.5</v>
      </c>
      <c r="C59" s="129">
        <f>+B59*2.13</f>
        <v>818.98500000000001</v>
      </c>
    </row>
    <row r="60" spans="1:5" ht="17.25" customHeight="1" x14ac:dyDescent="0.35">
      <c r="A60" s="129" t="s">
        <v>150</v>
      </c>
      <c r="B60" s="128">
        <v>394.2</v>
      </c>
      <c r="C60" s="129">
        <f>+B60*2.13</f>
        <v>839.64599999999996</v>
      </c>
    </row>
    <row r="61" spans="1:5" ht="17.25" customHeight="1" x14ac:dyDescent="0.35">
      <c r="A61" s="129" t="s">
        <v>147</v>
      </c>
      <c r="B61" s="128">
        <v>1527</v>
      </c>
      <c r="C61" s="129">
        <v>1527</v>
      </c>
      <c r="E61" s="129" t="s">
        <v>106</v>
      </c>
    </row>
    <row r="62" spans="1:5" ht="17.25" customHeight="1" x14ac:dyDescent="0.35">
      <c r="A62" s="129" t="s">
        <v>148</v>
      </c>
      <c r="B62" s="128">
        <v>10010</v>
      </c>
      <c r="C62" s="129">
        <v>10010</v>
      </c>
      <c r="E62" s="129" t="s">
        <v>106</v>
      </c>
    </row>
    <row r="63" spans="1:5" ht="24" customHeight="1" thickBot="1" x14ac:dyDescent="0.45">
      <c r="A63" s="144" t="s">
        <v>183</v>
      </c>
      <c r="B63" s="128" t="s">
        <v>184</v>
      </c>
    </row>
    <row r="64" spans="1:5" ht="17.25" customHeight="1" thickTop="1" x14ac:dyDescent="0.35">
      <c r="A64" s="129" t="s">
        <v>66</v>
      </c>
      <c r="B64" s="128">
        <f>100-B66</f>
        <v>91.2</v>
      </c>
      <c r="C64" s="129" t="s">
        <v>94</v>
      </c>
    </row>
    <row r="65" spans="1:3" ht="17.25" customHeight="1" x14ac:dyDescent="0.35">
      <c r="A65" s="129" t="s">
        <v>67</v>
      </c>
      <c r="B65" s="128">
        <f>+B71*B66/B72</f>
        <v>3.8328888888888892</v>
      </c>
      <c r="C65" s="129" t="s">
        <v>94</v>
      </c>
    </row>
    <row r="66" spans="1:3" ht="17.25" customHeight="1" x14ac:dyDescent="0.35">
      <c r="A66" s="129" t="s">
        <v>68</v>
      </c>
      <c r="B66" s="128">
        <f>+B16</f>
        <v>8.8000000000000007</v>
      </c>
      <c r="C66" s="129" t="s">
        <v>93</v>
      </c>
    </row>
    <row r="67" spans="1:3" ht="17.25" customHeight="1" x14ac:dyDescent="0.35">
      <c r="A67" s="129" t="s">
        <v>83</v>
      </c>
      <c r="B67" s="128">
        <f>100-B65-B69</f>
        <v>95.917111111111112</v>
      </c>
      <c r="C67" s="129" t="s">
        <v>94</v>
      </c>
    </row>
    <row r="68" spans="1:3" ht="17.25" customHeight="1" x14ac:dyDescent="0.35">
      <c r="A68" s="129" t="s">
        <v>84</v>
      </c>
      <c r="B68" s="128">
        <f>+B69*B72/B73</f>
        <v>3.3750000000000002E-2</v>
      </c>
      <c r="C68" s="129" t="s">
        <v>94</v>
      </c>
    </row>
    <row r="69" spans="1:3" ht="17.25" customHeight="1" x14ac:dyDescent="0.35">
      <c r="A69" s="129" t="s">
        <v>85</v>
      </c>
      <c r="B69" s="128">
        <v>0.25</v>
      </c>
      <c r="C69" s="129" t="s">
        <v>93</v>
      </c>
    </row>
    <row r="70" spans="1:3" ht="17.25" customHeight="1" x14ac:dyDescent="0.35">
      <c r="A70" s="129" t="s">
        <v>86</v>
      </c>
      <c r="B70" s="128">
        <f>100-B68</f>
        <v>99.966250000000002</v>
      </c>
      <c r="C70" s="129" t="s">
        <v>94</v>
      </c>
    </row>
    <row r="71" spans="1:3" ht="17.25" customHeight="1" x14ac:dyDescent="0.35">
      <c r="A71" s="129" t="s">
        <v>120</v>
      </c>
      <c r="B71" s="128">
        <v>588</v>
      </c>
      <c r="C71" s="129" t="s">
        <v>94</v>
      </c>
    </row>
    <row r="72" spans="1:3" ht="17.25" customHeight="1" x14ac:dyDescent="0.35">
      <c r="A72" s="129" t="s">
        <v>121</v>
      </c>
      <c r="B72" s="128">
        <v>1350</v>
      </c>
      <c r="C72" s="129" t="s">
        <v>93</v>
      </c>
    </row>
    <row r="73" spans="1:3" ht="17.25" customHeight="1" x14ac:dyDescent="0.35">
      <c r="A73" s="129" t="s">
        <v>122</v>
      </c>
      <c r="B73" s="128">
        <v>10000</v>
      </c>
      <c r="C73" s="129" t="s">
        <v>185</v>
      </c>
    </row>
    <row r="74" spans="1:3" ht="17.25" customHeight="1" x14ac:dyDescent="0.35"/>
    <row r="75" spans="1:3" ht="17.25" customHeight="1" thickBot="1" x14ac:dyDescent="0.5">
      <c r="A75" s="142" t="s">
        <v>74</v>
      </c>
    </row>
    <row r="76" spans="1:3" ht="17.25" customHeight="1" thickTop="1" x14ac:dyDescent="0.35">
      <c r="A76" s="129" t="s">
        <v>21</v>
      </c>
      <c r="B76" s="135">
        <v>-0.06</v>
      </c>
      <c r="C76" s="129" t="s">
        <v>95</v>
      </c>
    </row>
    <row r="77" spans="1:3" ht="17.25" customHeight="1" x14ac:dyDescent="0.35">
      <c r="A77" s="129" t="s">
        <v>41</v>
      </c>
      <c r="B77" s="135">
        <v>0.62</v>
      </c>
      <c r="C77" s="129" t="s">
        <v>266</v>
      </c>
    </row>
    <row r="78" spans="1:3" ht="17.25" customHeight="1" x14ac:dyDescent="0.35">
      <c r="A78" s="129" t="s">
        <v>154</v>
      </c>
      <c r="B78" s="135">
        <v>0.83</v>
      </c>
      <c r="C78" s="129" t="s">
        <v>189</v>
      </c>
    </row>
    <row r="79" spans="1:3" ht="17.25" customHeight="1" x14ac:dyDescent="0.35">
      <c r="A79" s="129" t="s">
        <v>5</v>
      </c>
      <c r="B79" s="135">
        <v>6.7999999999999996E-3</v>
      </c>
      <c r="C79" s="129" t="s">
        <v>93</v>
      </c>
    </row>
    <row r="80" spans="1:3" ht="17.25" customHeight="1" x14ac:dyDescent="0.35">
      <c r="A80" s="129" t="s">
        <v>72</v>
      </c>
      <c r="B80" s="135">
        <v>3.2</v>
      </c>
      <c r="C80" s="129" t="s">
        <v>190</v>
      </c>
    </row>
    <row r="81" spans="1:5" ht="17.25" customHeight="1" x14ac:dyDescent="0.35">
      <c r="A81" s="129" t="s">
        <v>19</v>
      </c>
      <c r="B81" s="135">
        <v>3.8</v>
      </c>
      <c r="C81" s="129" t="s">
        <v>127</v>
      </c>
    </row>
    <row r="82" spans="1:5" ht="25.25" customHeight="1" thickBot="1" x14ac:dyDescent="0.5">
      <c r="A82" s="145" t="s">
        <v>195</v>
      </c>
    </row>
    <row r="83" spans="1:5" ht="17.25" customHeight="1" thickTop="1" x14ac:dyDescent="0.35">
      <c r="A83" s="129" t="s">
        <v>39</v>
      </c>
      <c r="B83" s="128">
        <v>0.104</v>
      </c>
      <c r="C83" s="129" t="s">
        <v>129</v>
      </c>
    </row>
    <row r="84" spans="1:5" ht="17.25" customHeight="1" x14ac:dyDescent="0.35">
      <c r="A84" s="129" t="s">
        <v>73</v>
      </c>
      <c r="B84" s="128">
        <v>0.155</v>
      </c>
      <c r="C84" s="129" t="s">
        <v>93</v>
      </c>
    </row>
    <row r="85" spans="1:5" ht="17.25" customHeight="1" x14ac:dyDescent="0.35">
      <c r="A85" s="129" t="s">
        <v>16</v>
      </c>
      <c r="B85" s="128">
        <v>2.5000000000000001E-2</v>
      </c>
      <c r="C85" s="129" t="s">
        <v>93</v>
      </c>
    </row>
    <row r="86" spans="1:5" ht="24" customHeight="1" thickBot="1" x14ac:dyDescent="0.5">
      <c r="A86" s="142" t="s">
        <v>110</v>
      </c>
      <c r="B86" s="136" t="s">
        <v>141</v>
      </c>
    </row>
    <row r="87" spans="1:5" ht="17.25" customHeight="1" thickTop="1" x14ac:dyDescent="0.35"/>
    <row r="88" spans="1:5" ht="17.25" customHeight="1" x14ac:dyDescent="0.35">
      <c r="A88" s="129" t="s">
        <v>322</v>
      </c>
      <c r="B88">
        <v>0</v>
      </c>
    </row>
    <row r="89" spans="1:5" ht="17.25" customHeight="1" x14ac:dyDescent="0.35">
      <c r="A89" s="129" t="s">
        <v>269</v>
      </c>
      <c r="B89" s="128">
        <v>90</v>
      </c>
    </row>
    <row r="90" spans="1:5" ht="17.25" customHeight="1" x14ac:dyDescent="0.35">
      <c r="A90" s="129" t="s">
        <v>297</v>
      </c>
      <c r="B90" s="128">
        <v>0.04</v>
      </c>
    </row>
    <row r="91" spans="1:5" ht="33.65" customHeight="1" x14ac:dyDescent="0.35">
      <c r="A91" s="129" t="s">
        <v>275</v>
      </c>
      <c r="B91" s="128">
        <v>10500</v>
      </c>
      <c r="D91" s="137"/>
    </row>
    <row r="92" spans="1:5" s="138" customFormat="1" ht="17.25" customHeight="1" x14ac:dyDescent="0.35">
      <c r="A92" s="146" t="s">
        <v>276</v>
      </c>
      <c r="B92" s="128">
        <v>0.13449</v>
      </c>
      <c r="C92" s="130">
        <v>0.4853304</v>
      </c>
      <c r="E92" s="129">
        <f>+Base!J53</f>
        <v>9173.5073444878253</v>
      </c>
    </row>
    <row r="93" spans="1:5" s="138" customFormat="1" ht="17.25" customHeight="1" x14ac:dyDescent="0.35">
      <c r="B93" s="139"/>
    </row>
    <row r="94" spans="1:5" s="138" customFormat="1" ht="17.25" customHeight="1" x14ac:dyDescent="0.35">
      <c r="A94" s="129" t="s">
        <v>277</v>
      </c>
      <c r="B94" s="135">
        <f>+B38</f>
        <v>3.7976214000000001</v>
      </c>
      <c r="C94" s="130">
        <v>3.7976200000000002</v>
      </c>
    </row>
    <row r="95" spans="1:5" s="138" customFormat="1" ht="17.25" customHeight="1" x14ac:dyDescent="0.35">
      <c r="A95" s="129" t="s">
        <v>294</v>
      </c>
      <c r="B95" s="135">
        <v>7.9000000000000001E-2</v>
      </c>
      <c r="C95" s="130">
        <v>0.1600232</v>
      </c>
    </row>
    <row r="96" spans="1:5" s="138" customFormat="1" ht="17.25" customHeight="1" x14ac:dyDescent="0.35">
      <c r="A96" s="129" t="s">
        <v>295</v>
      </c>
      <c r="B96" s="135">
        <v>6.0000000000000001E-3</v>
      </c>
      <c r="C96" s="130">
        <v>9.4258838500000004E-3</v>
      </c>
    </row>
    <row r="97" spans="1:124" ht="14.25" customHeight="1" x14ac:dyDescent="0.35">
      <c r="A97" s="129" t="s">
        <v>296</v>
      </c>
      <c r="B97" s="135">
        <v>0</v>
      </c>
      <c r="C97" s="130">
        <v>1.92375246E-3</v>
      </c>
    </row>
    <row r="99" spans="1:124" ht="14.25" customHeight="1" x14ac:dyDescent="0.35">
      <c r="A99" s="129" t="s">
        <v>278</v>
      </c>
    </row>
    <row r="100" spans="1:124" ht="14.25" customHeight="1" x14ac:dyDescent="0.35">
      <c r="A100" s="129" t="s">
        <v>279</v>
      </c>
    </row>
    <row r="101" spans="1:124" ht="14.25" customHeight="1" x14ac:dyDescent="0.35">
      <c r="A101" s="129" t="s">
        <v>280</v>
      </c>
      <c r="C101" s="129">
        <f>+LN(C103/B103)/5</f>
        <v>1.6459048545366006E-2</v>
      </c>
    </row>
    <row r="102" spans="1:124" ht="14.25" customHeight="1" x14ac:dyDescent="0.35">
      <c r="B102" s="128">
        <v>2010</v>
      </c>
      <c r="C102" s="129">
        <v>2015</v>
      </c>
      <c r="D102" s="129">
        <v>2020</v>
      </c>
      <c r="E102" s="129">
        <v>2025</v>
      </c>
      <c r="F102" s="129">
        <v>2030</v>
      </c>
      <c r="G102" s="129">
        <v>2035</v>
      </c>
      <c r="H102" s="129">
        <v>2040</v>
      </c>
      <c r="I102" s="129">
        <v>2045</v>
      </c>
      <c r="J102" s="129">
        <v>2050</v>
      </c>
      <c r="K102" s="129">
        <v>2055</v>
      </c>
      <c r="L102" s="129">
        <v>2060</v>
      </c>
      <c r="M102" s="129">
        <v>2065</v>
      </c>
      <c r="N102" s="129">
        <v>2070</v>
      </c>
      <c r="O102" s="129">
        <v>2075</v>
      </c>
      <c r="P102" s="129">
        <v>2080</v>
      </c>
      <c r="Q102" s="129">
        <v>2085</v>
      </c>
      <c r="R102" s="129">
        <v>2090</v>
      </c>
      <c r="S102" s="129">
        <v>2095</v>
      </c>
      <c r="T102" s="129">
        <v>2100</v>
      </c>
      <c r="U102" s="129">
        <v>2105</v>
      </c>
      <c r="V102" s="129">
        <v>2110</v>
      </c>
      <c r="W102" s="129">
        <v>2115</v>
      </c>
      <c r="X102" s="129">
        <v>2120</v>
      </c>
      <c r="Y102" s="129">
        <v>2125</v>
      </c>
      <c r="Z102" s="129">
        <v>2130</v>
      </c>
      <c r="AA102" s="129">
        <v>2135</v>
      </c>
      <c r="AB102" s="129">
        <v>2140</v>
      </c>
      <c r="AC102" s="129">
        <v>2145</v>
      </c>
      <c r="AD102" s="129">
        <v>2150</v>
      </c>
      <c r="AE102" s="129">
        <v>2155</v>
      </c>
      <c r="AF102" s="129">
        <v>2160</v>
      </c>
      <c r="AG102" s="129">
        <v>2165</v>
      </c>
      <c r="AH102" s="129">
        <v>2170</v>
      </c>
      <c r="AI102" s="129">
        <v>2175</v>
      </c>
      <c r="AJ102" s="129">
        <v>2180</v>
      </c>
      <c r="AK102" s="129">
        <v>2185</v>
      </c>
      <c r="AL102" s="129">
        <v>2190</v>
      </c>
      <c r="AM102" s="129">
        <v>2195</v>
      </c>
      <c r="AN102" s="129">
        <v>2200</v>
      </c>
      <c r="AO102" s="129">
        <v>2205</v>
      </c>
      <c r="AP102" s="129">
        <v>2210</v>
      </c>
      <c r="AQ102" s="129">
        <v>2215</v>
      </c>
      <c r="AR102" s="129">
        <v>2220</v>
      </c>
      <c r="AS102" s="129">
        <v>2225</v>
      </c>
      <c r="AT102" s="129">
        <v>2230</v>
      </c>
      <c r="AU102" s="129">
        <v>2235</v>
      </c>
      <c r="AV102" s="129">
        <v>2240</v>
      </c>
      <c r="AW102" s="129">
        <v>2245</v>
      </c>
      <c r="AX102" s="129">
        <v>2250</v>
      </c>
      <c r="AY102" s="129">
        <v>2255</v>
      </c>
      <c r="AZ102" s="129">
        <v>2260</v>
      </c>
      <c r="BA102" s="129">
        <v>2265</v>
      </c>
      <c r="BB102" s="129">
        <v>2270</v>
      </c>
      <c r="BC102" s="129">
        <v>2275</v>
      </c>
      <c r="BD102" s="129">
        <v>2280</v>
      </c>
      <c r="BE102" s="129">
        <v>2285</v>
      </c>
      <c r="BF102" s="129">
        <v>2290</v>
      </c>
      <c r="BG102" s="129">
        <v>2295</v>
      </c>
      <c r="BH102" s="129">
        <v>2300</v>
      </c>
      <c r="BI102" s="129">
        <v>2305</v>
      </c>
      <c r="BJ102" s="129">
        <v>2310</v>
      </c>
      <c r="BK102" s="129">
        <v>2315</v>
      </c>
      <c r="BL102" s="129">
        <v>2320</v>
      </c>
      <c r="BM102" s="129">
        <v>2325</v>
      </c>
      <c r="BN102" s="129">
        <v>2330</v>
      </c>
      <c r="BO102" s="129">
        <v>2335</v>
      </c>
      <c r="BP102" s="129">
        <v>2340</v>
      </c>
      <c r="BQ102" s="129">
        <v>2345</v>
      </c>
      <c r="BR102" s="129">
        <v>2350</v>
      </c>
      <c r="BS102" s="129">
        <v>2355</v>
      </c>
      <c r="BT102" s="129">
        <v>2360</v>
      </c>
      <c r="BU102" s="129">
        <v>2365</v>
      </c>
      <c r="BV102" s="129">
        <v>2370</v>
      </c>
      <c r="BW102" s="129">
        <v>2375</v>
      </c>
      <c r="BX102" s="129">
        <v>2380</v>
      </c>
      <c r="BY102" s="129">
        <v>2385</v>
      </c>
      <c r="BZ102" s="129">
        <v>2390</v>
      </c>
      <c r="CA102" s="129">
        <v>2395</v>
      </c>
      <c r="CB102" s="129">
        <v>2400</v>
      </c>
      <c r="CC102" s="129">
        <v>2405</v>
      </c>
      <c r="CD102" s="129">
        <v>2410</v>
      </c>
      <c r="CE102" s="129">
        <v>2415</v>
      </c>
      <c r="CF102" s="129">
        <v>2420</v>
      </c>
      <c r="CG102" s="129">
        <v>2425</v>
      </c>
      <c r="CH102" s="129">
        <v>2430</v>
      </c>
      <c r="CI102" s="129">
        <v>2435</v>
      </c>
      <c r="CJ102" s="129">
        <v>2440</v>
      </c>
      <c r="CK102" s="129">
        <v>2445</v>
      </c>
      <c r="CL102" s="129">
        <v>2450</v>
      </c>
      <c r="CM102" s="129">
        <v>2455</v>
      </c>
      <c r="CN102" s="129">
        <v>2460</v>
      </c>
      <c r="CO102" s="129">
        <v>2465</v>
      </c>
      <c r="CP102" s="129">
        <v>2470</v>
      </c>
      <c r="CQ102" s="129">
        <v>2475</v>
      </c>
      <c r="CR102" s="129">
        <v>2480</v>
      </c>
      <c r="CS102" s="129">
        <v>2485</v>
      </c>
      <c r="CT102" s="129">
        <v>2490</v>
      </c>
      <c r="CU102" s="129">
        <v>2495</v>
      </c>
      <c r="CV102" s="129">
        <v>2500</v>
      </c>
      <c r="CW102" s="129">
        <v>2505</v>
      </c>
      <c r="CX102" s="129">
        <v>2510</v>
      </c>
      <c r="CY102" s="129">
        <v>2515</v>
      </c>
      <c r="CZ102" s="129">
        <v>2520</v>
      </c>
      <c r="DA102" s="129">
        <v>2525</v>
      </c>
      <c r="DB102" s="129">
        <v>2530</v>
      </c>
      <c r="DC102" s="129">
        <v>2535</v>
      </c>
      <c r="DD102" s="129">
        <v>2540</v>
      </c>
      <c r="DE102" s="129">
        <v>2545</v>
      </c>
      <c r="DF102" s="129">
        <v>2550</v>
      </c>
      <c r="DG102" s="129">
        <v>2555</v>
      </c>
      <c r="DH102" s="129">
        <v>2560</v>
      </c>
      <c r="DI102" s="129">
        <v>2565</v>
      </c>
      <c r="DJ102" s="129">
        <v>2570</v>
      </c>
      <c r="DK102" s="129">
        <v>2575</v>
      </c>
      <c r="DL102" s="129">
        <v>2580</v>
      </c>
      <c r="DM102" s="129">
        <v>2585</v>
      </c>
      <c r="DN102" s="129">
        <v>2590</v>
      </c>
      <c r="DO102" s="129">
        <v>2595</v>
      </c>
      <c r="DP102" s="129">
        <v>2600</v>
      </c>
      <c r="DQ102" s="129">
        <v>2605</v>
      </c>
      <c r="DR102" s="129">
        <v>2610</v>
      </c>
      <c r="DS102" s="129">
        <v>2615</v>
      </c>
      <c r="DT102" s="129">
        <v>2620</v>
      </c>
    </row>
    <row r="103" spans="1:124" ht="14.25" customHeight="1" x14ac:dyDescent="0.35">
      <c r="A103" s="129" t="s">
        <v>282</v>
      </c>
      <c r="B103" s="128">
        <f>+B94</f>
        <v>3.7976214000000001</v>
      </c>
      <c r="C103" s="130">
        <f t="shared" ref="C103:I103" si="10">+B103/(1-B104)</f>
        <v>4.1233674267100975</v>
      </c>
      <c r="D103" s="130">
        <f t="shared" si="10"/>
        <v>4.4657337879870225</v>
      </c>
      <c r="E103" s="130">
        <f t="shared" si="10"/>
        <v>4.8246876450561675</v>
      </c>
      <c r="F103" s="130">
        <f t="shared" si="10"/>
        <v>5.2001407372762589</v>
      </c>
      <c r="G103" s="130">
        <f t="shared" si="10"/>
        <v>5.5919503241395958</v>
      </c>
      <c r="H103" s="130">
        <f t="shared" si="10"/>
        <v>5.9999204992367279</v>
      </c>
      <c r="I103" s="130">
        <f t="shared" si="10"/>
        <v>6.4238038470291627</v>
      </c>
      <c r="J103" s="130">
        <f t="shared" ref="J103:BU103" si="11">+I103/(1-I104)</f>
        <v>6.8633034110325832</v>
      </c>
      <c r="K103" s="130">
        <f t="shared" si="11"/>
        <v>7.3180749403940499</v>
      </c>
      <c r="L103" s="130">
        <f t="shared" si="11"/>
        <v>7.7877293808181882</v>
      </c>
      <c r="M103" s="130">
        <f t="shared" si="11"/>
        <v>8.2718355753199262</v>
      </c>
      <c r="N103" s="130">
        <f t="shared" si="11"/>
        <v>8.7699231403093645</v>
      </c>
      <c r="O103" s="130">
        <f t="shared" si="11"/>
        <v>9.2814854829978692</v>
      </c>
      <c r="P103" s="130">
        <f t="shared" si="11"/>
        <v>9.805982927000942</v>
      </c>
      <c r="Q103" s="130">
        <f t="shared" si="11"/>
        <v>10.342845914248688</v>
      </c>
      <c r="R103" s="130">
        <f t="shared" si="11"/>
        <v>10.891478252845129</v>
      </c>
      <c r="S103" s="130">
        <f t="shared" si="11"/>
        <v>11.451260382290016</v>
      </c>
      <c r="T103" s="130">
        <f t="shared" si="11"/>
        <v>12.021552629440624</v>
      </c>
      <c r="U103" s="130">
        <f t="shared" si="11"/>
        <v>12.601698430697848</v>
      </c>
      <c r="V103" s="130">
        <f t="shared" si="11"/>
        <v>13.191027498106218</v>
      </c>
      <c r="W103" s="130">
        <f t="shared" si="11"/>
        <v>13.788858909319805</v>
      </c>
      <c r="X103" s="130">
        <f t="shared" si="11"/>
        <v>14.394504103668551</v>
      </c>
      <c r="Y103" s="130">
        <f t="shared" si="11"/>
        <v>15.007269768829158</v>
      </c>
      <c r="Z103" s="130">
        <f t="shared" si="11"/>
        <v>15.626460604832571</v>
      </c>
      <c r="AA103" s="130">
        <f t="shared" si="11"/>
        <v>16.251381954301731</v>
      </c>
      <c r="AB103" s="130">
        <f t="shared" si="11"/>
        <v>16.881342289887851</v>
      </c>
      <c r="AC103" s="130">
        <f t="shared" si="11"/>
        <v>17.515655551844304</v>
      </c>
      <c r="AD103" s="130">
        <f t="shared" si="11"/>
        <v>18.153643330531068</v>
      </c>
      <c r="AE103" s="130">
        <f t="shared" si="11"/>
        <v>18.794636890369542</v>
      </c>
      <c r="AF103" s="130">
        <f t="shared" si="11"/>
        <v>19.437979033360847</v>
      </c>
      <c r="AG103" s="130">
        <f t="shared" si="11"/>
        <v>20.08302580173595</v>
      </c>
      <c r="AH103" s="130">
        <f t="shared" si="11"/>
        <v>20.729148020621849</v>
      </c>
      <c r="AI103" s="130">
        <f t="shared" si="11"/>
        <v>21.375732682784619</v>
      </c>
      <c r="AJ103" s="130">
        <f t="shared" si="11"/>
        <v>22.022184178549967</v>
      </c>
      <c r="AK103" s="130">
        <f t="shared" si="11"/>
        <v>22.667925374908592</v>
      </c>
      <c r="AL103" s="130">
        <f t="shared" si="11"/>
        <v>23.312398548592238</v>
      </c>
      <c r="AM103" s="130">
        <f t="shared" si="11"/>
        <v>23.955066178562941</v>
      </c>
      <c r="AN103" s="130">
        <f t="shared" si="11"/>
        <v>24.595411603899361</v>
      </c>
      <c r="AO103" s="130">
        <f t="shared" si="11"/>
        <v>25.232939553497779</v>
      </c>
      <c r="AP103" s="130">
        <f t="shared" si="11"/>
        <v>25.867176554338993</v>
      </c>
      <c r="AQ103" s="130">
        <f t="shared" si="11"/>
        <v>26.497671225314146</v>
      </c>
      <c r="AR103" s="130">
        <f t="shared" si="11"/>
        <v>27.123994463760443</v>
      </c>
      <c r="AS103" s="130">
        <f t="shared" si="11"/>
        <v>27.745739531939883</v>
      </c>
      <c r="AT103" s="130">
        <f t="shared" si="11"/>
        <v>28.362522050708495</v>
      </c>
      <c r="AU103" s="130">
        <f t="shared" si="11"/>
        <v>28.973979907577796</v>
      </c>
      <c r="AV103" s="130">
        <f t="shared" si="11"/>
        <v>29.579773086271572</v>
      </c>
      <c r="AW103" s="130">
        <f t="shared" si="11"/>
        <v>30.179583424736954</v>
      </c>
      <c r="AX103" s="130">
        <f t="shared" si="11"/>
        <v>30.773114308385264</v>
      </c>
      <c r="AY103" s="130">
        <f t="shared" si="11"/>
        <v>31.360090305122124</v>
      </c>
      <c r="AZ103" s="130">
        <f t="shared" si="11"/>
        <v>31.94025674848292</v>
      </c>
      <c r="BA103" s="130">
        <f t="shared" si="11"/>
        <v>32.513379274924787</v>
      </c>
      <c r="BB103" s="130">
        <f t="shared" si="11"/>
        <v>33.07924332104443</v>
      </c>
      <c r="BC103" s="130">
        <f t="shared" si="11"/>
        <v>33.63765358619667</v>
      </c>
      <c r="BD103" s="130">
        <f t="shared" si="11"/>
        <v>34.188433465685904</v>
      </c>
      <c r="BE103" s="130">
        <f t="shared" si="11"/>
        <v>34.73142445939488</v>
      </c>
      <c r="BF103" s="130">
        <f t="shared" si="11"/>
        <v>35.266485560405712</v>
      </c>
      <c r="BG103" s="130">
        <f t="shared" si="11"/>
        <v>35.793492627859642</v>
      </c>
      <c r="BH103" s="130">
        <f t="shared" si="11"/>
        <v>36.312337747996835</v>
      </c>
      <c r="BI103" s="130">
        <f t="shared" si="11"/>
        <v>36.822928587018112</v>
      </c>
      <c r="BJ103" s="130">
        <f t="shared" si="11"/>
        <v>37.325187739117915</v>
      </c>
      <c r="BK103" s="130">
        <f t="shared" si="11"/>
        <v>40.632949930322908</v>
      </c>
      <c r="BL103" s="130">
        <f t="shared" si="11"/>
        <v>44.233846366157522</v>
      </c>
      <c r="BM103" s="130">
        <f t="shared" si="11"/>
        <v>48.153854635217172</v>
      </c>
      <c r="BN103" s="130">
        <f t="shared" si="11"/>
        <v>52.421254462819938</v>
      </c>
      <c r="BO103" s="130">
        <f t="shared" si="11"/>
        <v>57.066831726612946</v>
      </c>
      <c r="BP103" s="130">
        <f t="shared" si="11"/>
        <v>62.124100552063972</v>
      </c>
      <c r="BQ103" s="130">
        <f t="shared" si="11"/>
        <v>67.629545090079588</v>
      </c>
      <c r="BR103" s="130">
        <f t="shared" si="11"/>
        <v>73.622882720982147</v>
      </c>
      <c r="BS103" s="130">
        <f t="shared" si="11"/>
        <v>80.147350583651743</v>
      </c>
      <c r="BT103" s="130">
        <f t="shared" si="11"/>
        <v>87.250017496911852</v>
      </c>
      <c r="BU103" s="130">
        <f t="shared" si="11"/>
        <v>94.982123523422075</v>
      </c>
      <c r="BV103" s="130">
        <f t="shared" ref="BV103:CF103" si="12">+BU103/(1-BU104)</f>
        <v>103.39944962575991</v>
      </c>
      <c r="BW103" s="130">
        <f t="shared" si="12"/>
        <v>112.5627200814647</v>
      </c>
      <c r="BX103" s="130">
        <f t="shared" si="12"/>
        <v>122.53804056014634</v>
      </c>
      <c r="BY103" s="130">
        <f t="shared" si="12"/>
        <v>133.3973750230351</v>
      </c>
      <c r="BZ103" s="130">
        <f t="shared" si="12"/>
        <v>145.2190648854212</v>
      </c>
      <c r="CA103" s="130">
        <f t="shared" si="12"/>
        <v>158.08839418732634</v>
      </c>
      <c r="CB103" s="130">
        <f t="shared" si="12"/>
        <v>172.09820484966133</v>
      </c>
      <c r="CC103" s="130">
        <f t="shared" si="12"/>
        <v>187.34956645445132</v>
      </c>
      <c r="CD103" s="130">
        <f t="shared" si="12"/>
        <v>203.95250538105739</v>
      </c>
      <c r="CE103" s="130">
        <f t="shared" si="12"/>
        <v>222.02679855852924</v>
      </c>
      <c r="CF103" s="130">
        <f t="shared" si="12"/>
        <v>241.70283756037742</v>
      </c>
      <c r="CG103" s="130">
        <f t="shared" ref="CG103:DT103" si="13">+CF103/(1-CF104)</f>
        <v>263.12256927551846</v>
      </c>
      <c r="CH103" s="130">
        <f t="shared" si="13"/>
        <v>286.44051994158104</v>
      </c>
      <c r="CI103" s="130">
        <f t="shared" si="13"/>
        <v>311.82490992815508</v>
      </c>
      <c r="CJ103" s="130">
        <f t="shared" si="13"/>
        <v>339.4588673122534</v>
      </c>
      <c r="CK103" s="130">
        <f t="shared" si="13"/>
        <v>369.54174900096262</v>
      </c>
      <c r="CL103" s="130">
        <f t="shared" si="13"/>
        <v>402.29057893212683</v>
      </c>
      <c r="CM103" s="130">
        <f t="shared" si="13"/>
        <v>437.94161372853222</v>
      </c>
      <c r="CN103" s="130">
        <f t="shared" si="13"/>
        <v>476.75204710053521</v>
      </c>
      <c r="CO103" s="130">
        <f t="shared" si="13"/>
        <v>519.0018652930371</v>
      </c>
      <c r="CP103" s="130">
        <f t="shared" si="13"/>
        <v>564.99586696237054</v>
      </c>
      <c r="CQ103" s="130">
        <f t="shared" si="13"/>
        <v>615.06586205489566</v>
      </c>
      <c r="CR103" s="130">
        <f t="shared" si="13"/>
        <v>669.57306555045591</v>
      </c>
      <c r="CS103" s="130">
        <f t="shared" si="13"/>
        <v>728.91070333963853</v>
      </c>
      <c r="CT103" s="130">
        <f t="shared" si="13"/>
        <v>793.50684903416175</v>
      </c>
      <c r="CU103" s="130">
        <f t="shared" si="13"/>
        <v>863.82751217570592</v>
      </c>
      <c r="CV103" s="130">
        <f t="shared" si="13"/>
        <v>940.38000012214684</v>
      </c>
      <c r="CW103" s="130">
        <f t="shared" si="13"/>
        <v>1023.7165778645121</v>
      </c>
      <c r="CX103" s="130">
        <f t="shared" si="13"/>
        <v>1114.438452177314</v>
      </c>
      <c r="CY103" s="130">
        <f t="shared" si="13"/>
        <v>1213.2001088447173</v>
      </c>
      <c r="CZ103" s="130">
        <f t="shared" si="13"/>
        <v>1320.7140342521604</v>
      </c>
      <c r="DA103" s="130">
        <f t="shared" si="13"/>
        <v>1437.7558554059408</v>
      </c>
      <c r="DB103" s="130">
        <f t="shared" si="13"/>
        <v>1565.1699354618916</v>
      </c>
      <c r="DC103" s="130">
        <f t="shared" si="13"/>
        <v>1703.8754651304196</v>
      </c>
      <c r="DD103" s="130">
        <f t="shared" si="13"/>
        <v>1854.8730939025183</v>
      </c>
      <c r="DE103" s="130">
        <f t="shared" si="13"/>
        <v>2019.2521489357503</v>
      </c>
      <c r="DF103" s="130">
        <f t="shared" si="13"/>
        <v>2198.1984936786889</v>
      </c>
      <c r="DG103" s="130">
        <f t="shared" si="13"/>
        <v>2393.0030829275133</v>
      </c>
      <c r="DH103" s="130">
        <f t="shared" si="13"/>
        <v>2605.0712760326464</v>
      </c>
      <c r="DI103" s="130">
        <f t="shared" si="13"/>
        <v>2835.9329754427768</v>
      </c>
      <c r="DJ103" s="130">
        <f t="shared" si="13"/>
        <v>3087.2536637277535</v>
      </c>
      <c r="DK103" s="130">
        <f t="shared" si="13"/>
        <v>3360.8464187036479</v>
      </c>
      <c r="DL103" s="130">
        <f t="shared" si="13"/>
        <v>3658.6849933395042</v>
      </c>
      <c r="DM103" s="130">
        <f t="shared" si="13"/>
        <v>3982.9180548068462</v>
      </c>
      <c r="DN103" s="130">
        <f t="shared" si="13"/>
        <v>4335.8846853952973</v>
      </c>
      <c r="DO103" s="130">
        <f t="shared" si="13"/>
        <v>4720.1312571210274</v>
      </c>
      <c r="DP103" s="130">
        <f t="shared" si="13"/>
        <v>5138.4298017648325</v>
      </c>
      <c r="DQ103" s="130">
        <f t="shared" si="13"/>
        <v>5593.7980088649838</v>
      </c>
      <c r="DR103" s="130">
        <f t="shared" si="13"/>
        <v>6089.5209959343756</v>
      </c>
      <c r="DS103" s="130">
        <f t="shared" si="13"/>
        <v>6629.1750079566791</v>
      </c>
      <c r="DT103" s="130">
        <f t="shared" si="13"/>
        <v>7216.6532171344252</v>
      </c>
    </row>
    <row r="104" spans="1:124" s="130" customFormat="1" ht="14.25" customHeight="1" x14ac:dyDescent="0.35">
      <c r="A104" s="130" t="s">
        <v>281</v>
      </c>
      <c r="B104" s="128">
        <f>+EXP(-$B$96*5*(Base!B1-1))*$B$95</f>
        <v>7.9000000000000001E-2</v>
      </c>
      <c r="C104" s="130">
        <f>+EXP(-$B$96*5*(Base!C1-1))*$B$95</f>
        <v>7.666519715033214E-2</v>
      </c>
      <c r="D104" s="130">
        <f>+EXP(-$B$96*5*(Base!D1-1))*$B$95</f>
        <v>7.4399398153155646E-2</v>
      </c>
      <c r="E104" s="130">
        <f>+EXP(-$B$96*5*(Base!E1-1))*$B$95</f>
        <v>7.2200563636427031E-2</v>
      </c>
      <c r="F104" s="130">
        <f>+EXP(-$B$96*5*(Base!F1-1))*$B$95</f>
        <v>7.0066714500655436E-2</v>
      </c>
      <c r="G104" s="130">
        <f>+EXP(-$B$96*5*(Base!G1-1))*$B$95</f>
        <v>6.7995930137579569E-2</v>
      </c>
      <c r="H104" s="130">
        <f>+EXP(-$B$96*5*(Base!H1-1))*$B$95</f>
        <v>6.5986346701490492E-2</v>
      </c>
      <c r="I104" s="130">
        <f>+EXP(-$B$96*5*(Base!I1-1))*$B$95</f>
        <v>6.4036155431644787E-2</v>
      </c>
      <c r="J104" s="130">
        <f>+EXP(-$B$96*5*(Base!J1-1))*$B$95</f>
        <v>6.2143601024257727E-2</v>
      </c>
      <c r="K104" s="130">
        <f>+EXP(-$B$96*5*(Base!K1-1))*$B$95</f>
        <v>6.0306980052611397E-2</v>
      </c>
      <c r="L104" s="130">
        <f>+EXP(-$B$96*5*(Base!L1-1))*$B$95</f>
        <v>5.8524639433855712E-2</v>
      </c>
      <c r="M104" s="130">
        <f>+EXP(-$B$96*5*(Base!M1-1))*$B$95</f>
        <v>5.6794974941122171E-2</v>
      </c>
      <c r="N104" s="130">
        <f>+EXP(-$B$96*5*(Base!N1-1))*$B$95</f>
        <v>5.5116429759611452E-2</v>
      </c>
      <c r="O104" s="130">
        <f>+EXP(-$B$96*5*(Base!O1-1))*$B$95</f>
        <v>5.3487493085355005E-2</v>
      </c>
      <c r="P104" s="130">
        <f>+EXP(-$B$96*5*(Base!P1-1))*$B$95</f>
        <v>5.1906698765389482E-2</v>
      </c>
      <c r="Q104" s="130">
        <f>+EXP(-$B$96*5*(Base!Q1-1))*$B$95</f>
        <v>5.0372623978120097E-2</v>
      </c>
      <c r="R104" s="130">
        <f>+EXP(-$B$96*5*(Base!R1-1))*$B$95</f>
        <v>4.8883887952685126E-2</v>
      </c>
      <c r="S104" s="130">
        <f>+EXP(-$B$96*5*(Base!S1-1))*$B$95</f>
        <v>4.7439150726169006E-2</v>
      </c>
      <c r="T104" s="130">
        <f>+EXP(-$B$96*5*(Base!T1-1))*$B$95</f>
        <v>4.6037111937545179E-2</v>
      </c>
      <c r="U104" s="130">
        <f>+EXP(-$B$96*5*(Base!U1-1))*$B$95</f>
        <v>4.4676509657263427E-2</v>
      </c>
      <c r="V104" s="130">
        <f>+EXP(-$B$96*5*(Base!V1-1))*$B$95</f>
        <v>4.3356119251428085E-2</v>
      </c>
      <c r="W104" s="130">
        <f>+EXP(-$B$96*5*(Base!W1-1))*$B$95</f>
        <v>4.207475227954488E-2</v>
      </c>
      <c r="X104" s="130">
        <f>+EXP(-$B$96*5*(Base!X1-1))*$B$95</f>
        <v>4.0831255424844247E-2</v>
      </c>
      <c r="Y104" s="130">
        <f>+EXP(-$B$96*5*(Base!Y1-1))*$B$95</f>
        <v>3.9624509456218392E-2</v>
      </c>
      <c r="Z104" s="130">
        <f>+EXP(-$B$96*5*(Base!Z1-1))*$B$95</f>
        <v>3.8453428220837763E-2</v>
      </c>
      <c r="AA104" s="130">
        <f>+EXP(-$B$96*5*(Base!AA1-1))*$B$95</f>
        <v>3.7316957666540161E-2</v>
      </c>
      <c r="AB104" s="130">
        <f>+EXP(-$B$96*5*(Base!AB1-1))*$B$95</f>
        <v>3.6214074893112659E-2</v>
      </c>
      <c r="AC104" s="130">
        <f>+EXP(-$B$96*5*(Base!AC1-1))*$B$95</f>
        <v>3.514378723161235E-2</v>
      </c>
      <c r="AD104" s="130">
        <f>+EXP(-$B$96*5*(Base!AD1-1))*$B$95</f>
        <v>3.4105131350897301E-2</v>
      </c>
      <c r="AE104" s="130">
        <f>+EXP(-$B$96*5*(Base!AE1-1))*$B$95</f>
        <v>3.3097172390563478E-2</v>
      </c>
      <c r="AF104" s="130">
        <f>+EXP(-$B$96*5*(Base!AF1-1))*$B$95</f>
        <v>3.2119003119507335E-2</v>
      </c>
      <c r="AG104" s="130">
        <f>+EXP(-$B$96*5*(Base!AG1-1))*$B$95</f>
        <v>3.116974311935649E-2</v>
      </c>
      <c r="AH104" s="130">
        <f>+EXP(-$B$96*5*(Base!AH1-1))*$B$95</f>
        <v>3.0248537992033853E-2</v>
      </c>
      <c r="AI104" s="130">
        <f>+EXP(-$B$96*5*(Base!AI1-1))*$B$95</f>
        <v>2.9354558590741611E-2</v>
      </c>
      <c r="AJ104" s="130">
        <f>+EXP(-$B$96*5*(Base!AJ1-1))*$B$95</f>
        <v>2.8487000273673187E-2</v>
      </c>
      <c r="AK104" s="130">
        <f>+EXP(-$B$96*5*(Base!AK1-1))*$B$95</f>
        <v>2.7645082179781271E-2</v>
      </c>
      <c r="AL104" s="130">
        <f>+EXP(-$B$96*5*(Base!AL1-1))*$B$95</f>
        <v>2.6828046525950191E-2</v>
      </c>
      <c r="AM104" s="130">
        <f>+EXP(-$B$96*5*(Base!AM1-1))*$B$95</f>
        <v>2.603515792493994E-2</v>
      </c>
      <c r="AN104" s="130">
        <f>+EXP(-$B$96*5*(Base!AN1-1))*$B$95</f>
        <v>2.5265702723488014E-2</v>
      </c>
      <c r="AO104" s="130">
        <f>+EXP(-$B$96*5*(Base!AO1-1))*$B$95</f>
        <v>2.4518988359973317E-2</v>
      </c>
      <c r="AP104" s="130">
        <f>+EXP(-$B$96*5*(Base!AP1-1))*$B$95</f>
        <v>2.379434274106397E-2</v>
      </c>
      <c r="AQ104" s="130">
        <f>+EXP(-$B$96*5*(Base!AQ1-1))*$B$95</f>
        <v>2.3091113636787893E-2</v>
      </c>
      <c r="AR104" s="130">
        <f>+EXP(-$B$96*5*(Base!AR1-1))*$B$95</f>
        <v>2.2408668093481861E-2</v>
      </c>
      <c r="AS104" s="130">
        <f>+EXP(-$B$96*5*(Base!AS1-1))*$B$95</f>
        <v>2.1746391864090435E-2</v>
      </c>
      <c r="AT104" s="130">
        <f>+EXP(-$B$96*5*(Base!AT1-1))*$B$95</f>
        <v>2.1103688855302182E-2</v>
      </c>
      <c r="AU104" s="130">
        <f>+EXP(-$B$96*5*(Base!AU1-1))*$B$95</f>
        <v>2.0479980591025435E-2</v>
      </c>
      <c r="AV104" s="130">
        <f>+EXP(-$B$96*5*(Base!AV1-1))*$B$95</f>
        <v>1.9874705691720763E-2</v>
      </c>
      <c r="AW104" s="130">
        <f>+EXP(-$B$96*5*(Base!AW1-1))*$B$95</f>
        <v>1.9287319369121533E-2</v>
      </c>
      <c r="AX104" s="130">
        <f>+EXP(-$B$96*5*(Base!AX1-1))*$B$95</f>
        <v>1.8717292935887621E-2</v>
      </c>
      <c r="AY104" s="130">
        <f>+EXP(-$B$96*5*(Base!AY1-1))*$B$95</f>
        <v>1.8164113329751184E-2</v>
      </c>
      <c r="AZ104" s="130">
        <f>+EXP(-$B$96*5*(Base!AZ1-1))*$B$95</f>
        <v>1.7627282651725956E-2</v>
      </c>
      <c r="BA104" s="130">
        <f>+EXP(-$B$96*5*(Base!BA1-1))*$B$95</f>
        <v>1.7106317717964559E-2</v>
      </c>
      <c r="BB104" s="130">
        <f>+EXP(-$B$96*5*(Base!BB1-1))*$B$95</f>
        <v>1.6600749624860411E-2</v>
      </c>
      <c r="BC104" s="130">
        <f>+EXP(-$B$96*5*(Base!BC1-1))*$B$95</f>
        <v>1.6110123327002866E-2</v>
      </c>
      <c r="BD104" s="130">
        <f>+EXP(-$B$96*5*(Base!BD1-1))*$B$95</f>
        <v>1.5633997227605563E-2</v>
      </c>
      <c r="BE104" s="130">
        <f>+EXP(-$B$96*5*(Base!BE1-1))*$B$95</f>
        <v>1.5171942781039578E-2</v>
      </c>
      <c r="BF104" s="130">
        <f>+EXP(-$B$96*5*(Base!BF1-1))*$B$95</f>
        <v>1.4723544107113387E-2</v>
      </c>
      <c r="BG104" s="130">
        <f>+EXP(-$B$96*5*(Base!BG1-1))*$B$95</f>
        <v>1.4288397616752647E-2</v>
      </c>
      <c r="BH104" s="130">
        <f>+EXP(-$B$96*5*(Base!BH1-1))*$B$95</f>
        <v>1.3866111648742753E-2</v>
      </c>
      <c r="BI104" s="130">
        <f>+EXP(-$B$96*5*(Base!BI1-1))*$B$95</f>
        <v>1.3456306117207344E-2</v>
      </c>
      <c r="BJ104" s="130">
        <f>+EXP(-$B$96*5*(Base!BJ1-1))*$B$95</f>
        <v>8.1405908182327832E-2</v>
      </c>
      <c r="BK104" s="130">
        <f>+EXP(-$B$96*5*(Base!BK1-1))*$B$95</f>
        <v>8.1405908182327832E-2</v>
      </c>
      <c r="BL104" s="130">
        <f>+EXP(-$B$96*5*(Base!BL1-1))*$B$95</f>
        <v>8.1405908182327832E-2</v>
      </c>
      <c r="BM104" s="130">
        <f>+EXP(-$B$96*5*(Base!BM1-1))*$B$95</f>
        <v>8.1405908182327832E-2</v>
      </c>
      <c r="BN104" s="130">
        <f>+EXP(-$B$96*5*(Base!BN1-1))*$B$95</f>
        <v>8.1405908182327832E-2</v>
      </c>
      <c r="BO104" s="130">
        <f>+EXP(-$B$96*5*(Base!BO1-1))*$B$95</f>
        <v>8.1405908182327832E-2</v>
      </c>
      <c r="BP104" s="130">
        <f>+EXP(-$B$96*5*(Base!BP1-1))*$B$95</f>
        <v>8.1405908182327832E-2</v>
      </c>
      <c r="BQ104" s="130">
        <f>+EXP(-$B$96*5*(Base!BQ1-1))*$B$95</f>
        <v>8.1405908182327832E-2</v>
      </c>
      <c r="BR104" s="130">
        <f>+EXP(-$B$96*5*(Base!BR1-1))*$B$95</f>
        <v>8.1405908182327832E-2</v>
      </c>
      <c r="BS104" s="130">
        <f>+EXP(-$B$96*5*(Base!BS1-1))*$B$95</f>
        <v>8.1405908182327832E-2</v>
      </c>
      <c r="BT104" s="130">
        <f>+EXP(-$B$96*5*(Base!BT1-1))*$B$95</f>
        <v>8.1405908182327832E-2</v>
      </c>
      <c r="BU104" s="130">
        <f>+EXP(-$B$96*5*(Base!BU1-1))*$B$95</f>
        <v>8.1405908182327832E-2</v>
      </c>
      <c r="BV104" s="130">
        <f>+EXP(-$B$96*5*(Base!BV1-1))*$B$95</f>
        <v>8.1405908182327832E-2</v>
      </c>
      <c r="BW104" s="130">
        <f>+EXP(-$B$96*5*(Base!BW1-1))*$B$95</f>
        <v>8.1405908182327832E-2</v>
      </c>
      <c r="BX104" s="130">
        <f>+EXP(-$B$96*5*(Base!BX1-1))*$B$95</f>
        <v>8.1405908182327832E-2</v>
      </c>
      <c r="BY104" s="130">
        <f>+EXP(-$B$96*5*(Base!BY1-1))*$B$95</f>
        <v>8.1405908182327832E-2</v>
      </c>
      <c r="BZ104" s="130">
        <f>+EXP(-$B$96*5*(Base!BZ1-1))*$B$95</f>
        <v>8.1405908182327832E-2</v>
      </c>
      <c r="CA104" s="130">
        <f>+EXP(-$B$96*5*(Base!CA1-1))*$B$95</f>
        <v>8.1405908182327832E-2</v>
      </c>
      <c r="CB104" s="130">
        <f>+EXP(-$B$96*5*(Base!CB1-1))*$B$95</f>
        <v>8.1405908182327832E-2</v>
      </c>
      <c r="CC104" s="130">
        <f>+EXP(-$B$96*5*(Base!CC1-1))*$B$95</f>
        <v>8.1405908182327832E-2</v>
      </c>
      <c r="CD104" s="130">
        <f>+EXP(-$B$96*5*(Base!CD1-1))*$B$95</f>
        <v>8.1405908182327832E-2</v>
      </c>
      <c r="CE104" s="130">
        <f>+EXP(-$B$96*5*(Base!CE1-1))*$B$95</f>
        <v>8.1405908182327832E-2</v>
      </c>
      <c r="CF104" s="130">
        <f>+EXP(-$B$96*5*(Base!CF1-1))*$B$95</f>
        <v>8.1405908182327832E-2</v>
      </c>
      <c r="CG104" s="130">
        <f>+EXP(-$B$96*5*(Base!CG1-1))*$B$95</f>
        <v>8.1405908182327832E-2</v>
      </c>
      <c r="CH104" s="130">
        <f>+EXP(-$B$96*5*(Base!CH1-1))*$B$95</f>
        <v>8.1405908182327832E-2</v>
      </c>
      <c r="CI104" s="130">
        <f>+EXP(-$B$96*5*(Base!CI1-1))*$B$95</f>
        <v>8.1405908182327832E-2</v>
      </c>
      <c r="CJ104" s="130">
        <f>+EXP(-$B$96*5*(Base!CJ1-1))*$B$95</f>
        <v>8.1405908182327832E-2</v>
      </c>
      <c r="CK104" s="130">
        <f>+EXP(-$B$96*5*(Base!CK1-1))*$B$95</f>
        <v>8.1405908182327832E-2</v>
      </c>
      <c r="CL104" s="130">
        <f>+EXP(-$B$96*5*(Base!CL1-1))*$B$95</f>
        <v>8.1405908182327832E-2</v>
      </c>
      <c r="CM104" s="130">
        <f>+EXP(-$B$96*5*(Base!CM1-1))*$B$95</f>
        <v>8.1405908182327832E-2</v>
      </c>
      <c r="CN104" s="130">
        <f>+EXP(-$B$96*5*(Base!CN1-1))*$B$95</f>
        <v>8.1405908182327832E-2</v>
      </c>
      <c r="CO104" s="130">
        <f>+EXP(-$B$96*5*(Base!CO1-1))*$B$95</f>
        <v>8.1405908182327832E-2</v>
      </c>
      <c r="CP104" s="130">
        <f>+EXP(-$B$96*5*(Base!CP1-1))*$B$95</f>
        <v>8.1405908182327832E-2</v>
      </c>
      <c r="CQ104" s="130">
        <f>+EXP(-$B$96*5*(Base!CQ1-1))*$B$95</f>
        <v>8.1405908182327832E-2</v>
      </c>
      <c r="CR104" s="130">
        <f>+EXP(-$B$96*5*(Base!CR1-1))*$B$95</f>
        <v>8.1405908182327832E-2</v>
      </c>
      <c r="CS104" s="130">
        <f>+EXP(-$B$96*5*(Base!CS1-1))*$B$95</f>
        <v>8.1405908182327832E-2</v>
      </c>
      <c r="CT104" s="130">
        <f>+EXP(-$B$96*5*(Base!CT1-1))*$B$95</f>
        <v>8.1405908182327832E-2</v>
      </c>
      <c r="CU104" s="130">
        <f>+EXP(-$B$96*5*(Base!CU1-1))*$B$95</f>
        <v>8.1405908182327832E-2</v>
      </c>
      <c r="CV104" s="130">
        <f>+EXP(-$B$96*5*(Base!CV1-1))*$B$95</f>
        <v>8.1405908182327832E-2</v>
      </c>
      <c r="CW104" s="130">
        <f>+EXP(-$B$96*5*(Base!CW1-1))*$B$95</f>
        <v>8.1405908182327832E-2</v>
      </c>
      <c r="CX104" s="130">
        <f>+EXP(-$B$96*5*(Base!CX1-1))*$B$95</f>
        <v>8.1405908182327832E-2</v>
      </c>
      <c r="CY104" s="130">
        <f>+EXP(-$B$96*5*(Base!CY1-1))*$B$95</f>
        <v>8.1405908182327832E-2</v>
      </c>
      <c r="CZ104" s="130">
        <f>+EXP(-$B$96*5*(Base!CZ1-1))*$B$95</f>
        <v>8.1405908182327832E-2</v>
      </c>
      <c r="DA104" s="130">
        <f>+EXP(-$B$96*5*(Base!DA1-1))*$B$95</f>
        <v>8.1405908182327832E-2</v>
      </c>
      <c r="DB104" s="130">
        <f>+EXP(-$B$96*5*(Base!DB1-1))*$B$95</f>
        <v>8.1405908182327832E-2</v>
      </c>
      <c r="DC104" s="130">
        <f>+EXP(-$B$96*5*(Base!DC1-1))*$B$95</f>
        <v>8.1405908182327832E-2</v>
      </c>
      <c r="DD104" s="130">
        <f>+EXP(-$B$96*5*(Base!DD1-1))*$B$95</f>
        <v>8.1405908182327832E-2</v>
      </c>
      <c r="DE104" s="130">
        <f>+EXP(-$B$96*5*(Base!DE1-1))*$B$95</f>
        <v>8.1405908182327832E-2</v>
      </c>
      <c r="DF104" s="130">
        <f>+EXP(-$B$96*5*(Base!DF1-1))*$B$95</f>
        <v>8.1405908182327832E-2</v>
      </c>
      <c r="DG104" s="130">
        <f>+EXP(-$B$96*5*(Base!DG1-1))*$B$95</f>
        <v>8.1405908182327832E-2</v>
      </c>
      <c r="DH104" s="130">
        <f>+EXP(-$B$96*5*(Base!DH1-1))*$B$95</f>
        <v>8.1405908182327832E-2</v>
      </c>
      <c r="DI104" s="130">
        <f>+EXP(-$B$96*5*(Base!DI1-1))*$B$95</f>
        <v>8.1405908182327832E-2</v>
      </c>
      <c r="DJ104" s="130">
        <f>+EXP(-$B$96*5*(Base!DJ1-1))*$B$95</f>
        <v>8.1405908182327832E-2</v>
      </c>
      <c r="DK104" s="130">
        <f>+EXP(-$B$96*5*(Base!DK1-1))*$B$95</f>
        <v>8.1405908182327832E-2</v>
      </c>
      <c r="DL104" s="130">
        <f>+EXP(-$B$96*5*(Base!DL1-1))*$B$95</f>
        <v>8.1405908182327832E-2</v>
      </c>
      <c r="DM104" s="130">
        <f>+EXP(-$B$96*5*(Base!DM1-1))*$B$95</f>
        <v>8.1405908182327832E-2</v>
      </c>
      <c r="DN104" s="130">
        <f>+EXP(-$B$96*5*(Base!DN1-1))*$B$95</f>
        <v>8.1405908182327832E-2</v>
      </c>
      <c r="DO104" s="130">
        <f>+EXP(-$B$96*5*(Base!DO1-1))*$B$95</f>
        <v>8.1405908182327832E-2</v>
      </c>
      <c r="DP104" s="130">
        <f>+EXP(-$B$96*5*(Base!DP1-1))*$B$95</f>
        <v>8.1405908182327832E-2</v>
      </c>
      <c r="DQ104" s="130">
        <f>+EXP(-$B$96*5*(Base!DQ1-1))*$B$95</f>
        <v>8.1405908182327832E-2</v>
      </c>
      <c r="DR104" s="130">
        <f>+EXP(-$B$96*5*(Base!DR1-1))*$B$95</f>
        <v>8.1405908182327832E-2</v>
      </c>
      <c r="DS104" s="130">
        <f>+EXP(-$B$96*5*(Base!DS1-1))*$B$95</f>
        <v>8.1405908182327832E-2</v>
      </c>
      <c r="DT104" s="130">
        <f>+EXP(-$B$96*5*(Base!DT1-1))*$B$95</f>
        <v>8.1405908182327832E-2</v>
      </c>
    </row>
    <row r="105" spans="1:124" s="134" customFormat="1" ht="14.25" customHeight="1" x14ac:dyDescent="0.35">
      <c r="B105" s="128">
        <f>+B104</f>
        <v>7.9000000000000001E-2</v>
      </c>
      <c r="C105" s="134">
        <f>+B105*EXP(-$B$96*5)</f>
        <v>7.666519715033214E-2</v>
      </c>
      <c r="D105" s="134">
        <f>+C105*EXP(-$B$96*5)</f>
        <v>7.4399398153155646E-2</v>
      </c>
      <c r="E105" s="134">
        <f>+D105*EXP(-$B$96*5)</f>
        <v>7.2200563636427018E-2</v>
      </c>
      <c r="F105" s="134">
        <f>+E105*EXP(-$B$96*5)</f>
        <v>7.0066714500655436E-2</v>
      </c>
    </row>
    <row r="106" spans="1:124" ht="14.25" customHeight="1" x14ac:dyDescent="0.35">
      <c r="A106" s="129" t="s">
        <v>283</v>
      </c>
      <c r="B106" s="128">
        <f>+Limt2!B21</f>
        <v>3.7976214000000001</v>
      </c>
      <c r="C106" s="129">
        <f>+Limt2!C21</f>
        <v>4.1233674267100975</v>
      </c>
      <c r="D106" s="129">
        <f>+Limt2!D21</f>
        <v>4.4657337879870225</v>
      </c>
      <c r="E106" s="129">
        <f>+Limt2!E21</f>
        <v>4.8246876450561675</v>
      </c>
      <c r="F106" s="129">
        <f>+Limt2!F21</f>
        <v>5.2001407372762589</v>
      </c>
      <c r="G106" s="129">
        <f>+Limt2!G21</f>
        <v>5.5919503241395958</v>
      </c>
      <c r="H106" s="129">
        <f>+Limt2!H21</f>
        <v>5.9999204992367279</v>
      </c>
      <c r="I106" s="129">
        <f>+Limt2!I21</f>
        <v>6.4238038470291627</v>
      </c>
      <c r="J106" s="129">
        <f>+Limt2!J21</f>
        <v>6.8633034110325832</v>
      </c>
      <c r="K106" s="129">
        <f>+Limt2!K21</f>
        <v>7.3180749403940499</v>
      </c>
      <c r="L106" s="129">
        <f>+Limt2!L21</f>
        <v>7.7877293808181882</v>
      </c>
      <c r="M106" s="129">
        <f>+Limt2!M21</f>
        <v>8.2718355753199262</v>
      </c>
      <c r="N106" s="129">
        <f>+Limt2!N21</f>
        <v>8.7699231403093645</v>
      </c>
      <c r="O106" s="129">
        <f>+Limt2!O21</f>
        <v>9.2814854829978692</v>
      </c>
      <c r="P106" s="129">
        <f>+Limt2!P21</f>
        <v>9.805982927000942</v>
      </c>
      <c r="Q106" s="129">
        <f>+Limt2!Q21</f>
        <v>10.342845914248688</v>
      </c>
      <c r="R106" s="129">
        <f>+Limt2!R21</f>
        <v>10.891478252845129</v>
      </c>
      <c r="S106" s="129">
        <f>+Limt2!S21</f>
        <v>11.451260382290016</v>
      </c>
      <c r="T106" s="129">
        <f>+Limt2!T21</f>
        <v>12.021552629440624</v>
      </c>
      <c r="U106" s="129">
        <f>+Limt2!U21</f>
        <v>12.601698430697848</v>
      </c>
      <c r="V106" s="129">
        <f>+Limt2!V21</f>
        <v>13.191027498106218</v>
      </c>
      <c r="W106" s="129">
        <f>+Limt2!W21</f>
        <v>13.788858909319805</v>
      </c>
      <c r="X106" s="129">
        <f>+Limt2!X21</f>
        <v>14.394504103668551</v>
      </c>
      <c r="Y106" s="129">
        <f>+Limt2!Y21</f>
        <v>15.007269768829158</v>
      </c>
      <c r="Z106" s="129">
        <f>+Limt2!Z21</f>
        <v>15.626460604832571</v>
      </c>
      <c r="AA106" s="129">
        <f>+Limt2!AA21</f>
        <v>16.251381954301731</v>
      </c>
      <c r="AB106" s="129">
        <f>+Limt2!AB21</f>
        <v>16.881342289887851</v>
      </c>
      <c r="AC106" s="129">
        <f>+Limt2!AC21</f>
        <v>17.515655551844304</v>
      </c>
      <c r="AD106" s="129">
        <f>+Limt2!AD21</f>
        <v>18.153643330531068</v>
      </c>
      <c r="AE106" s="129">
        <f>+Limt2!AE21</f>
        <v>18.794636890369542</v>
      </c>
      <c r="AF106" s="129">
        <f>+Limt2!AF21</f>
        <v>19.437979033360847</v>
      </c>
      <c r="AG106" s="129">
        <f>+Limt2!AG21</f>
        <v>20.08302580173595</v>
      </c>
      <c r="AH106" s="129">
        <f>+Limt2!AH21</f>
        <v>20.729148020621849</v>
      </c>
      <c r="AI106" s="129">
        <f>+Limt2!AI21</f>
        <v>21.375732682784619</v>
      </c>
      <c r="AJ106" s="129">
        <f>+Limt2!AJ21</f>
        <v>22.022184178549967</v>
      </c>
      <c r="AK106" s="129">
        <f>+Limt2!AK21</f>
        <v>22.667925374908592</v>
      </c>
      <c r="AL106" s="129">
        <f>+Limt2!AL21</f>
        <v>23.312398548592238</v>
      </c>
      <c r="AM106" s="129">
        <f>+Limt2!AM21</f>
        <v>23.955066178562941</v>
      </c>
      <c r="AN106" s="129">
        <f>+Limt2!AN21</f>
        <v>24.595411603899361</v>
      </c>
      <c r="AO106" s="129">
        <f>+Limt2!AO21</f>
        <v>25.232939553497779</v>
      </c>
      <c r="AP106" s="129">
        <f>+Limt2!AP21</f>
        <v>25.867176554338993</v>
      </c>
      <c r="AQ106" s="129">
        <f>+Limt2!AQ21</f>
        <v>26.497671225314146</v>
      </c>
      <c r="AR106" s="129">
        <f>+Limt2!AR21</f>
        <v>27.123994463760443</v>
      </c>
      <c r="AS106" s="129">
        <f>+Limt2!AS21</f>
        <v>27.745739531939883</v>
      </c>
      <c r="AT106" s="129">
        <f>+Limt2!AT21</f>
        <v>28.362522050708495</v>
      </c>
      <c r="AU106" s="129">
        <f>+Limt2!AU21</f>
        <v>28.973979907577796</v>
      </c>
      <c r="AV106" s="129">
        <f>+Limt2!AV21</f>
        <v>29.579773086271572</v>
      </c>
      <c r="AW106" s="129">
        <f>+Limt2!AW21</f>
        <v>30.179583424736954</v>
      </c>
      <c r="AX106" s="129">
        <f>+Limt2!AX21</f>
        <v>30.773114308385264</v>
      </c>
      <c r="AY106" s="129">
        <f>+Limt2!AY21</f>
        <v>31.360090305122124</v>
      </c>
      <c r="AZ106" s="129">
        <f>+Limt2!AZ21</f>
        <v>31.94025674848292</v>
      </c>
      <c r="BA106" s="129">
        <f>+Limt2!BA21</f>
        <v>32.513379274924787</v>
      </c>
      <c r="BB106" s="129">
        <f>+Limt2!BB21</f>
        <v>33.07924332104443</v>
      </c>
      <c r="BC106" s="129">
        <f>+Limt2!BC21</f>
        <v>33.63765358619667</v>
      </c>
      <c r="BD106" s="129">
        <f>+Limt2!BD21</f>
        <v>34.188433465685904</v>
      </c>
      <c r="BE106" s="129">
        <f>+Limt2!BE21</f>
        <v>34.73142445939488</v>
      </c>
      <c r="BF106" s="129">
        <f>+Limt2!BF21</f>
        <v>35.266485560405712</v>
      </c>
      <c r="BG106" s="129">
        <f>+Limt2!BG21</f>
        <v>35.793492627859642</v>
      </c>
      <c r="BH106" s="129">
        <f>+Limt2!BH21</f>
        <v>36.312337747996835</v>
      </c>
      <c r="BI106" s="129">
        <f>+Limt2!BI21</f>
        <v>36.822928587018112</v>
      </c>
      <c r="BJ106" s="129">
        <f>+Limt2!BJ21</f>
        <v>0</v>
      </c>
      <c r="BK106" s="129">
        <f>+Limt2!BK21</f>
        <v>0</v>
      </c>
      <c r="BL106" s="129">
        <f>+Limt2!BL21</f>
        <v>0</v>
      </c>
      <c r="BM106" s="129">
        <f>+Limt2!BM21</f>
        <v>0</v>
      </c>
      <c r="BN106" s="129">
        <f>+Limt2!BN21</f>
        <v>0</v>
      </c>
      <c r="BO106" s="129">
        <f>+Limt2!BO21</f>
        <v>0</v>
      </c>
      <c r="BP106" s="129">
        <f>+Limt2!BP21</f>
        <v>0</v>
      </c>
      <c r="BQ106" s="129">
        <f>+Limt2!BQ21</f>
        <v>0</v>
      </c>
      <c r="BR106" s="129">
        <f>+Limt2!BR21</f>
        <v>0</v>
      </c>
      <c r="BS106" s="129">
        <f>+Limt2!BS21</f>
        <v>0</v>
      </c>
      <c r="BT106" s="129">
        <f>+Limt2!BT21</f>
        <v>0</v>
      </c>
      <c r="BU106" s="129">
        <f>+Limt2!BU21</f>
        <v>0</v>
      </c>
      <c r="BV106" s="129">
        <f>+Limt2!BV21</f>
        <v>0</v>
      </c>
      <c r="BW106" s="129">
        <f>+Limt2!BW21</f>
        <v>0</v>
      </c>
      <c r="BX106" s="129">
        <f>+Limt2!BX21</f>
        <v>0</v>
      </c>
      <c r="BY106" s="129">
        <f>+Limt2!BY21</f>
        <v>0</v>
      </c>
      <c r="BZ106" s="129">
        <f>+Limt2!BZ21</f>
        <v>0</v>
      </c>
      <c r="CA106" s="129">
        <f>+Limt2!CA21</f>
        <v>0</v>
      </c>
      <c r="CB106" s="129">
        <f>+Limt2!CB21</f>
        <v>0</v>
      </c>
      <c r="CC106" s="129">
        <f>+Limt2!CC21</f>
        <v>0</v>
      </c>
      <c r="CD106" s="129">
        <f>+Limt2!CD21</f>
        <v>0</v>
      </c>
      <c r="CE106" s="129">
        <f>+Limt2!CE21</f>
        <v>0</v>
      </c>
      <c r="CF106" s="129">
        <f>+Limt2!CF21</f>
        <v>0</v>
      </c>
      <c r="CG106" s="129">
        <f>+Limt2!CG21</f>
        <v>0</v>
      </c>
      <c r="CH106" s="129">
        <f>+Limt2!CH21</f>
        <v>0</v>
      </c>
      <c r="CI106" s="129">
        <f>+Limt2!CI21</f>
        <v>0</v>
      </c>
      <c r="CJ106" s="129">
        <f>+Limt2!CJ21</f>
        <v>0</v>
      </c>
      <c r="CK106" s="129">
        <f>+Limt2!CK21</f>
        <v>0</v>
      </c>
      <c r="CL106" s="129">
        <f>+Limt2!CL21</f>
        <v>0</v>
      </c>
      <c r="CM106" s="129">
        <f>+Limt2!CM21</f>
        <v>0</v>
      </c>
      <c r="CN106" s="129">
        <f>+Limt2!CN21</f>
        <v>0</v>
      </c>
      <c r="CO106" s="129">
        <f>+Limt2!CO21</f>
        <v>0</v>
      </c>
      <c r="CP106" s="129">
        <f>+Limt2!CP21</f>
        <v>0</v>
      </c>
      <c r="CQ106" s="129">
        <f>+Limt2!CQ21</f>
        <v>0</v>
      </c>
      <c r="CR106" s="129">
        <f>+Limt2!CR21</f>
        <v>0</v>
      </c>
      <c r="CS106" s="129">
        <f>+Limt2!CS21</f>
        <v>0</v>
      </c>
      <c r="CT106" s="129">
        <f>+Limt2!CT21</f>
        <v>0</v>
      </c>
      <c r="CU106" s="129">
        <f>+Limt2!CU21</f>
        <v>0</v>
      </c>
      <c r="CV106" s="129">
        <f>+Limt2!CV21</f>
        <v>0</v>
      </c>
      <c r="CW106" s="129">
        <f>+Limt2!CW21</f>
        <v>0</v>
      </c>
      <c r="CX106" s="129">
        <f>+Limt2!CX21</f>
        <v>0</v>
      </c>
      <c r="CY106" s="129">
        <f>+Limt2!CY21</f>
        <v>0</v>
      </c>
      <c r="CZ106" s="129">
        <f>+Limt2!CZ21</f>
        <v>0</v>
      </c>
      <c r="DA106" s="129">
        <f>+Limt2!DA21</f>
        <v>0</v>
      </c>
      <c r="DB106" s="129">
        <f>+Limt2!DB21</f>
        <v>0</v>
      </c>
      <c r="DC106" s="129">
        <f>+Limt2!DC21</f>
        <v>0</v>
      </c>
      <c r="DD106" s="129">
        <f>+Limt2!DD21</f>
        <v>0</v>
      </c>
      <c r="DE106" s="129">
        <f>+Limt2!DE21</f>
        <v>0</v>
      </c>
      <c r="DF106" s="129">
        <f>+Limt2!DF21</f>
        <v>0</v>
      </c>
      <c r="DG106" s="129">
        <f>+Limt2!DG21</f>
        <v>0</v>
      </c>
      <c r="DH106" s="129">
        <f>+Limt2!DH21</f>
        <v>0</v>
      </c>
      <c r="DI106" s="129">
        <f>+Limt2!DI21</f>
        <v>0</v>
      </c>
      <c r="DJ106" s="129">
        <f>+Limt2!DJ21</f>
        <v>0</v>
      </c>
      <c r="DK106" s="129">
        <f>+Limt2!DK21</f>
        <v>0</v>
      </c>
      <c r="DL106" s="129">
        <f>+Limt2!DL21</f>
        <v>0</v>
      </c>
      <c r="DM106" s="129">
        <f>+Limt2!DM21</f>
        <v>0</v>
      </c>
      <c r="DN106" s="129">
        <f>+Limt2!DN21</f>
        <v>0</v>
      </c>
      <c r="DO106" s="129">
        <f>+Limt2!DO21</f>
        <v>0</v>
      </c>
      <c r="DP106" s="129">
        <f>+Limt2!DP21</f>
        <v>0</v>
      </c>
      <c r="DQ106" s="129">
        <f>+Limt2!DQ21</f>
        <v>0</v>
      </c>
      <c r="DR106" s="129">
        <f>+Limt2!DR21</f>
        <v>0</v>
      </c>
      <c r="DS106" s="129">
        <f>+Limt2!DS21</f>
        <v>0</v>
      </c>
      <c r="DT106" s="129">
        <f>+Limt2!DT21</f>
        <v>0</v>
      </c>
    </row>
    <row r="108" spans="1:124" ht="20.399999999999999" customHeight="1" x14ac:dyDescent="0.35">
      <c r="A108" s="129" t="s">
        <v>284</v>
      </c>
      <c r="B108" s="128">
        <f>+B103/B106</f>
        <v>1</v>
      </c>
      <c r="C108" s="129">
        <f t="shared" ref="C108:BN108" si="14">+C103/C106</f>
        <v>1</v>
      </c>
      <c r="D108" s="129">
        <f t="shared" si="14"/>
        <v>1</v>
      </c>
      <c r="E108" s="129">
        <f t="shared" si="14"/>
        <v>1</v>
      </c>
      <c r="F108" s="129">
        <f t="shared" si="14"/>
        <v>1</v>
      </c>
      <c r="G108" s="129">
        <f t="shared" si="14"/>
        <v>1</v>
      </c>
      <c r="H108" s="129">
        <f t="shared" si="14"/>
        <v>1</v>
      </c>
      <c r="I108" s="129">
        <f t="shared" si="14"/>
        <v>1</v>
      </c>
      <c r="J108" s="129">
        <f t="shared" si="14"/>
        <v>1</v>
      </c>
      <c r="K108" s="129">
        <f t="shared" si="14"/>
        <v>1</v>
      </c>
      <c r="L108" s="129">
        <f t="shared" si="14"/>
        <v>1</v>
      </c>
      <c r="M108" s="129">
        <f t="shared" si="14"/>
        <v>1</v>
      </c>
      <c r="N108" s="129">
        <f t="shared" si="14"/>
        <v>1</v>
      </c>
      <c r="O108" s="129">
        <f t="shared" si="14"/>
        <v>1</v>
      </c>
      <c r="P108" s="129">
        <f t="shared" si="14"/>
        <v>1</v>
      </c>
      <c r="Q108" s="129">
        <f t="shared" si="14"/>
        <v>1</v>
      </c>
      <c r="R108" s="129">
        <f t="shared" si="14"/>
        <v>1</v>
      </c>
      <c r="S108" s="129">
        <f t="shared" si="14"/>
        <v>1</v>
      </c>
      <c r="T108" s="129">
        <f t="shared" si="14"/>
        <v>1</v>
      </c>
      <c r="U108" s="129">
        <f t="shared" si="14"/>
        <v>1</v>
      </c>
      <c r="V108" s="129">
        <f t="shared" si="14"/>
        <v>1</v>
      </c>
      <c r="W108" s="129">
        <f t="shared" si="14"/>
        <v>1</v>
      </c>
      <c r="X108" s="129">
        <f t="shared" si="14"/>
        <v>1</v>
      </c>
      <c r="Y108" s="129">
        <f t="shared" si="14"/>
        <v>1</v>
      </c>
      <c r="Z108" s="129">
        <f t="shared" si="14"/>
        <v>1</v>
      </c>
      <c r="AA108" s="129">
        <f t="shared" si="14"/>
        <v>1</v>
      </c>
      <c r="AB108" s="129">
        <f t="shared" si="14"/>
        <v>1</v>
      </c>
      <c r="AC108" s="129">
        <f t="shared" si="14"/>
        <v>1</v>
      </c>
      <c r="AD108" s="129">
        <f t="shared" si="14"/>
        <v>1</v>
      </c>
      <c r="AE108" s="129">
        <f t="shared" si="14"/>
        <v>1</v>
      </c>
      <c r="AF108" s="129">
        <f t="shared" si="14"/>
        <v>1</v>
      </c>
      <c r="AG108" s="129">
        <f t="shared" si="14"/>
        <v>1</v>
      </c>
      <c r="AH108" s="129">
        <f t="shared" si="14"/>
        <v>1</v>
      </c>
      <c r="AI108" s="129">
        <f t="shared" si="14"/>
        <v>1</v>
      </c>
      <c r="AJ108" s="129">
        <f t="shared" si="14"/>
        <v>1</v>
      </c>
      <c r="AK108" s="129">
        <f t="shared" si="14"/>
        <v>1</v>
      </c>
      <c r="AL108" s="129">
        <f t="shared" si="14"/>
        <v>1</v>
      </c>
      <c r="AM108" s="129">
        <f t="shared" si="14"/>
        <v>1</v>
      </c>
      <c r="AN108" s="129">
        <f t="shared" si="14"/>
        <v>1</v>
      </c>
      <c r="AO108" s="129">
        <f t="shared" si="14"/>
        <v>1</v>
      </c>
      <c r="AP108" s="129">
        <f t="shared" si="14"/>
        <v>1</v>
      </c>
      <c r="AQ108" s="129">
        <f t="shared" si="14"/>
        <v>1</v>
      </c>
      <c r="AR108" s="129">
        <f t="shared" si="14"/>
        <v>1</v>
      </c>
      <c r="AS108" s="129">
        <f t="shared" si="14"/>
        <v>1</v>
      </c>
      <c r="AT108" s="129">
        <f t="shared" si="14"/>
        <v>1</v>
      </c>
      <c r="AU108" s="129">
        <f t="shared" si="14"/>
        <v>1</v>
      </c>
      <c r="AV108" s="129">
        <f t="shared" si="14"/>
        <v>1</v>
      </c>
      <c r="AW108" s="129">
        <f t="shared" si="14"/>
        <v>1</v>
      </c>
      <c r="AX108" s="129">
        <f t="shared" si="14"/>
        <v>1</v>
      </c>
      <c r="AY108" s="129">
        <f t="shared" si="14"/>
        <v>1</v>
      </c>
      <c r="AZ108" s="129">
        <f t="shared" si="14"/>
        <v>1</v>
      </c>
      <c r="BA108" s="129">
        <f t="shared" si="14"/>
        <v>1</v>
      </c>
      <c r="BB108" s="129">
        <f t="shared" si="14"/>
        <v>1</v>
      </c>
      <c r="BC108" s="129">
        <f t="shared" si="14"/>
        <v>1</v>
      </c>
      <c r="BD108" s="129">
        <f t="shared" si="14"/>
        <v>1</v>
      </c>
      <c r="BE108" s="129">
        <f t="shared" si="14"/>
        <v>1</v>
      </c>
      <c r="BF108" s="129">
        <f t="shared" si="14"/>
        <v>1</v>
      </c>
      <c r="BG108" s="129">
        <f t="shared" si="14"/>
        <v>1</v>
      </c>
      <c r="BH108" s="129">
        <f t="shared" si="14"/>
        <v>1</v>
      </c>
      <c r="BI108" s="129">
        <f t="shared" si="14"/>
        <v>1</v>
      </c>
      <c r="BJ108" s="129" t="e">
        <f t="shared" si="14"/>
        <v>#DIV/0!</v>
      </c>
      <c r="BK108" s="129" t="e">
        <f t="shared" si="14"/>
        <v>#DIV/0!</v>
      </c>
      <c r="BL108" s="129" t="e">
        <f t="shared" si="14"/>
        <v>#DIV/0!</v>
      </c>
      <c r="BM108" s="129" t="e">
        <f t="shared" si="14"/>
        <v>#DIV/0!</v>
      </c>
      <c r="BN108" s="129" t="e">
        <f t="shared" si="14"/>
        <v>#DIV/0!</v>
      </c>
      <c r="BO108" s="129" t="e">
        <f t="shared" ref="BO108:DT108" si="15">+BO103/BO106</f>
        <v>#DIV/0!</v>
      </c>
      <c r="BP108" s="129" t="e">
        <f t="shared" si="15"/>
        <v>#DIV/0!</v>
      </c>
      <c r="BQ108" s="129" t="e">
        <f t="shared" si="15"/>
        <v>#DIV/0!</v>
      </c>
      <c r="BR108" s="129" t="e">
        <f t="shared" si="15"/>
        <v>#DIV/0!</v>
      </c>
      <c r="BS108" s="129" t="e">
        <f t="shared" si="15"/>
        <v>#DIV/0!</v>
      </c>
      <c r="BT108" s="129" t="e">
        <f t="shared" si="15"/>
        <v>#DIV/0!</v>
      </c>
      <c r="BU108" s="129" t="e">
        <f t="shared" si="15"/>
        <v>#DIV/0!</v>
      </c>
      <c r="BV108" s="129" t="e">
        <f t="shared" si="15"/>
        <v>#DIV/0!</v>
      </c>
      <c r="BW108" s="129" t="e">
        <f t="shared" si="15"/>
        <v>#DIV/0!</v>
      </c>
      <c r="BX108" s="129" t="e">
        <f t="shared" si="15"/>
        <v>#DIV/0!</v>
      </c>
      <c r="BY108" s="129" t="e">
        <f t="shared" si="15"/>
        <v>#DIV/0!</v>
      </c>
      <c r="BZ108" s="129" t="e">
        <f t="shared" si="15"/>
        <v>#DIV/0!</v>
      </c>
      <c r="CA108" s="129" t="e">
        <f t="shared" si="15"/>
        <v>#DIV/0!</v>
      </c>
      <c r="CB108" s="129" t="e">
        <f t="shared" si="15"/>
        <v>#DIV/0!</v>
      </c>
      <c r="CC108" s="129" t="e">
        <f t="shared" si="15"/>
        <v>#DIV/0!</v>
      </c>
      <c r="CD108" s="129" t="e">
        <f t="shared" si="15"/>
        <v>#DIV/0!</v>
      </c>
      <c r="CE108" s="129" t="e">
        <f t="shared" si="15"/>
        <v>#DIV/0!</v>
      </c>
      <c r="CF108" s="129" t="e">
        <f t="shared" si="15"/>
        <v>#DIV/0!</v>
      </c>
      <c r="CG108" s="129" t="e">
        <f t="shared" si="15"/>
        <v>#DIV/0!</v>
      </c>
      <c r="CH108" s="129" t="e">
        <f t="shared" si="15"/>
        <v>#DIV/0!</v>
      </c>
      <c r="CI108" s="129" t="e">
        <f t="shared" si="15"/>
        <v>#DIV/0!</v>
      </c>
      <c r="CJ108" s="129" t="e">
        <f t="shared" si="15"/>
        <v>#DIV/0!</v>
      </c>
      <c r="CK108" s="129" t="e">
        <f t="shared" si="15"/>
        <v>#DIV/0!</v>
      </c>
      <c r="CL108" s="129" t="e">
        <f t="shared" si="15"/>
        <v>#DIV/0!</v>
      </c>
      <c r="CM108" s="129" t="e">
        <f t="shared" si="15"/>
        <v>#DIV/0!</v>
      </c>
      <c r="CN108" s="129" t="e">
        <f t="shared" si="15"/>
        <v>#DIV/0!</v>
      </c>
      <c r="CO108" s="129" t="e">
        <f t="shared" si="15"/>
        <v>#DIV/0!</v>
      </c>
      <c r="CP108" s="129" t="e">
        <f t="shared" si="15"/>
        <v>#DIV/0!</v>
      </c>
      <c r="CQ108" s="129" t="e">
        <f t="shared" si="15"/>
        <v>#DIV/0!</v>
      </c>
      <c r="CR108" s="129" t="e">
        <f t="shared" si="15"/>
        <v>#DIV/0!</v>
      </c>
      <c r="CS108" s="129" t="e">
        <f t="shared" si="15"/>
        <v>#DIV/0!</v>
      </c>
      <c r="CT108" s="129" t="e">
        <f t="shared" si="15"/>
        <v>#DIV/0!</v>
      </c>
      <c r="CU108" s="129" t="e">
        <f t="shared" si="15"/>
        <v>#DIV/0!</v>
      </c>
      <c r="CV108" s="129" t="e">
        <f t="shared" si="15"/>
        <v>#DIV/0!</v>
      </c>
      <c r="CW108" s="129" t="e">
        <f t="shared" si="15"/>
        <v>#DIV/0!</v>
      </c>
      <c r="CX108" s="129" t="e">
        <f t="shared" si="15"/>
        <v>#DIV/0!</v>
      </c>
      <c r="CY108" s="129" t="e">
        <f t="shared" si="15"/>
        <v>#DIV/0!</v>
      </c>
      <c r="CZ108" s="129" t="e">
        <f t="shared" si="15"/>
        <v>#DIV/0!</v>
      </c>
      <c r="DA108" s="129" t="e">
        <f t="shared" si="15"/>
        <v>#DIV/0!</v>
      </c>
      <c r="DB108" s="129" t="e">
        <f t="shared" si="15"/>
        <v>#DIV/0!</v>
      </c>
      <c r="DC108" s="129" t="e">
        <f t="shared" si="15"/>
        <v>#DIV/0!</v>
      </c>
      <c r="DD108" s="129" t="e">
        <f t="shared" si="15"/>
        <v>#DIV/0!</v>
      </c>
      <c r="DE108" s="129" t="e">
        <f t="shared" si="15"/>
        <v>#DIV/0!</v>
      </c>
      <c r="DF108" s="129" t="e">
        <f t="shared" si="15"/>
        <v>#DIV/0!</v>
      </c>
      <c r="DG108" s="129" t="e">
        <f t="shared" si="15"/>
        <v>#DIV/0!</v>
      </c>
      <c r="DH108" s="129" t="e">
        <f t="shared" si="15"/>
        <v>#DIV/0!</v>
      </c>
      <c r="DI108" s="129" t="e">
        <f t="shared" si="15"/>
        <v>#DIV/0!</v>
      </c>
      <c r="DJ108" s="129" t="e">
        <f t="shared" si="15"/>
        <v>#DIV/0!</v>
      </c>
      <c r="DK108" s="129" t="e">
        <f t="shared" si="15"/>
        <v>#DIV/0!</v>
      </c>
      <c r="DL108" s="129" t="e">
        <f t="shared" si="15"/>
        <v>#DIV/0!</v>
      </c>
      <c r="DM108" s="129" t="e">
        <f t="shared" si="15"/>
        <v>#DIV/0!</v>
      </c>
      <c r="DN108" s="129" t="e">
        <f t="shared" si="15"/>
        <v>#DIV/0!</v>
      </c>
      <c r="DO108" s="129" t="e">
        <f t="shared" si="15"/>
        <v>#DIV/0!</v>
      </c>
      <c r="DP108" s="129" t="e">
        <f t="shared" si="15"/>
        <v>#DIV/0!</v>
      </c>
      <c r="DQ108" s="129" t="e">
        <f t="shared" si="15"/>
        <v>#DIV/0!</v>
      </c>
      <c r="DR108" s="129" t="e">
        <f t="shared" si="15"/>
        <v>#DIV/0!</v>
      </c>
      <c r="DS108" s="129" t="e">
        <f t="shared" si="15"/>
        <v>#DIV/0!</v>
      </c>
      <c r="DT108" s="129" t="e">
        <f t="shared" si="15"/>
        <v>#DIV/0!</v>
      </c>
    </row>
    <row r="113" spans="1:66" ht="14.25" customHeight="1" x14ac:dyDescent="0.35">
      <c r="A113" s="129" t="s">
        <v>312</v>
      </c>
    </row>
    <row r="114" spans="1:66" ht="14.25" customHeight="1" x14ac:dyDescent="0.35">
      <c r="A114" s="129" t="s">
        <v>309</v>
      </c>
    </row>
    <row r="115" spans="1:66" ht="14.25" customHeight="1" x14ac:dyDescent="0.35">
      <c r="A115" s="129" t="s">
        <v>310</v>
      </c>
      <c r="B115" s="128">
        <v>0.2</v>
      </c>
      <c r="C115" s="128">
        <v>0.39042308237041862</v>
      </c>
      <c r="D115" s="128">
        <v>0.37905179376764564</v>
      </c>
      <c r="E115" s="128">
        <v>0.43473126916605986</v>
      </c>
      <c r="F115" s="128">
        <v>0.42272215965229654</v>
      </c>
      <c r="G115" s="128">
        <v>0.41041677679745897</v>
      </c>
      <c r="H115" s="128">
        <v>0.70777654781630772</v>
      </c>
      <c r="I115" s="128">
        <v>0.69214823745197651</v>
      </c>
      <c r="J115" s="128">
        <v>0.84030690466839131</v>
      </c>
      <c r="K115" s="128">
        <v>0.83406435604192763</v>
      </c>
      <c r="L115" s="128">
        <v>0.93965885157528906</v>
      </c>
      <c r="M115" s="128">
        <v>0.93673108526966353</v>
      </c>
      <c r="N115" s="128">
        <v>0.9338812667959131</v>
      </c>
      <c r="O115" s="128">
        <v>0.93094420085045992</v>
      </c>
      <c r="P115" s="128">
        <v>0.92808804859366001</v>
      </c>
      <c r="Q115" s="128">
        <v>0.92515381219960935</v>
      </c>
      <c r="R115" s="128">
        <v>0.92230100699291584</v>
      </c>
      <c r="S115" s="128">
        <v>0.91937849700563046</v>
      </c>
      <c r="T115" s="128">
        <v>1</v>
      </c>
      <c r="U115" s="128">
        <v>1</v>
      </c>
      <c r="V115" s="128">
        <v>1</v>
      </c>
      <c r="W115" s="128">
        <v>1</v>
      </c>
      <c r="X115" s="128">
        <v>1</v>
      </c>
      <c r="Y115" s="128">
        <v>1</v>
      </c>
      <c r="Z115" s="128">
        <v>1</v>
      </c>
      <c r="AA115" s="128">
        <v>1</v>
      </c>
      <c r="AB115" s="128">
        <v>1</v>
      </c>
      <c r="AC115" s="128">
        <v>1</v>
      </c>
      <c r="AD115" s="128">
        <v>1</v>
      </c>
      <c r="AE115" s="128">
        <v>1</v>
      </c>
      <c r="AF115" s="128">
        <v>1</v>
      </c>
      <c r="AG115" s="128">
        <v>1</v>
      </c>
      <c r="AH115" s="128">
        <v>1</v>
      </c>
      <c r="AI115" s="128">
        <v>1</v>
      </c>
      <c r="AJ115" s="128">
        <v>1</v>
      </c>
      <c r="AK115" s="128">
        <v>1</v>
      </c>
      <c r="AL115" s="128">
        <v>1</v>
      </c>
      <c r="AM115" s="128">
        <v>1</v>
      </c>
      <c r="AN115" s="128">
        <v>1</v>
      </c>
      <c r="AO115" s="128">
        <v>1</v>
      </c>
      <c r="AP115" s="128">
        <v>1</v>
      </c>
      <c r="AQ115" s="128">
        <v>1</v>
      </c>
      <c r="AR115" s="128">
        <v>1</v>
      </c>
      <c r="AS115" s="128">
        <v>1</v>
      </c>
      <c r="AT115" s="128">
        <v>1</v>
      </c>
      <c r="AU115" s="128">
        <v>1</v>
      </c>
      <c r="AV115" s="128">
        <v>1</v>
      </c>
      <c r="AW115" s="128">
        <v>1</v>
      </c>
      <c r="AX115" s="128">
        <v>1</v>
      </c>
      <c r="AY115" s="128">
        <v>1</v>
      </c>
      <c r="AZ115" s="128">
        <v>1</v>
      </c>
      <c r="BA115" s="128">
        <v>1</v>
      </c>
      <c r="BB115" s="128">
        <v>1</v>
      </c>
      <c r="BC115" s="128">
        <v>1</v>
      </c>
      <c r="BD115" s="128">
        <v>1</v>
      </c>
      <c r="BE115" s="128">
        <v>1</v>
      </c>
      <c r="BF115" s="128">
        <v>1</v>
      </c>
      <c r="BG115" s="128">
        <v>1</v>
      </c>
      <c r="BH115" s="128">
        <v>1</v>
      </c>
      <c r="BI115" s="128">
        <v>1</v>
      </c>
      <c r="BJ115" s="128">
        <v>1</v>
      </c>
      <c r="BK115" s="128">
        <v>1</v>
      </c>
      <c r="BL115" s="128">
        <v>1</v>
      </c>
      <c r="BM115" s="128">
        <v>1</v>
      </c>
      <c r="BN115" s="128">
        <v>1</v>
      </c>
    </row>
    <row r="116" spans="1:66" ht="14.25" customHeight="1" x14ac:dyDescent="0.35">
      <c r="A116" s="129" t="s">
        <v>311</v>
      </c>
      <c r="B116" s="128">
        <v>0.02</v>
      </c>
      <c r="C116" s="128">
        <v>5.5874800631383725E-2</v>
      </c>
      <c r="D116" s="128">
        <v>0.11093715103193025</v>
      </c>
      <c r="E116" s="128">
        <v>0.16318975709142414</v>
      </c>
      <c r="F116" s="128">
        <v>0.20624748187779696</v>
      </c>
      <c r="G116" s="128">
        <v>0.24193921912074778</v>
      </c>
      <c r="H116" s="128">
        <v>0.30180913979496526</v>
      </c>
      <c r="I116" s="128">
        <v>0.3644849792065088</v>
      </c>
      <c r="J116" s="128">
        <v>0.42367019232545777</v>
      </c>
      <c r="K116" s="128">
        <v>0.47828388059114024</v>
      </c>
      <c r="L116" s="128">
        <v>0.53407364289057269</v>
      </c>
      <c r="M116" s="128">
        <v>0.58815684728875695</v>
      </c>
      <c r="N116" s="128">
        <v>0.63362200023575355</v>
      </c>
      <c r="O116" s="128">
        <v>0.67245699955287486</v>
      </c>
      <c r="P116" s="128">
        <v>0.70517310212956541</v>
      </c>
      <c r="Q116" s="128">
        <v>0.73301857268269299</v>
      </c>
      <c r="R116" s="128">
        <v>0.75645711835273866</v>
      </c>
      <c r="S116" s="128">
        <v>0.77629758052826003</v>
      </c>
      <c r="T116" s="128">
        <v>0.79411081537855366</v>
      </c>
      <c r="U116" s="128">
        <v>0.82219712828666958</v>
      </c>
      <c r="V116" s="128">
        <v>0.83912581058307212</v>
      </c>
      <c r="W116" s="128">
        <v>0.85445375367486731</v>
      </c>
      <c r="X116" s="128">
        <v>0.8681064134527805</v>
      </c>
      <c r="Y116" s="128">
        <v>0.88048582530653496</v>
      </c>
      <c r="Z116" s="128">
        <v>0.89163175198425282</v>
      </c>
      <c r="AA116" s="128">
        <v>0.901741793815245</v>
      </c>
      <c r="AB116" s="128">
        <v>0.9</v>
      </c>
      <c r="AC116" s="128">
        <v>0.9</v>
      </c>
      <c r="AD116" s="128">
        <v>0.9</v>
      </c>
      <c r="AE116" s="128">
        <v>0.9</v>
      </c>
      <c r="AF116" s="128">
        <v>0.9</v>
      </c>
      <c r="AG116" s="128">
        <v>0.9</v>
      </c>
      <c r="AH116" s="128">
        <v>0.9</v>
      </c>
      <c r="AI116" s="128">
        <v>0.9</v>
      </c>
      <c r="AJ116" s="128">
        <v>0.9</v>
      </c>
      <c r="AK116" s="128">
        <v>0.9</v>
      </c>
      <c r="AL116" s="128">
        <v>0.9</v>
      </c>
      <c r="AM116" s="128">
        <v>0.9</v>
      </c>
      <c r="AN116" s="128">
        <v>0.9</v>
      </c>
      <c r="AO116" s="128">
        <v>0.9</v>
      </c>
      <c r="AP116" s="128">
        <v>0.9</v>
      </c>
      <c r="AQ116" s="128">
        <v>0.9</v>
      </c>
      <c r="AR116" s="128">
        <v>0.9</v>
      </c>
      <c r="AS116" s="128">
        <v>0.9</v>
      </c>
      <c r="AT116" s="128">
        <v>0.9</v>
      </c>
      <c r="AU116" s="128">
        <v>0.9</v>
      </c>
      <c r="AV116" s="128">
        <v>0.9</v>
      </c>
      <c r="AW116" s="128">
        <v>0.9</v>
      </c>
      <c r="AX116" s="128">
        <v>0.9</v>
      </c>
      <c r="AY116" s="128">
        <v>0.9</v>
      </c>
      <c r="AZ116" s="128">
        <v>0.9</v>
      </c>
      <c r="BA116" s="128">
        <v>0.9</v>
      </c>
      <c r="BB116" s="128">
        <v>0.9</v>
      </c>
      <c r="BC116" s="128">
        <v>0.9</v>
      </c>
      <c r="BD116" s="128">
        <v>0.9</v>
      </c>
      <c r="BE116" s="128">
        <v>0.9</v>
      </c>
      <c r="BF116" s="128">
        <v>0.9</v>
      </c>
      <c r="BG116" s="128">
        <v>0.9</v>
      </c>
      <c r="BH116" s="128">
        <v>0.9</v>
      </c>
      <c r="BI116" s="128">
        <v>0.9</v>
      </c>
      <c r="BJ116" s="128">
        <v>0.9</v>
      </c>
      <c r="BK116" s="128">
        <v>0.9</v>
      </c>
      <c r="BL116" s="128">
        <v>0.9</v>
      </c>
      <c r="BM116" s="128">
        <v>0.9</v>
      </c>
      <c r="BN116" s="128">
        <v>0.9</v>
      </c>
    </row>
    <row r="118" spans="1:66" ht="14.25" customHeight="1" x14ac:dyDescent="0.35">
      <c r="A118" s="129" t="s">
        <v>313</v>
      </c>
    </row>
    <row r="119" spans="1:66" ht="14.25" customHeight="1" x14ac:dyDescent="0.35">
      <c r="A119" s="129" t="s">
        <v>309</v>
      </c>
    </row>
    <row r="120" spans="1:66" ht="14.25" customHeight="1" x14ac:dyDescent="0.35">
      <c r="A120" s="129" t="s">
        <v>310</v>
      </c>
      <c r="B120" s="128">
        <v>0.2</v>
      </c>
      <c r="C120" s="129">
        <v>0.39042308237041862</v>
      </c>
      <c r="D120" s="129">
        <v>0.37905179376764564</v>
      </c>
      <c r="E120" s="129">
        <v>0.43473126916605986</v>
      </c>
      <c r="F120" s="129">
        <v>0.42272215965229654</v>
      </c>
      <c r="G120" s="129">
        <v>0.41041677679745897</v>
      </c>
      <c r="H120" s="129">
        <v>0.70777654781630772</v>
      </c>
      <c r="I120" s="129">
        <v>0.69214823745197651</v>
      </c>
      <c r="J120" s="129">
        <v>0.84030690466839131</v>
      </c>
      <c r="K120" s="129">
        <v>0.83406435604192763</v>
      </c>
      <c r="L120" s="129">
        <v>0.93965885157528906</v>
      </c>
      <c r="M120" s="129">
        <v>0.93673108526966353</v>
      </c>
      <c r="N120" s="129">
        <v>0.9338812667959131</v>
      </c>
      <c r="O120" s="129">
        <v>0.93094420085045992</v>
      </c>
      <c r="P120" s="129">
        <v>0.92808804859366001</v>
      </c>
      <c r="Q120" s="129">
        <v>0.92515381219960935</v>
      </c>
      <c r="R120" s="129">
        <v>0.92230100699291584</v>
      </c>
      <c r="S120" s="129">
        <v>0.91937849700563046</v>
      </c>
      <c r="T120" s="129">
        <v>1</v>
      </c>
      <c r="U120" s="129">
        <v>1</v>
      </c>
      <c r="V120" s="129">
        <v>1</v>
      </c>
      <c r="W120" s="129">
        <v>1</v>
      </c>
      <c r="X120" s="129">
        <v>1</v>
      </c>
      <c r="Y120" s="129">
        <v>1</v>
      </c>
      <c r="Z120" s="129">
        <v>1</v>
      </c>
      <c r="AA120" s="129">
        <v>1</v>
      </c>
      <c r="AB120" s="129">
        <v>1</v>
      </c>
      <c r="AC120" s="129">
        <v>1</v>
      </c>
      <c r="AD120" s="129">
        <v>1</v>
      </c>
      <c r="AE120" s="129">
        <v>1</v>
      </c>
      <c r="AF120" s="129">
        <v>1</v>
      </c>
      <c r="AG120" s="129">
        <v>1</v>
      </c>
      <c r="AH120" s="129">
        <v>1</v>
      </c>
      <c r="AI120" s="129">
        <v>1</v>
      </c>
      <c r="AJ120" s="129">
        <v>1</v>
      </c>
      <c r="AK120" s="129">
        <v>1</v>
      </c>
      <c r="AL120" s="129">
        <v>1</v>
      </c>
      <c r="AM120" s="129">
        <v>1</v>
      </c>
      <c r="AN120" s="129">
        <v>1</v>
      </c>
      <c r="AO120" s="129">
        <v>1</v>
      </c>
      <c r="AP120" s="129">
        <v>1</v>
      </c>
      <c r="AQ120" s="129">
        <v>1</v>
      </c>
      <c r="AR120" s="129">
        <v>1</v>
      </c>
      <c r="AS120" s="129">
        <v>1</v>
      </c>
      <c r="AT120" s="129">
        <v>1</v>
      </c>
      <c r="AU120" s="129">
        <v>1</v>
      </c>
      <c r="AV120" s="129">
        <v>1</v>
      </c>
      <c r="AW120" s="129">
        <v>1</v>
      </c>
      <c r="AX120" s="129">
        <v>1</v>
      </c>
      <c r="AY120" s="129">
        <v>1</v>
      </c>
      <c r="AZ120" s="129">
        <v>1</v>
      </c>
      <c r="BA120" s="129">
        <v>1</v>
      </c>
      <c r="BB120" s="129">
        <v>1</v>
      </c>
      <c r="BC120" s="129">
        <v>1</v>
      </c>
      <c r="BD120" s="129">
        <v>1</v>
      </c>
      <c r="BE120" s="129">
        <v>1</v>
      </c>
      <c r="BF120" s="129">
        <v>1</v>
      </c>
      <c r="BG120" s="129">
        <v>1</v>
      </c>
      <c r="BH120" s="129">
        <v>1</v>
      </c>
      <c r="BI120" s="129">
        <v>1</v>
      </c>
      <c r="BJ120" s="129">
        <v>1</v>
      </c>
      <c r="BK120" s="129">
        <v>1</v>
      </c>
      <c r="BL120" s="129">
        <v>1</v>
      </c>
      <c r="BM120" s="129">
        <v>1</v>
      </c>
      <c r="BN120" s="129">
        <v>1</v>
      </c>
    </row>
    <row r="121" spans="1:66" ht="14.25" customHeight="1" x14ac:dyDescent="0.35">
      <c r="A121" s="129" t="s">
        <v>311</v>
      </c>
      <c r="B121" s="128">
        <v>0.02</v>
      </c>
      <c r="C121" s="129">
        <v>5.5874800631383725E-2</v>
      </c>
      <c r="D121" s="129">
        <v>0.11093715103193025</v>
      </c>
      <c r="E121" s="129">
        <v>0.16318975709142414</v>
      </c>
      <c r="F121" s="129">
        <v>0.20624748187779696</v>
      </c>
      <c r="G121" s="129">
        <v>0.24193921912074778</v>
      </c>
      <c r="H121" s="129">
        <v>0.30180913979496526</v>
      </c>
      <c r="I121" s="129">
        <v>0.3644849792065088</v>
      </c>
      <c r="J121" s="129">
        <v>0.42367019232545777</v>
      </c>
      <c r="K121" s="129">
        <v>0.47828388059114024</v>
      </c>
      <c r="L121" s="129">
        <v>0.53407364289057269</v>
      </c>
      <c r="M121" s="129">
        <v>0.58815684728875695</v>
      </c>
      <c r="N121" s="129">
        <v>0.63362200023575355</v>
      </c>
      <c r="O121" s="129">
        <v>0.67245699955287486</v>
      </c>
      <c r="P121" s="129">
        <v>0.70517310212956541</v>
      </c>
      <c r="Q121" s="129">
        <v>0.73301857268269299</v>
      </c>
      <c r="R121" s="129">
        <v>0.75645711835273866</v>
      </c>
      <c r="S121" s="129">
        <v>0.77629758052826003</v>
      </c>
      <c r="T121" s="129">
        <v>0.79411081537855366</v>
      </c>
      <c r="U121" s="129">
        <v>0.82219712828666958</v>
      </c>
      <c r="V121" s="129">
        <v>0.83912581058307212</v>
      </c>
      <c r="W121" s="129">
        <v>0.85445375367486731</v>
      </c>
      <c r="X121" s="129">
        <v>0.8681064134527805</v>
      </c>
      <c r="Y121" s="129">
        <v>0.88048582530653496</v>
      </c>
      <c r="Z121" s="129">
        <v>0.89163175198425282</v>
      </c>
      <c r="AA121" s="129">
        <v>0.901741793815245</v>
      </c>
      <c r="AB121" s="129">
        <v>0.9</v>
      </c>
      <c r="AC121" s="129">
        <v>0.9</v>
      </c>
      <c r="AD121" s="129">
        <v>0.9</v>
      </c>
      <c r="AE121" s="129">
        <v>0.9</v>
      </c>
      <c r="AF121" s="129">
        <v>0.9</v>
      </c>
      <c r="AG121" s="129">
        <v>0.9</v>
      </c>
      <c r="AH121" s="129">
        <v>0.9</v>
      </c>
      <c r="AI121" s="129">
        <v>0.9</v>
      </c>
      <c r="AJ121" s="129">
        <v>0.9</v>
      </c>
      <c r="AK121" s="129">
        <v>0.9</v>
      </c>
      <c r="AL121" s="129">
        <v>0.9</v>
      </c>
      <c r="AM121" s="129">
        <v>0.9</v>
      </c>
      <c r="AN121" s="129">
        <v>0.9</v>
      </c>
      <c r="AO121" s="129">
        <v>0.9</v>
      </c>
      <c r="AP121" s="129">
        <v>0.9</v>
      </c>
      <c r="AQ121" s="129">
        <v>0.9</v>
      </c>
      <c r="AR121" s="129">
        <v>0.9</v>
      </c>
      <c r="AS121" s="129">
        <v>0.9</v>
      </c>
      <c r="AT121" s="129">
        <v>0.9</v>
      </c>
      <c r="AU121" s="129">
        <v>0.9</v>
      </c>
      <c r="AV121" s="129">
        <v>0.9</v>
      </c>
      <c r="AW121" s="129">
        <v>0.9</v>
      </c>
      <c r="AX121" s="129">
        <v>0.9</v>
      </c>
      <c r="AY121" s="129">
        <v>0.9</v>
      </c>
      <c r="AZ121" s="129">
        <v>0.9</v>
      </c>
      <c r="BA121" s="129">
        <v>0.9</v>
      </c>
      <c r="BB121" s="129">
        <v>0.9</v>
      </c>
      <c r="BC121" s="129">
        <v>0.9</v>
      </c>
      <c r="BD121" s="129">
        <v>0.9</v>
      </c>
      <c r="BE121" s="129">
        <v>0.9</v>
      </c>
      <c r="BF121" s="129">
        <v>0.9</v>
      </c>
      <c r="BG121" s="129">
        <v>0.9</v>
      </c>
      <c r="BH121" s="129">
        <v>0.9</v>
      </c>
      <c r="BI121" s="129">
        <v>0.9</v>
      </c>
      <c r="BJ121" s="129">
        <v>0.9</v>
      </c>
      <c r="BK121" s="129">
        <v>0.9</v>
      </c>
      <c r="BL121" s="129">
        <v>0.9</v>
      </c>
      <c r="BM121" s="129">
        <v>0.9</v>
      </c>
      <c r="BN121" s="129">
        <v>0.9</v>
      </c>
    </row>
    <row r="149" spans="1:100" ht="14.25" customHeight="1" x14ac:dyDescent="0.35">
      <c r="A149" s="129" t="s">
        <v>285</v>
      </c>
    </row>
    <row r="150" spans="1:100" ht="14.25" customHeight="1" x14ac:dyDescent="0.35">
      <c r="A150" s="129" t="str">
        <f>+A15</f>
        <v>Trend sigma growth (per year)</v>
      </c>
      <c r="B150" s="128">
        <v>-0.01</v>
      </c>
    </row>
    <row r="151" spans="1:100" ht="14.25" customHeight="1" x14ac:dyDescent="0.35">
      <c r="A151" s="129" t="str">
        <f>+A53</f>
        <v xml:space="preserve">      Initial sigma (tC per $1000 GDP US $, 2005 prices) 2005</v>
      </c>
      <c r="B151" s="128">
        <f>+C53</f>
        <v>0.48898252427184469</v>
      </c>
    </row>
    <row r="152" spans="1:100" ht="14.25" customHeight="1" x14ac:dyDescent="0.35">
      <c r="A152" s="129" t="str">
        <f>+A57</f>
        <v>Decline rate of sigma (per year)</v>
      </c>
      <c r="B152" s="128">
        <v>-1E-3</v>
      </c>
    </row>
    <row r="154" spans="1:100" s="130" customFormat="1" ht="14.25" customHeight="1" x14ac:dyDescent="0.35">
      <c r="B154" s="128"/>
      <c r="C154" s="130">
        <f>+C155/$B155</f>
        <v>0.95122942450071402</v>
      </c>
      <c r="D154" s="130">
        <f>+D155/$B155</f>
        <v>0.90506320358958503</v>
      </c>
      <c r="E154" s="130">
        <f>+E155/$B155</f>
        <v>0.86135138641200593</v>
      </c>
      <c r="F154" s="130">
        <f t="shared" ref="F154:J154" si="16">+F155/$B155</f>
        <v>0.81995323500746631</v>
      </c>
      <c r="G154" s="130">
        <f t="shared" si="16"/>
        <v>0.78073662489006324</v>
      </c>
      <c r="H154" s="130">
        <f t="shared" si="16"/>
        <v>0.74357748668684387</v>
      </c>
      <c r="I154" s="130">
        <f t="shared" si="16"/>
        <v>0.70835928588721442</v>
      </c>
      <c r="J154" s="130">
        <f t="shared" si="16"/>
        <v>0.67497253797739931</v>
      </c>
      <c r="K154" s="130">
        <f t="shared" ref="K154" si="17">+K155/$B155</f>
        <v>0.64331435643747847</v>
      </c>
      <c r="L154" s="130">
        <f t="shared" ref="L154" si="18">+L155/$B155</f>
        <v>0.61328803126626297</v>
      </c>
      <c r="M154" s="130">
        <f t="shared" ref="M154" si="19">+M155/$B155</f>
        <v>0.58480263587245918</v>
      </c>
      <c r="N154" s="130">
        <f t="shared" ref="N154" si="20">+N155/$B155</f>
        <v>0.55777266033039608</v>
      </c>
      <c r="O154" s="130">
        <f t="shared" ref="O154" si="21">+O155/$B155</f>
        <v>0.53211766914610992</v>
      </c>
      <c r="P154" s="130">
        <f t="shared" ref="P154" si="22">+P155/$B155</f>
        <v>0.50776198181579035</v>
      </c>
      <c r="Q154" s="130">
        <f t="shared" ref="Q154" si="23">+Q155/$B155</f>
        <v>0.48463437458437697</v>
      </c>
      <c r="R154" s="130">
        <f t="shared" ref="R154" si="24">+R155/$B155</f>
        <v>0.46266780192830137</v>
      </c>
      <c r="S154" s="130">
        <f t="shared" ref="S154" si="25">+S155/$B155</f>
        <v>0.44179913639373775</v>
      </c>
      <c r="T154" s="130">
        <f t="shared" ref="T154" si="26">+T155/$B155</f>
        <v>0.4219689255209641</v>
      </c>
      <c r="U154" s="130">
        <f t="shared" ref="U154" si="27">+U155/$B155</f>
        <v>0.40312116467717957</v>
      </c>
      <c r="V154" s="130">
        <f t="shared" ref="V154" si="28">+V155/$B155</f>
        <v>0.38520308470496251</v>
      </c>
      <c r="W154" s="130">
        <f t="shared" ref="W154" si="29">+W155/$B155</f>
        <v>0.3681649533720236</v>
      </c>
      <c r="X154" s="130">
        <f t="shared" ref="X154" si="30">+X155/$B155</f>
        <v>0.3519598896805135</v>
      </c>
      <c r="Y154" s="130">
        <f t="shared" ref="Y154" si="31">+Y155/$B155</f>
        <v>0.33654369016132857</v>
      </c>
      <c r="Z154" s="130">
        <f t="shared" ref="Z154" si="32">+Z155/$B155</f>
        <v>0.32187466634105449</v>
      </c>
      <c r="AA154" s="130">
        <f t="shared" ref="AA154" si="33">+AA155/$B155</f>
        <v>0.30791349262677081</v>
      </c>
      <c r="AB154" s="130">
        <f t="shared" ref="AB154" si="34">+AB155/$B155</f>
        <v>0.29462306390727117</v>
      </c>
      <c r="AC154" s="130">
        <f t="shared" ref="AC154" si="35">+AC155/$B155</f>
        <v>0.28196836221865496</v>
      </c>
      <c r="AD154" s="130">
        <f t="shared" ref="AD154" si="36">+AD155/$B155</f>
        <v>0.26991633186802538</v>
      </c>
      <c r="AE154" s="130">
        <f t="shared" ref="AE154" si="37">+AE155/$B155</f>
        <v>0.25843576245145228</v>
      </c>
      <c r="AF154" s="130">
        <f t="shared" ref="AF154" si="38">+AF155/$B155</f>
        <v>0.24749717924169071</v>
      </c>
      <c r="AG154" s="130">
        <f t="shared" ref="AG154" si="39">+AG155/$B155</f>
        <v>0.23707274045761642</v>
      </c>
      <c r="AH154" s="130">
        <f t="shared" ref="AH154" si="40">+AH155/$B155</f>
        <v>0.22713614096116319</v>
      </c>
      <c r="AI154" s="130">
        <f t="shared" ref="AI154" si="41">+AI155/$B155</f>
        <v>0.21766252195893102</v>
      </c>
      <c r="AJ154" s="130">
        <f t="shared" ref="AJ154" si="42">+AJ155/$B155</f>
        <v>0.20862838631475114</v>
      </c>
      <c r="AK154" s="130">
        <f t="shared" ref="AK154" si="43">+AK155/$B155</f>
        <v>0.20001151910652362</v>
      </c>
      <c r="AL154" s="130">
        <f t="shared" ref="AL154" si="44">+AL155/$B155</f>
        <v>0.19179091308573373</v>
      </c>
      <c r="AM154" s="130">
        <f t="shared" ref="AM154" si="45">+AM155/$B155</f>
        <v>0.18394669872135602</v>
      </c>
      <c r="AN154" s="130">
        <f t="shared" ref="AN154" si="46">+AN155/$B155</f>
        <v>0.17646007853149656</v>
      </c>
      <c r="AO154" s="130">
        <f t="shared" ref="AO154" si="47">+AO155/$B155</f>
        <v>0.16931326542623021</v>
      </c>
      <c r="AP154" s="130">
        <f t="shared" ref="AP154" si="48">+AP155/$B155</f>
        <v>0.16248942480377576</v>
      </c>
      <c r="AQ154" s="130">
        <f t="shared" ref="AQ154" si="49">+AQ155/$B155</f>
        <v>0.15597262015951779</v>
      </c>
      <c r="AR154" s="130">
        <f t="shared" ref="AR154" si="50">+AR155/$B155</f>
        <v>0.14974776198353026</v>
      </c>
      <c r="AS154" s="130">
        <f t="shared" ref="AS154" si="51">+AS155/$B155</f>
        <v>0.14380055973727182</v>
      </c>
      <c r="AT154" s="130">
        <f t="shared" ref="AT154" si="52">+AT155/$B155</f>
        <v>0.13811747671408786</v>
      </c>
      <c r="AU154" s="130">
        <f t="shared" ref="AU154" si="53">+AU155/$B155</f>
        <v>0.13268568760114671</v>
      </c>
      <c r="AV154" s="130">
        <f t="shared" ref="AV154" si="54">+AV155/$B155</f>
        <v>0.12749303857252842</v>
      </c>
      <c r="AW154" s="130">
        <f t="shared" ref="AW154" si="55">+AW155/$B155</f>
        <v>0.1225280097544369</v>
      </c>
      <c r="AX154" s="130">
        <f t="shared" ref="AX154" si="56">+AX155/$B155</f>
        <v>0.11777967991398354</v>
      </c>
      <c r="AY154" s="130">
        <f t="shared" ref="AY154" si="57">+AY155/$B155</f>
        <v>0.1132376932327455</v>
      </c>
      <c r="AZ154" s="130">
        <f t="shared" ref="AZ154" si="58">+AZ155/$B155</f>
        <v>0.10889222803538853</v>
      </c>
      <c r="BA154" s="130">
        <f t="shared" ref="BA154" si="59">+BA155/$B155</f>
        <v>0.10473396735210901</v>
      </c>
      <c r="BB154" s="130">
        <f t="shared" ref="BB154" si="60">+BB155/$B155</f>
        <v>0.10075407120153758</v>
      </c>
      <c r="BC154" s="130">
        <f t="shared" ref="BC154" si="61">+BC155/$B155</f>
        <v>9.694415048809836E-2</v>
      </c>
      <c r="BD154" s="130">
        <f t="shared" ref="BD154" si="62">+BD155/$B155</f>
        <v>9.3296242414670716E-2</v>
      </c>
      <c r="BE154" s="130">
        <f t="shared" ref="BE154" si="63">+BE155/$B155</f>
        <v>8.9802787317791247E-2</v>
      </c>
      <c r="BF154" s="130">
        <f t="shared" ref="BF154" si="64">+BF155/$B155</f>
        <v>8.6456606838592923E-2</v>
      </c>
      <c r="BG154" s="130">
        <f t="shared" ref="BG154" si="65">+BG155/$B155</f>
        <v>8.3250883348238131E-2</v>
      </c>
      <c r="BH154" s="130">
        <f t="shared" ref="BH154" si="66">+BH155/$B155</f>
        <v>8.017914055178911E-2</v>
      </c>
      <c r="BI154" s="130">
        <f t="shared" ref="BI154" si="67">+BI155/$B155</f>
        <v>7.7235225199300941E-2</v>
      </c>
      <c r="BJ154" s="130">
        <f t="shared" ref="BJ154" si="68">+BJ155/$B155</f>
        <v>7.4413289837440263E-2</v>
      </c>
      <c r="BK154" s="130">
        <f t="shared" ref="BK154" si="69">+BK155/$B155</f>
        <v>7.1707776539152224E-2</v>
      </c>
      <c r="BL154" s="130">
        <f t="shared" ref="BL154" si="70">+BL155/$B155</f>
        <v>6.9113401552837628E-2</v>
      </c>
      <c r="BM154" s="130">
        <f t="shared" ref="BM154" si="71">+BM155/$B155</f>
        <v>6.6625140816182649E-2</v>
      </c>
      <c r="BN154" s="130">
        <f t="shared" ref="BN154" si="72">+BN155/$B155</f>
        <v>6.4238216283220975E-2</v>
      </c>
      <c r="BO154" s="130">
        <f t="shared" ref="BO154" si="73">+BO155/$B155</f>
        <v>6.1948083016420706E-2</v>
      </c>
      <c r="BP154" s="130">
        <f t="shared" ref="BP154" si="74">+BP155/$B155</f>
        <v>5.9750416998591516E-2</v>
      </c>
      <c r="BQ154" s="130">
        <f t="shared" ref="BQ154" si="75">+BQ155/$B155</f>
        <v>5.7641103622213551E-2</v>
      </c>
      <c r="BR154" s="130">
        <f t="shared" ref="BR154" si="76">+BR155/$B155</f>
        <v>5.5616226816414718E-2</v>
      </c>
      <c r="BS154" s="130">
        <f t="shared" ref="BS154" si="77">+BS155/$B155</f>
        <v>5.3672058774277019E-2</v>
      </c>
      <c r="BT154" s="130">
        <f t="shared" ref="BT154" si="78">+BT155/$B155</f>
        <v>5.1805050245448812E-2</v>
      </c>
      <c r="BU154" s="130">
        <f t="shared" ref="BU154" si="79">+BU155/$B155</f>
        <v>5.0011821361187508E-2</v>
      </c>
      <c r="BV154" s="130">
        <f t="shared" ref="BV154" si="80">+BV155/$B155</f>
        <v>4.8289152960967897E-2</v>
      </c>
      <c r="BW154" s="130">
        <f t="shared" ref="BW154" si="81">+BW155/$B155</f>
        <v>4.6633978391672139E-2</v>
      </c>
      <c r="BX154" s="130">
        <f t="shared" ref="BX154" si="82">+BX155/$B155</f>
        <v>4.5043375752139354E-2</v>
      </c>
      <c r="BY154" s="130">
        <f t="shared" ref="BY154" si="83">+BY155/$B155</f>
        <v>4.3514560557501553E-2</v>
      </c>
      <c r="BZ154" s="130">
        <f t="shared" ref="BZ154" si="84">+BZ155/$B155</f>
        <v>4.2044878799277582E-2</v>
      </c>
      <c r="CA154" s="130">
        <f t="shared" ref="CA154" si="85">+CA155/$B155</f>
        <v>4.063180037864348E-2</v>
      </c>
      <c r="CB154" s="130">
        <f t="shared" ref="CB154" si="86">+CB155/$B155</f>
        <v>3.9272912891653383E-2</v>
      </c>
      <c r="CC154" s="130">
        <f t="shared" ref="CC154" si="87">+CC155/$B155</f>
        <v>3.7965915746455324E-2</v>
      </c>
      <c r="CD154" s="130">
        <f t="shared" ref="CD154" si="88">+CD155/$B155</f>
        <v>3.6708614593737213E-2</v>
      </c>
      <c r="CE154" s="130">
        <f t="shared" ref="CE154" si="89">+CE155/$B155</f>
        <v>3.5498916052754369E-2</v>
      </c>
      <c r="CF154" s="130">
        <f t="shared" ref="CF154" si="90">+CF155/$B155</f>
        <v>3.433482271633672E-2</v>
      </c>
      <c r="CG154" s="130">
        <f t="shared" ref="CG154" si="91">+CG155/$B155</f>
        <v>3.3214428419255419E-2</v>
      </c>
      <c r="CH154" s="130">
        <f t="shared" ref="CH154" si="92">+CH155/$B155</f>
        <v>3.2135913755249428E-2</v>
      </c>
      <c r="CI154" s="130">
        <f t="shared" ref="CI154" si="93">+CI155/$B155</f>
        <v>3.1097541828876481E-2</v>
      </c>
      <c r="CJ154" s="130">
        <f t="shared" ref="CJ154" si="94">+CJ155/$B155</f>
        <v>3.0097654229163485E-2</v>
      </c>
      <c r="CK154" s="130">
        <f t="shared" ref="CK154" si="95">+CK155/$B155</f>
        <v>2.9134667212792398E-2</v>
      </c>
      <c r="CL154" s="130">
        <f t="shared" ref="CL154" si="96">+CL155/$B155</f>
        <v>2.8207068085271767E-2</v>
      </c>
      <c r="CM154" s="130">
        <f t="shared" ref="CM154" si="97">+CM155/$B155</f>
        <v>2.7313411769214785E-2</v>
      </c>
      <c r="CN154" s="130">
        <f t="shared" ref="CN154" si="98">+CN155/$B155</f>
        <v>2.6452317549474604E-2</v>
      </c>
      <c r="CO154" s="130">
        <f t="shared" ref="CO154" si="99">+CO155/$B155</f>
        <v>2.5622465985479039E-2</v>
      </c>
      <c r="CP154" s="130">
        <f t="shared" ref="CP154" si="100">+CP155/$B155</f>
        <v>2.4822595981662785E-2</v>
      </c>
      <c r="CQ154" s="130">
        <f t="shared" ref="CQ154" si="101">+CQ155/$B155</f>
        <v>2.405150200741718E-2</v>
      </c>
      <c r="CR154" s="130">
        <f t="shared" ref="CR154" si="102">+CR155/$B155</f>
        <v>2.3308031458468621E-2</v>
      </c>
      <c r="CS154" s="130">
        <f t="shared" ref="CS154" si="103">+CS155/$B155</f>
        <v>2.2591082152057768E-2</v>
      </c>
      <c r="CT154" s="130">
        <f t="shared" ref="CT154" si="104">+CT155/$B155</f>
        <v>2.1899599948725611E-2</v>
      </c>
      <c r="CU154" s="130">
        <f t="shared" ref="CU154" si="105">+CU155/$B155</f>
        <v>2.1232576493920147E-2</v>
      </c>
    </row>
    <row r="155" spans="1:100" s="140" customFormat="1" ht="14.25" customHeight="1" x14ac:dyDescent="0.35">
      <c r="A155" s="140" t="s">
        <v>286</v>
      </c>
      <c r="B155" s="128">
        <f>+B151</f>
        <v>0.48898252427184469</v>
      </c>
      <c r="C155" s="140">
        <f>+B155*EXP(5*C156)</f>
        <v>0.46513456515401325</v>
      </c>
      <c r="D155" s="140">
        <f t="shared" ref="D155:G155" si="106">+C155*EXP(5*D156)</f>
        <v>0.44256008991679779</v>
      </c>
      <c r="E155" s="140">
        <f t="shared" si="106"/>
        <v>0.42118577521279577</v>
      </c>
      <c r="F155" s="140">
        <f t="shared" si="106"/>
        <v>0.40094280263881599</v>
      </c>
      <c r="G155" s="140">
        <f t="shared" si="106"/>
        <v>0.38176656563022343</v>
      </c>
      <c r="H155" s="140">
        <f t="shared" ref="H155" si="107">+G155*EXP(5*H156)</f>
        <v>0.36359639643184688</v>
      </c>
      <c r="I155" s="140">
        <f t="shared" ref="I155" si="108">+H155*EXP(5*I156)</f>
        <v>0.3463753117045314</v>
      </c>
      <c r="J155" s="140">
        <f t="shared" ref="J155" si="109">+I155*EXP(5*J156)</f>
        <v>0.33004977543436226</v>
      </c>
      <c r="K155" s="140">
        <f t="shared" ref="K155" si="110">+J155*EXP(5*K156)</f>
        <v>0.31456947791111545</v>
      </c>
      <c r="L155" s="140">
        <f t="shared" ref="L155" si="111">+K155*EXP(5*L156)</f>
        <v>0.29988712963428726</v>
      </c>
      <c r="M155" s="140">
        <f t="shared" ref="M155" si="112">+L155*EXP(5*M156)</f>
        <v>0.28595826908974353</v>
      </c>
      <c r="N155" s="140">
        <f t="shared" ref="N155" si="113">+M155*EXP(5*N156)</f>
        <v>0.27274108341817926</v>
      </c>
      <c r="O155" s="140">
        <f t="shared" ref="O155" si="114">+N155*EXP(5*O156)</f>
        <v>0.26019624106871514</v>
      </c>
      <c r="P155" s="140">
        <f t="shared" ref="P155" si="115">+O155*EXP(5*P156)</f>
        <v>0.24828673559755968</v>
      </c>
      <c r="Q155" s="140">
        <f t="shared" ref="Q155" si="116">+P155*EXP(5*Q156)</f>
        <v>0.23697773983317538</v>
      </c>
      <c r="R155" s="140">
        <f t="shared" ref="R155" si="117">+Q155*EXP(5*R156)</f>
        <v>0.22623646968620664</v>
      </c>
      <c r="S155" s="140">
        <f t="shared" ref="S155" si="118">+R155*EXP(5*S156)</f>
        <v>0.21603205693493088</v>
      </c>
      <c r="T155" s="140">
        <f t="shared" ref="T155" si="119">+S155*EXP(5*T156)</f>
        <v>0.20633543036551905</v>
      </c>
      <c r="U155" s="140">
        <f t="shared" ref="U155" si="120">+T155*EXP(5*U156)</f>
        <v>0.19711920469125327</v>
      </c>
      <c r="V155" s="140">
        <f t="shared" ref="V155" si="121">+U155*EXP(5*V156)</f>
        <v>0.18835757671633377</v>
      </c>
      <c r="W155" s="140">
        <f t="shared" ref="W155" si="122">+V155*EXP(5*W156)</f>
        <v>0.1800262282482781</v>
      </c>
      <c r="X155" s="140">
        <f t="shared" ref="X155" si="123">+W155*EXP(5*X156)</f>
        <v>0.17210223529841748</v>
      </c>
      <c r="Y155" s="140">
        <f t="shared" ref="Y155" si="124">+X155*EXP(5*Y156)</f>
        <v>0.16456398314284804</v>
      </c>
      <c r="Z155" s="140">
        <f t="shared" ref="Z155" si="125">+Y155*EXP(5*Z156)</f>
        <v>0.15739108684660658</v>
      </c>
      <c r="AA155" s="140">
        <f t="shared" ref="AA155" si="126">+Z155*EXP(5*AA156)</f>
        <v>0.15056431688199842</v>
      </c>
      <c r="AB155" s="140">
        <f t="shared" ref="AB155" si="127">+AA155*EXP(5*AB156)</f>
        <v>0.14406552949808246</v>
      </c>
      <c r="AC155" s="140">
        <f t="shared" ref="AC155" si="128">+AB155*EXP(5*AC156)</f>
        <v>0.13787760152247575</v>
      </c>
      <c r="AD155" s="140">
        <f t="shared" ref="AD155" si="129">+AC155*EXP(5*AD156)</f>
        <v>0.13198436929902402</v>
      </c>
      <c r="AE155" s="140">
        <f t="shared" ref="AE155" si="130">+AD155*EXP(5*AE156)</f>
        <v>0.12637057148562994</v>
      </c>
      <c r="AF155" s="140">
        <f t="shared" ref="AF155" si="131">+AE155*EXP(5*AF156)</f>
        <v>0.12102179545576312</v>
      </c>
      <c r="AG155" s="140">
        <f t="shared" ref="AG155" si="132">+AF155*EXP(5*AG156)</f>
        <v>0.11592442706500916</v>
      </c>
      <c r="AH155" s="140">
        <f t="shared" ref="AH155" si="133">+AG155*EXP(5*AH156)</f>
        <v>0.11106560356055512</v>
      </c>
      <c r="AI155" s="140">
        <f t="shared" ref="AI155" si="134">+AH155*EXP(5*AI156)</f>
        <v>0.10643316942685391</v>
      </c>
      <c r="AJ155" s="140">
        <f t="shared" ref="AJ155" si="135">+AI155*EXP(5*AJ156)</f>
        <v>0.10201563497494859</v>
      </c>
      <c r="AK155" s="140">
        <f t="shared" ref="AK155" si="136">+AJ155*EXP(5*AK156)</f>
        <v>9.7802137496154212E-2</v>
      </c>
      <c r="AL155" s="140">
        <f t="shared" ref="AL155" si="137">+AK155*EXP(5*AL156)</f>
        <v>9.3782404813064046E-2</v>
      </c>
      <c r="AM155" s="140">
        <f t="shared" ref="AM155" si="138">+AL155*EXP(5*AM156)</f>
        <v>8.9946721072241179E-2</v>
      </c>
      <c r="AN155" s="140">
        <f t="shared" ref="AN155" si="139">+AM155*EXP(5*AN156)</f>
        <v>8.628589463353914E-2</v>
      </c>
      <c r="AO155" s="140">
        <f t="shared" ref="AO155" si="140">+AN155*EXP(5*AO156)</f>
        <v>8.2791227920826896E-2</v>
      </c>
      <c r="AP155" s="140">
        <f t="shared" ref="AP155" si="141">+AO155*EXP(5*AP156)</f>
        <v>7.9454489108030366E-2</v>
      </c>
      <c r="AQ155" s="140">
        <f t="shared" ref="AQ155" si="142">+AP155*EXP(5*AQ156)</f>
        <v>7.6267885522894624E-2</v>
      </c>
      <c r="AR155" s="140">
        <f t="shared" ref="AR155" si="143">+AQ155*EXP(5*AR156)</f>
        <v>7.3224038658766005E-2</v>
      </c>
      <c r="AS155" s="140">
        <f t="shared" ref="AS155" si="144">+AR155*EXP(5*AS156)</f>
        <v>7.031596069203537E-2</v>
      </c>
      <c r="AT155" s="140">
        <f t="shared" ref="AT155" si="145">+AS155*EXP(5*AT156)</f>
        <v>6.7537032409712414E-2</v>
      </c>
      <c r="AU155" s="140">
        <f t="shared" ref="AU155" si="146">+AT155*EXP(5*AU156)</f>
        <v>6.4880982457954123E-2</v>
      </c>
      <c r="AV155" s="140">
        <f t="shared" ref="AV155" si="147">+AU155*EXP(5*AV156)</f>
        <v>6.2341867828282604E-2</v>
      </c>
      <c r="AW155" s="140">
        <f t="shared" ref="AW155" si="148">+AV155*EXP(5*AW156)</f>
        <v>5.991405550372976E-2</v>
      </c>
      <c r="AX155" s="140">
        <f t="shared" ref="AX155" si="149">+AW155*EXP(5*AX156)</f>
        <v>5.7592205192269555E-2</v>
      </c>
      <c r="AY155" s="140">
        <f t="shared" ref="AY155" si="150">+AX155*EXP(5*AY156)</f>
        <v>5.5371253079668684E-2</v>
      </c>
      <c r="AZ155" s="140">
        <f t="shared" ref="AZ155" si="151">+AY155*EXP(5*AZ156)</f>
        <v>5.3246396538329618E-2</v>
      </c>
      <c r="BA155" s="140">
        <f t="shared" ref="BA155" si="152">+AZ155*EXP(5*BA156)</f>
        <v>5.1213079732839228E-2</v>
      </c>
      <c r="BB155" s="140">
        <f t="shared" ref="BB155" si="153">+BA155*EXP(5*BB156)</f>
        <v>4.9266980066793017E-2</v>
      </c>
      <c r="BC155" s="140">
        <f t="shared" ref="BC155" si="154">+BB155*EXP(5*BC156)</f>
        <v>4.7403995419059923E-2</v>
      </c>
      <c r="BD155" s="140">
        <f t="shared" ref="BD155" si="155">+BC155*EXP(5*BD156)</f>
        <v>4.5620232121003627E-2</v>
      </c>
      <c r="BE155" s="140">
        <f t="shared" ref="BE155" si="156">+BD155*EXP(5*BE156)</f>
        <v>4.3911993629301163E-2</v>
      </c>
      <c r="BF155" s="140">
        <f t="shared" ref="BF155" si="157">+BE155*EXP(5*BF156)</f>
        <v>4.22757698519136E-2</v>
      </c>
      <c r="BG155" s="140">
        <f t="shared" ref="BG155" si="158">+BF155*EXP(5*BG156)</f>
        <v>4.0708227087482361E-2</v>
      </c>
      <c r="BH155" s="140">
        <f t="shared" ref="BH155" si="159">+BG155*EXP(5*BH156)</f>
        <v>3.9206198540960864E-2</v>
      </c>
      <c r="BI155" s="140">
        <f t="shared" ref="BI155" si="160">+BH155*EXP(5*BI156)</f>
        <v>3.776667538065856E-2</v>
      </c>
      <c r="BJ155" s="140">
        <f t="shared" ref="BJ155" si="161">+BI155*EXP(5*BJ156)</f>
        <v>3.638679830408395E-2</v>
      </c>
      <c r="BK155" s="140">
        <f t="shared" ref="BK155" si="162">+BJ155*EXP(5*BK156)</f>
        <v>3.5063849582036018E-2</v>
      </c>
      <c r="BL155" s="140">
        <f t="shared" ref="BL155" si="163">+BK155*EXP(5*BL156)</f>
        <v>3.379524555232017E-2</v>
      </c>
      <c r="BM155" s="140">
        <f t="shared" ref="BM155" si="164">+BL155*EXP(5*BM156)</f>
        <v>3.2578529536264104E-2</v>
      </c>
      <c r="BN155" s="140">
        <f t="shared" ref="BN155" si="165">+BM155*EXP(5*BN156)</f>
        <v>3.1411365152890107E-2</v>
      </c>
      <c r="BO155" s="140">
        <f t="shared" ref="BO155" si="166">+BN155*EXP(5*BO156)</f>
        <v>3.0291530007171188E-2</v>
      </c>
      <c r="BP155" s="140">
        <f t="shared" ref="BP155" si="167">+BO155*EXP(5*BP156)</f>
        <v>2.9216909730266617E-2</v>
      </c>
      <c r="BQ155" s="140">
        <f t="shared" ref="BQ155" si="168">+BP155*EXP(5*BQ156)</f>
        <v>2.8185492351004954E-2</v>
      </c>
      <c r="BR155" s="140">
        <f t="shared" ref="BR155" si="169">+BQ155*EXP(5*BR156)</f>
        <v>2.719536297916593E-2</v>
      </c>
      <c r="BS155" s="140">
        <f t="shared" ref="BS155" si="170">+BR155*EXP(5*BS156)</f>
        <v>2.6244698782312788E-2</v>
      </c>
      <c r="BT155" s="140">
        <f t="shared" ref="BT155" si="171">+BS155*EXP(5*BT156)</f>
        <v>2.5331764239049308E-2</v>
      </c>
      <c r="BU155" s="140">
        <f t="shared" ref="BU155" si="172">+BT155*EXP(5*BU156)</f>
        <v>2.4454906652626032E-2</v>
      </c>
      <c r="BV155" s="140">
        <f t="shared" ref="BV155" si="173">+BU155*EXP(5*BV156)</f>
        <v>2.3612551909803305E-2</v>
      </c>
      <c r="BW155" s="140">
        <f t="shared" ref="BW155" si="174">+BV155*EXP(5*BW156)</f>
        <v>2.2803200470798504E-2</v>
      </c>
      <c r="BX155" s="140">
        <f t="shared" ref="BX155" si="175">+BW155*EXP(5*BX156)</f>
        <v>2.2025423577006303E-2</v>
      </c>
      <c r="BY155" s="140">
        <f t="shared" ref="BY155" si="176">+BX155*EXP(5*BY156)</f>
        <v>2.127785966398716E-2</v>
      </c>
      <c r="BZ155" s="140">
        <f t="shared" ref="BZ155" si="177">+BY155*EXP(5*BZ156)</f>
        <v>2.0559210967974518E-2</v>
      </c>
      <c r="CA155" s="140">
        <f t="shared" ref="CA155" si="178">+BZ155*EXP(5*CA156)</f>
        <v>1.9868240314858784E-2</v>
      </c>
      <c r="CB155" s="140">
        <f t="shared" ref="CB155" si="179">+CA155*EXP(5*CB156)</f>
        <v>1.9203768081268942E-2</v>
      </c>
      <c r="CC155" s="140">
        <f t="shared" ref="CC155" si="180">+CB155*EXP(5*CC156)</f>
        <v>1.8564669317993901E-2</v>
      </c>
      <c r="CD155" s="140">
        <f t="shared" ref="CD155" si="181">+CC155*EXP(5*CD156)</f>
        <v>1.79498710265679E-2</v>
      </c>
      <c r="CE155" s="140">
        <f t="shared" ref="CE155" si="182">+CD155*EXP(5*CE156)</f>
        <v>1.7358349580390141E-2</v>
      </c>
      <c r="CF155" s="140">
        <f t="shared" ref="CF155" si="183">+CE155*EXP(5*CF156)</f>
        <v>1.6789128282260604E-2</v>
      </c>
      <c r="CG155" s="140">
        <f t="shared" ref="CG155" si="184">+CF155*EXP(5*CG156)</f>
        <v>1.6241275050694011E-2</v>
      </c>
      <c r="CH155" s="140">
        <f t="shared" ref="CH155" si="185">+CG155*EXP(5*CH156)</f>
        <v>1.5713900227824162E-2</v>
      </c>
      <c r="CI155" s="140">
        <f t="shared" ref="CI155" si="186">+CH155*EXP(5*CI156)</f>
        <v>1.52061545021333E-2</v>
      </c>
      <c r="CJ155" s="140">
        <f t="shared" ref="CJ155" si="187">+CI155*EXP(5*CJ156)</f>
        <v>1.4717226939637522E-2</v>
      </c>
      <c r="CK155" s="140">
        <f t="shared" ref="CK155" si="188">+CJ155*EXP(5*CK156)</f>
        <v>1.4246343117531377E-2</v>
      </c>
      <c r="CL155" s="140">
        <f t="shared" ref="CL155" si="189">+CK155*EXP(5*CL156)</f>
        <v>1.3792763354643977E-2</v>
      </c>
      <c r="CM155" s="140">
        <f t="shared" ref="CM155" si="190">+CL155*EXP(5*CM156)</f>
        <v>1.3355781033386957E-2</v>
      </c>
      <c r="CN155" s="140">
        <f t="shared" ref="CN155" si="191">+CM155*EXP(5*CN156)</f>
        <v>1.2934721008182508E-2</v>
      </c>
      <c r="CO155" s="140">
        <f t="shared" ref="CO155" si="192">+CN155*EXP(5*CO156)</f>
        <v>1.252893809564902E-2</v>
      </c>
      <c r="CP155" s="140">
        <f t="shared" ref="CP155" si="193">+CO155*EXP(5*CP156)</f>
        <v>1.2137815642093618E-2</v>
      </c>
      <c r="CQ155" s="140">
        <f t="shared" ref="CQ155" si="194">+CP155*EXP(5*CQ156)</f>
        <v>1.1760764164116193E-2</v>
      </c>
      <c r="CR155" s="140">
        <f t="shared" ref="CR155" si="195">+CQ155*EXP(5*CR156)</f>
        <v>1.1397220058369552E-2</v>
      </c>
      <c r="CS155" s="140">
        <f t="shared" ref="CS155" si="196">+CR155*EXP(5*CS156)</f>
        <v>1.1046644376745825E-2</v>
      </c>
      <c r="CT155" s="140">
        <f t="shared" ref="CT155" si="197">+CS155*EXP(5*CT156)</f>
        <v>1.070852166347141E-2</v>
      </c>
      <c r="CU155" s="140">
        <f t="shared" ref="CU155" si="198">+CT155*EXP(5*CU156)</f>
        <v>1.0382358850792108E-2</v>
      </c>
      <c r="CV155" s="140">
        <f t="shared" ref="CV155" si="199">+CU155*EXP(5*CV156)</f>
        <v>1.0067684210117665E-2</v>
      </c>
    </row>
    <row r="156" spans="1:100" s="140" customFormat="1" ht="14.25" customHeight="1" x14ac:dyDescent="0.35">
      <c r="A156" s="140" t="s">
        <v>287</v>
      </c>
      <c r="B156" s="128"/>
      <c r="C156" s="140">
        <f>+B150</f>
        <v>-0.01</v>
      </c>
      <c r="D156" s="140">
        <f>+C156*(1+$B$152)^5</f>
        <v>-9.9500999000499898E-3</v>
      </c>
      <c r="E156" s="140">
        <f>+D156*(1+$B$152)^5</f>
        <v>-9.9004488020974814E-3</v>
      </c>
      <c r="F156" s="140">
        <f>+E156*(1+$B$152)^5</f>
        <v>-9.8510454636200201E-3</v>
      </c>
      <c r="G156" s="140">
        <f t="shared" ref="G156:BR156" si="200">+F156*(1+$B$152)^5</f>
        <v>-9.8018886482953479E-3</v>
      </c>
      <c r="H156" s="140">
        <f t="shared" si="200"/>
        <v>-9.7529771259704679E-3</v>
      </c>
      <c r="I156" s="140">
        <f t="shared" si="200"/>
        <v>-9.7043096726308585E-3</v>
      </c>
      <c r="J156" s="140">
        <f t="shared" si="200"/>
        <v>-9.6558850703698466E-3</v>
      </c>
      <c r="K156" s="140">
        <f t="shared" si="200"/>
        <v>-9.6077021073581199E-3</v>
      </c>
      <c r="L156" s="140">
        <f t="shared" si="200"/>
        <v>-9.559759577813411E-3</v>
      </c>
      <c r="M156" s="140">
        <f t="shared" si="200"/>
        <v>-9.5120562819703148E-3</v>
      </c>
      <c r="N156" s="140">
        <f t="shared" si="200"/>
        <v>-9.4645910260502709E-3</v>
      </c>
      <c r="O156" s="140">
        <f t="shared" si="200"/>
        <v>-9.4173626222316831E-3</v>
      </c>
      <c r="P156" s="140">
        <f t="shared" si="200"/>
        <v>-9.3703698886201982E-3</v>
      </c>
      <c r="Q156" s="140">
        <f t="shared" si="200"/>
        <v>-9.3236116492191271E-3</v>
      </c>
      <c r="R156" s="140">
        <f t="shared" si="200"/>
        <v>-9.2770867339000158E-3</v>
      </c>
      <c r="S156" s="140">
        <f t="shared" si="200"/>
        <v>-9.2307939783733643E-3</v>
      </c>
      <c r="T156" s="140">
        <f t="shared" si="200"/>
        <v>-9.1847322241594854E-3</v>
      </c>
      <c r="U156" s="140">
        <f t="shared" si="200"/>
        <v>-9.1389003185595227E-3</v>
      </c>
      <c r="V156" s="140">
        <f t="shared" si="200"/>
        <v>-9.0932971146265931E-3</v>
      </c>
      <c r="W156" s="140">
        <f t="shared" si="200"/>
        <v>-9.0479214711370933E-3</v>
      </c>
      <c r="X156" s="140">
        <f t="shared" si="200"/>
        <v>-9.0027722525621353E-3</v>
      </c>
      <c r="Y156" s="140">
        <f t="shared" si="200"/>
        <v>-8.9578483290391319E-3</v>
      </c>
      <c r="Z156" s="140">
        <f t="shared" si="200"/>
        <v>-8.9131485763435242E-3</v>
      </c>
      <c r="AA156" s="140">
        <f t="shared" si="200"/>
        <v>-8.8686718758606408E-3</v>
      </c>
      <c r="AB156" s="140">
        <f t="shared" si="200"/>
        <v>-8.8244171145577116E-3</v>
      </c>
      <c r="AC156" s="140">
        <f t="shared" si="200"/>
        <v>-8.7803831849560116E-3</v>
      </c>
      <c r="AD156" s="140">
        <f t="shared" si="200"/>
        <v>-8.7365689851031433E-3</v>
      </c>
      <c r="AE156" s="140">
        <f t="shared" si="200"/>
        <v>-8.6929734185454636E-3</v>
      </c>
      <c r="AF156" s="140">
        <f t="shared" si="200"/>
        <v>-8.6495953943006437E-3</v>
      </c>
      <c r="AG156" s="140">
        <f t="shared" si="200"/>
        <v>-8.6064338268303682E-3</v>
      </c>
      <c r="AH156" s="140">
        <f t="shared" si="200"/>
        <v>-8.5634876360131708E-3</v>
      </c>
      <c r="AI156" s="140">
        <f t="shared" si="200"/>
        <v>-8.5207557471173971E-3</v>
      </c>
      <c r="AJ156" s="140">
        <f t="shared" si="200"/>
        <v>-8.4782370907743199E-3</v>
      </c>
      <c r="AK156" s="140">
        <f t="shared" si="200"/>
        <v>-8.4359306029513671E-3</v>
      </c>
      <c r="AL156" s="140">
        <f t="shared" si="200"/>
        <v>-8.3938352249255058E-3</v>
      </c>
      <c r="AM156" s="140">
        <f t="shared" si="200"/>
        <v>-8.3519499032567359E-3</v>
      </c>
      <c r="AN156" s="140">
        <f t="shared" si="200"/>
        <v>-8.3102735897617377E-3</v>
      </c>
      <c r="AO156" s="140">
        <f t="shared" si="200"/>
        <v>-8.2688052414876343E-3</v>
      </c>
      <c r="AP156" s="140">
        <f t="shared" si="200"/>
        <v>-8.2275438206858946E-3</v>
      </c>
      <c r="AQ156" s="140">
        <f t="shared" si="200"/>
        <v>-8.1864882947863642E-3</v>
      </c>
      <c r="AR156" s="140">
        <f t="shared" si="200"/>
        <v>-8.1456376363714215E-3</v>
      </c>
      <c r="AS156" s="140">
        <f t="shared" si="200"/>
        <v>-8.1049908231502713E-3</v>
      </c>
      <c r="AT156" s="140">
        <f t="shared" si="200"/>
        <v>-8.0645468379333604E-3</v>
      </c>
      <c r="AU156" s="140">
        <f t="shared" si="200"/>
        <v>-8.0243046686069193E-3</v>
      </c>
      <c r="AV156" s="140">
        <f t="shared" si="200"/>
        <v>-7.9842633081076385E-3</v>
      </c>
      <c r="AW156" s="140">
        <f t="shared" si="200"/>
        <v>-7.9444217543974613E-3</v>
      </c>
      <c r="AX156" s="140">
        <f t="shared" si="200"/>
        <v>-7.9047790104385153E-3</v>
      </c>
      <c r="AY156" s="140">
        <f t="shared" si="200"/>
        <v>-7.8653340841681532E-3</v>
      </c>
      <c r="AZ156" s="140">
        <f t="shared" si="200"/>
        <v>-7.8260859884741324E-3</v>
      </c>
      <c r="BA156" s="140">
        <f t="shared" si="200"/>
        <v>-7.7870337411699089E-3</v>
      </c>
      <c r="BB156" s="140">
        <f t="shared" si="200"/>
        <v>-7.748176364970061E-3</v>
      </c>
      <c r="BC156" s="140">
        <f t="shared" si="200"/>
        <v>-7.70951288746583E-3</v>
      </c>
      <c r="BD156" s="140">
        <f t="shared" si="200"/>
        <v>-7.6710423411007868E-3</v>
      </c>
      <c r="BE156" s="140">
        <f t="shared" si="200"/>
        <v>-7.6327637631466178E-3</v>
      </c>
      <c r="BF156" s="140">
        <f t="shared" si="200"/>
        <v>-7.5946761956790345E-3</v>
      </c>
      <c r="BG156" s="140">
        <f t="shared" si="200"/>
        <v>-7.5567786855537996E-3</v>
      </c>
      <c r="BH156" s="140">
        <f t="shared" si="200"/>
        <v>-7.5190702843828758E-3</v>
      </c>
      <c r="BI156" s="140">
        <f t="shared" si="200"/>
        <v>-7.4815500485106903E-3</v>
      </c>
      <c r="BJ156" s="140">
        <f t="shared" si="200"/>
        <v>-7.4442170389905221E-3</v>
      </c>
      <c r="BK156" s="140">
        <f t="shared" si="200"/>
        <v>-7.4070703215610026E-3</v>
      </c>
      <c r="BL156" s="140">
        <f t="shared" si="200"/>
        <v>-7.3701089666227378E-3</v>
      </c>
      <c r="BM156" s="140">
        <f t="shared" si="200"/>
        <v>-7.3333320492150441E-3</v>
      </c>
      <c r="BN156" s="140">
        <f t="shared" si="200"/>
        <v>-7.2967386489928001E-3</v>
      </c>
      <c r="BO156" s="140">
        <f t="shared" si="200"/>
        <v>-7.2603278502034159E-3</v>
      </c>
      <c r="BP156" s="140">
        <f t="shared" si="200"/>
        <v>-7.2240987416639169E-3</v>
      </c>
      <c r="BQ156" s="140">
        <f t="shared" si="200"/>
        <v>-7.1880504167381402E-3</v>
      </c>
      <c r="BR156" s="140">
        <f t="shared" si="200"/>
        <v>-7.1521819733140462E-3</v>
      </c>
      <c r="BS156" s="140">
        <f t="shared" ref="BS156:CV156" si="201">+BR156*(1+$B$152)^5</f>
        <v>-7.1164925137811429E-3</v>
      </c>
      <c r="BT156" s="140">
        <f t="shared" si="201"/>
        <v>-7.0809811450080256E-3</v>
      </c>
      <c r="BU156" s="140">
        <f t="shared" si="201"/>
        <v>-7.0456469783200222E-3</v>
      </c>
      <c r="BV156" s="140">
        <f t="shared" si="201"/>
        <v>-7.0104891294769569E-3</v>
      </c>
      <c r="BW156" s="140">
        <f t="shared" si="201"/>
        <v>-6.9755067186510209E-3</v>
      </c>
      <c r="BX156" s="140">
        <f t="shared" si="201"/>
        <v>-6.9406988704047556E-3</v>
      </c>
      <c r="BY156" s="140">
        <f t="shared" si="201"/>
        <v>-6.9060647136691437E-3</v>
      </c>
      <c r="BZ156" s="140">
        <f t="shared" si="201"/>
        <v>-6.8716033817218108E-3</v>
      </c>
      <c r="CA156" s="140">
        <f t="shared" si="201"/>
        <v>-6.8373140121653362E-3</v>
      </c>
      <c r="CB156" s="140">
        <f t="shared" si="201"/>
        <v>-6.8031957469056707E-3</v>
      </c>
      <c r="CC156" s="140">
        <f t="shared" si="201"/>
        <v>-6.7692477321306633E-3</v>
      </c>
      <c r="CD156" s="140">
        <f t="shared" si="201"/>
        <v>-6.7354691182886939E-3</v>
      </c>
      <c r="CE156" s="140">
        <f t="shared" si="201"/>
        <v>-6.701859060067413E-3</v>
      </c>
      <c r="CF156" s="140">
        <f t="shared" si="201"/>
        <v>-6.6684167163725888E-3</v>
      </c>
      <c r="CG156" s="140">
        <f t="shared" si="201"/>
        <v>-6.6351412503070578E-3</v>
      </c>
      <c r="CH156" s="140">
        <f t="shared" si="201"/>
        <v>-6.6020318291497822E-3</v>
      </c>
      <c r="CI156" s="140">
        <f t="shared" si="201"/>
        <v>-6.5690876243350103E-3</v>
      </c>
      <c r="CJ156" s="140">
        <f t="shared" si="201"/>
        <v>-6.5363078114315416E-3</v>
      </c>
      <c r="CK156" s="140">
        <f t="shared" si="201"/>
        <v>-6.5036915701220952E-3</v>
      </c>
      <c r="CL156" s="140">
        <f t="shared" si="201"/>
        <v>-6.4712380841827821E-3</v>
      </c>
      <c r="CM156" s="140">
        <f t="shared" si="201"/>
        <v>-6.4389465414626786E-3</v>
      </c>
      <c r="CN156" s="140">
        <f t="shared" si="201"/>
        <v>-6.4068161338635028E-3</v>
      </c>
      <c r="CO156" s="140">
        <f t="shared" si="201"/>
        <v>-6.3748460573193905E-3</v>
      </c>
      <c r="CP156" s="140">
        <f t="shared" si="201"/>
        <v>-6.3430355117767741E-3</v>
      </c>
      <c r="CQ156" s="140">
        <f t="shared" si="201"/>
        <v>-6.3113837011743619E-3</v>
      </c>
      <c r="CR156" s="140">
        <f t="shared" si="201"/>
        <v>-6.2798898334232153E-3</v>
      </c>
      <c r="CS156" s="140">
        <f t="shared" si="201"/>
        <v>-6.2485531203869283E-3</v>
      </c>
      <c r="CT156" s="140">
        <f t="shared" si="201"/>
        <v>-6.217372777861903E-3</v>
      </c>
      <c r="CU156" s="140">
        <f t="shared" si="201"/>
        <v>-6.1863480255577247E-3</v>
      </c>
      <c r="CV156" s="140">
        <f t="shared" si="201"/>
        <v>-6.1554780870776375E-3</v>
      </c>
    </row>
    <row r="157" spans="1:100" s="140" customFormat="1" ht="14.25" customHeight="1" x14ac:dyDescent="0.35">
      <c r="B157" s="128"/>
    </row>
    <row r="159" spans="1:100" ht="14.25" customHeight="1" x14ac:dyDescent="0.35">
      <c r="A159" s="129" t="s">
        <v>288</v>
      </c>
    </row>
    <row r="161" spans="1:124" s="130" customFormat="1" ht="14" customHeight="1" x14ac:dyDescent="0.35">
      <c r="A161" s="130" t="s">
        <v>292</v>
      </c>
      <c r="B161" s="128">
        <f>+Limt2!B41</f>
        <v>0.48898252427184469</v>
      </c>
      <c r="C161" s="130">
        <f>+Limt2!C41</f>
        <v>0.46513456515401325</v>
      </c>
      <c r="D161" s="130">
        <f>+Limt2!D41</f>
        <v>0.44256008991679779</v>
      </c>
      <c r="E161" s="130">
        <f>+Limt2!E41</f>
        <v>0.42118577521279577</v>
      </c>
      <c r="F161" s="130">
        <f>+Limt2!F41</f>
        <v>0.40094280263881599</v>
      </c>
      <c r="G161" s="130">
        <f>+Limt2!G41</f>
        <v>0.38176656563022343</v>
      </c>
      <c r="H161" s="130">
        <f>+Limt2!H41</f>
        <v>0.36359639643184688</v>
      </c>
      <c r="I161" s="130">
        <f>+Limt2!I41</f>
        <v>0.3463753117045314</v>
      </c>
      <c r="J161" s="130">
        <f>+Limt2!J41</f>
        <v>0.33004977543436226</v>
      </c>
      <c r="K161" s="130">
        <f>+Limt2!K41</f>
        <v>0.31456947791111545</v>
      </c>
      <c r="L161" s="130">
        <f>+Limt2!L41</f>
        <v>0.29988712963428726</v>
      </c>
      <c r="M161" s="130">
        <f>+Limt2!M41</f>
        <v>0.28595826908974353</v>
      </c>
      <c r="N161" s="130">
        <f>+Limt2!N41</f>
        <v>0.27274108341817926</v>
      </c>
      <c r="O161" s="130">
        <f>+Limt2!O41</f>
        <v>0.26019624106871514</v>
      </c>
      <c r="P161" s="130">
        <f>+Limt2!P41</f>
        <v>0.24828673559755968</v>
      </c>
      <c r="Q161" s="130">
        <f>+Limt2!Q41</f>
        <v>0.23697773983317538</v>
      </c>
      <c r="R161" s="130">
        <f>+Limt2!R41</f>
        <v>0.22623646968620664</v>
      </c>
      <c r="S161" s="130">
        <f>+Limt2!S41</f>
        <v>0.21603205693493088</v>
      </c>
      <c r="T161" s="130">
        <f>+Limt2!T41</f>
        <v>0.20633543036551905</v>
      </c>
      <c r="U161" s="130">
        <f>+Limt2!U41</f>
        <v>0.19711920469125327</v>
      </c>
      <c r="V161" s="130">
        <f>+Limt2!V41</f>
        <v>0.18835757671633377</v>
      </c>
      <c r="W161" s="130">
        <f>+Limt2!W41</f>
        <v>0.1800262282482781</v>
      </c>
      <c r="X161" s="130">
        <f>+Limt2!X41</f>
        <v>0.17210223529841748</v>
      </c>
      <c r="Y161" s="130">
        <f>+Limt2!Y41</f>
        <v>0.16456398314284804</v>
      </c>
      <c r="Z161" s="130">
        <f>+Limt2!Z41</f>
        <v>0.15739108684660658</v>
      </c>
      <c r="AA161" s="130">
        <f>+Limt2!AA41</f>
        <v>0.15056431688199842</v>
      </c>
      <c r="AB161" s="130">
        <f>+Limt2!AB41</f>
        <v>0.14406552949808246</v>
      </c>
      <c r="AC161" s="130">
        <f>+Limt2!AC41</f>
        <v>0.13787760152247575</v>
      </c>
      <c r="AD161" s="130">
        <f>+Limt2!AD41</f>
        <v>0.13198436929902402</v>
      </c>
      <c r="AE161" s="130">
        <f>+Limt2!AE41</f>
        <v>0.12637057148562994</v>
      </c>
      <c r="AF161" s="130">
        <f>+Limt2!AF41</f>
        <v>0.12102179545576312</v>
      </c>
      <c r="AG161" s="130">
        <f>+Limt2!AG41</f>
        <v>0.11592442706500916</v>
      </c>
      <c r="AH161" s="130">
        <f>+Limt2!AH41</f>
        <v>0.11106560356055512</v>
      </c>
      <c r="AI161" s="130">
        <f>+Limt2!AI41</f>
        <v>0.10643316942685391</v>
      </c>
      <c r="AJ161" s="130">
        <f>+Limt2!AJ41</f>
        <v>0.10201563497494859</v>
      </c>
      <c r="AK161" s="130">
        <f>+Limt2!AK41</f>
        <v>9.7802137496154212E-2</v>
      </c>
      <c r="AL161" s="130">
        <f>+Limt2!AL41</f>
        <v>9.3782404813064046E-2</v>
      </c>
      <c r="AM161" s="130">
        <f>+Limt2!AM41</f>
        <v>8.9946721072241179E-2</v>
      </c>
      <c r="AN161" s="130">
        <f>+Limt2!AN41</f>
        <v>8.628589463353914E-2</v>
      </c>
      <c r="AO161" s="130">
        <f>+Limt2!AO41</f>
        <v>8.2791227920826896E-2</v>
      </c>
      <c r="AP161" s="130">
        <f>+Limt2!AP41</f>
        <v>7.9454489108030366E-2</v>
      </c>
      <c r="AQ161" s="130">
        <f>+Limt2!AQ41</f>
        <v>7.6267885522894624E-2</v>
      </c>
      <c r="AR161" s="130">
        <f>+Limt2!AR41</f>
        <v>7.3224038658766005E-2</v>
      </c>
      <c r="AS161" s="130">
        <f>+Limt2!AS41</f>
        <v>7.031596069203537E-2</v>
      </c>
      <c r="AT161" s="130">
        <f>+Limt2!AT41</f>
        <v>6.7537032409712414E-2</v>
      </c>
      <c r="AU161" s="130">
        <f>+Limt2!AU41</f>
        <v>6.4880982457954123E-2</v>
      </c>
      <c r="AV161" s="130">
        <f>+Limt2!AV41</f>
        <v>6.2341867828282604E-2</v>
      </c>
      <c r="AW161" s="130">
        <f>+Limt2!AW41</f>
        <v>5.991405550372976E-2</v>
      </c>
      <c r="AX161" s="130">
        <f>+Limt2!AX41</f>
        <v>5.7592205192269555E-2</v>
      </c>
      <c r="AY161" s="130">
        <f>+Limt2!AY41</f>
        <v>5.5371253079668684E-2</v>
      </c>
      <c r="AZ161" s="130">
        <f>+Limt2!AZ41</f>
        <v>5.3246396538329618E-2</v>
      </c>
      <c r="BA161" s="130">
        <f>+Limt2!BA41</f>
        <v>5.1213079732839228E-2</v>
      </c>
      <c r="BB161" s="130">
        <f>+Limt2!BB41</f>
        <v>4.9266980066793017E-2</v>
      </c>
      <c r="BC161" s="130">
        <f>+Limt2!BC41</f>
        <v>4.7403995419059923E-2</v>
      </c>
      <c r="BD161" s="130">
        <f>+Limt2!BD41</f>
        <v>4.5620232121003627E-2</v>
      </c>
      <c r="BE161" s="130">
        <f>+Limt2!BE41</f>
        <v>4.3911993629301163E-2</v>
      </c>
      <c r="BF161" s="130">
        <f>+Limt2!BF41</f>
        <v>4.22757698519136E-2</v>
      </c>
      <c r="BG161" s="130">
        <f>+Limt2!BG41</f>
        <v>4.0708227087482361E-2</v>
      </c>
      <c r="BH161" s="130">
        <f>+Limt2!BH41</f>
        <v>3.9206198540960864E-2</v>
      </c>
      <c r="BI161" s="130">
        <f>+Limt2!BI41</f>
        <v>3.776667538065856E-2</v>
      </c>
      <c r="BJ161" s="130">
        <f>+Limt2!BJ41</f>
        <v>0</v>
      </c>
      <c r="BK161" s="130">
        <f>+Limt2!BK41</f>
        <v>0</v>
      </c>
      <c r="BL161" s="130">
        <f>+Limt2!BL41</f>
        <v>0</v>
      </c>
      <c r="BM161" s="130">
        <f>+Limt2!BM41</f>
        <v>0</v>
      </c>
      <c r="BN161" s="130">
        <f>+Limt2!BN41</f>
        <v>0</v>
      </c>
      <c r="BO161" s="130">
        <f>+Limt2!BO41</f>
        <v>0</v>
      </c>
      <c r="BP161" s="130">
        <f>+Limt2!BP41</f>
        <v>0</v>
      </c>
      <c r="BQ161" s="130">
        <f>+Limt2!BQ41</f>
        <v>0</v>
      </c>
      <c r="BR161" s="130">
        <f>+Limt2!BR41</f>
        <v>0</v>
      </c>
      <c r="BS161" s="130">
        <f>+Limt2!BS41</f>
        <v>0</v>
      </c>
      <c r="BT161" s="130">
        <f>+Limt2!BT41</f>
        <v>0</v>
      </c>
      <c r="BU161" s="130">
        <f>+Limt2!BU41</f>
        <v>0</v>
      </c>
      <c r="BV161" s="130">
        <f>+Limt2!BV41</f>
        <v>0</v>
      </c>
      <c r="BW161" s="130">
        <f>+Limt2!BW41</f>
        <v>0</v>
      </c>
      <c r="BX161" s="130">
        <f>+Limt2!BX41</f>
        <v>0</v>
      </c>
      <c r="BY161" s="130">
        <f>+Limt2!BY41</f>
        <v>0</v>
      </c>
      <c r="BZ161" s="130">
        <f>+Limt2!BZ41</f>
        <v>0</v>
      </c>
      <c r="CA161" s="130">
        <f>+Limt2!CA41</f>
        <v>0</v>
      </c>
      <c r="CB161" s="130">
        <f>+Limt2!CB41</f>
        <v>0</v>
      </c>
      <c r="CC161" s="130">
        <f>+Limt2!CC41</f>
        <v>0</v>
      </c>
      <c r="CD161" s="130">
        <f>+Limt2!CD41</f>
        <v>0</v>
      </c>
      <c r="CE161" s="130">
        <f>+Limt2!CE41</f>
        <v>0</v>
      </c>
      <c r="CF161" s="130">
        <f>+Limt2!CF41</f>
        <v>0</v>
      </c>
      <c r="CG161" s="130">
        <f>+Limt2!CG41</f>
        <v>0</v>
      </c>
      <c r="CH161" s="130">
        <f>+Limt2!CH41</f>
        <v>0</v>
      </c>
      <c r="CI161" s="130">
        <f>+Limt2!CI41</f>
        <v>0</v>
      </c>
      <c r="CJ161" s="130">
        <f>+Limt2!CJ41</f>
        <v>0</v>
      </c>
      <c r="CK161" s="130">
        <f>+Limt2!CK41</f>
        <v>0</v>
      </c>
      <c r="CL161" s="130">
        <f>+Limt2!CL41</f>
        <v>0</v>
      </c>
      <c r="CM161" s="130">
        <f>+Limt2!CM41</f>
        <v>0</v>
      </c>
      <c r="CN161" s="130">
        <f>+Limt2!CN41</f>
        <v>0</v>
      </c>
      <c r="CO161" s="130">
        <f>+Limt2!CO41</f>
        <v>0</v>
      </c>
      <c r="CP161" s="130">
        <f>+Limt2!CP41</f>
        <v>0</v>
      </c>
      <c r="CQ161" s="130">
        <f>+Limt2!CQ41</f>
        <v>0</v>
      </c>
      <c r="CR161" s="130">
        <f>+Limt2!CR41</f>
        <v>0</v>
      </c>
      <c r="CS161" s="130">
        <f>+Limt2!CS41</f>
        <v>0</v>
      </c>
      <c r="CT161" s="130">
        <f>+Limt2!CT41</f>
        <v>0</v>
      </c>
      <c r="CU161" s="130">
        <f>+Limt2!CU41</f>
        <v>0</v>
      </c>
      <c r="CV161" s="130">
        <f>+Limt2!CV41</f>
        <v>0</v>
      </c>
    </row>
    <row r="162" spans="1:124" s="134" customFormat="1" ht="14.25" customHeight="1" x14ac:dyDescent="0.35">
      <c r="A162" s="134" t="s">
        <v>293</v>
      </c>
      <c r="B162" s="128">
        <f>+Base!B41</f>
        <v>0.48898252427184469</v>
      </c>
      <c r="C162" s="134">
        <f>+Base!C41</f>
        <v>0.46513456515401325</v>
      </c>
      <c r="D162" s="134">
        <f>+Base!D41</f>
        <v>0.44256008991679779</v>
      </c>
      <c r="E162" s="134">
        <f>+Base!E41</f>
        <v>0.42118577521279577</v>
      </c>
      <c r="F162" s="134">
        <f>+Base!F41</f>
        <v>0.40094280263881599</v>
      </c>
      <c r="G162" s="134">
        <f>+Base!G41</f>
        <v>0.38176656563022343</v>
      </c>
      <c r="H162" s="134">
        <f>+Base!H41</f>
        <v>0.36359639643184688</v>
      </c>
      <c r="I162" s="134">
        <f>+Base!I41</f>
        <v>0.3463753117045314</v>
      </c>
      <c r="J162" s="134">
        <f>+Base!J41</f>
        <v>0.33004977543436226</v>
      </c>
      <c r="K162" s="134">
        <f>+Base!K41</f>
        <v>0.31456947791111545</v>
      </c>
      <c r="L162" s="134">
        <f>+Base!L41</f>
        <v>0.29988712963428726</v>
      </c>
      <c r="M162" s="134">
        <f>+Base!M41</f>
        <v>0.28595826908974353</v>
      </c>
      <c r="N162" s="134">
        <f>+Base!N41</f>
        <v>0.27274108341817926</v>
      </c>
      <c r="O162" s="134">
        <f>+Base!O41</f>
        <v>0.26019624106871514</v>
      </c>
      <c r="P162" s="134">
        <f>+Base!P41</f>
        <v>0.24828673559755968</v>
      </c>
      <c r="Q162" s="134">
        <f>+Base!Q41</f>
        <v>0.23697773983317538</v>
      </c>
      <c r="R162" s="134">
        <f>+Base!R41</f>
        <v>0.22623646968620664</v>
      </c>
      <c r="S162" s="134">
        <f>+Base!S41</f>
        <v>0.21603205693493088</v>
      </c>
      <c r="T162" s="134">
        <f>+Base!T41</f>
        <v>0.20633543036551905</v>
      </c>
      <c r="U162" s="134">
        <f>+Base!U41</f>
        <v>0.19711920469125327</v>
      </c>
      <c r="V162" s="134">
        <f>+Base!V41</f>
        <v>0.18835757671633377</v>
      </c>
      <c r="W162" s="134">
        <f>+Base!W41</f>
        <v>0.1800262282482781</v>
      </c>
      <c r="X162" s="134">
        <f>+Base!X41</f>
        <v>0.17210223529841748</v>
      </c>
      <c r="Y162" s="134">
        <f>+Base!Y41</f>
        <v>0.16456398314284804</v>
      </c>
      <c r="Z162" s="134">
        <f>+Base!Z41</f>
        <v>0.15739108684660658</v>
      </c>
      <c r="AA162" s="134">
        <f>+Base!AA41</f>
        <v>0.15056431688199842</v>
      </c>
      <c r="AB162" s="134">
        <f>+Base!AB41</f>
        <v>0.14406552949808246</v>
      </c>
      <c r="AC162" s="134">
        <f>+Base!AC41</f>
        <v>0.13787760152247575</v>
      </c>
      <c r="AD162" s="134">
        <f>+Base!AD41</f>
        <v>0.13198436929902402</v>
      </c>
      <c r="AE162" s="134">
        <f>+Base!AE41</f>
        <v>0.12637057148562994</v>
      </c>
      <c r="AF162" s="134">
        <f>+Base!AF41</f>
        <v>0.12102179545576312</v>
      </c>
      <c r="AG162" s="134">
        <f>+Base!AG41</f>
        <v>0.11592442706500916</v>
      </c>
      <c r="AH162" s="134">
        <f>+Base!AH41</f>
        <v>0.11106560356055512</v>
      </c>
      <c r="AI162" s="134">
        <f>+Base!AI41</f>
        <v>0.10643316942685391</v>
      </c>
      <c r="AJ162" s="134">
        <f>+Base!AJ41</f>
        <v>0.10201563497494859</v>
      </c>
      <c r="AK162" s="134">
        <f>+Base!AK41</f>
        <v>9.7802137496154212E-2</v>
      </c>
      <c r="AL162" s="134">
        <f>+Base!AL41</f>
        <v>9.3782404813064046E-2</v>
      </c>
      <c r="AM162" s="134">
        <f>+Base!AM41</f>
        <v>8.9946721072241179E-2</v>
      </c>
      <c r="AN162" s="134">
        <f>+Base!AN41</f>
        <v>8.628589463353914E-2</v>
      </c>
      <c r="AO162" s="134">
        <f>+Base!AO41</f>
        <v>8.2791227920826896E-2</v>
      </c>
      <c r="AP162" s="134">
        <f>+Base!AP41</f>
        <v>7.9454489108030366E-2</v>
      </c>
      <c r="AQ162" s="134">
        <f>+Base!AQ41</f>
        <v>7.6267885522894624E-2</v>
      </c>
      <c r="AR162" s="134">
        <f>+Base!AR41</f>
        <v>7.3224038658766005E-2</v>
      </c>
      <c r="AS162" s="134">
        <f>+Base!AS41</f>
        <v>7.031596069203537E-2</v>
      </c>
      <c r="AT162" s="134">
        <f>+Base!AT41</f>
        <v>6.7537032409712414E-2</v>
      </c>
      <c r="AU162" s="134">
        <f>+Base!AU41</f>
        <v>6.4880982457954123E-2</v>
      </c>
      <c r="AV162" s="134">
        <f>+Base!AV41</f>
        <v>6.2341867828282604E-2</v>
      </c>
      <c r="AW162" s="134">
        <f>+Base!AW41</f>
        <v>5.991405550372976E-2</v>
      </c>
      <c r="AX162" s="134">
        <f>+Base!AX41</f>
        <v>5.7592205192269555E-2</v>
      </c>
      <c r="AY162" s="134">
        <f>+Base!AY41</f>
        <v>5.5371253079668684E-2</v>
      </c>
      <c r="AZ162" s="134">
        <f>+Base!AZ41</f>
        <v>5.3246396538329618E-2</v>
      </c>
      <c r="BA162" s="134">
        <f>+Base!BA41</f>
        <v>5.1213079732839228E-2</v>
      </c>
      <c r="BB162" s="134">
        <f>+Base!BB41</f>
        <v>4.9266980066793017E-2</v>
      </c>
      <c r="BC162" s="134">
        <f>+Base!BC41</f>
        <v>4.7403995419059923E-2</v>
      </c>
      <c r="BD162" s="134">
        <f>+Base!BD41</f>
        <v>4.5620232121003627E-2</v>
      </c>
      <c r="BE162" s="134">
        <f>+Base!BE41</f>
        <v>4.3911993629301163E-2</v>
      </c>
      <c r="BF162" s="134">
        <f>+Base!BF41</f>
        <v>4.22757698519136E-2</v>
      </c>
      <c r="BG162" s="134">
        <f>+Base!BG41</f>
        <v>4.0708227087482361E-2</v>
      </c>
      <c r="BH162" s="134">
        <f>+Base!BH41</f>
        <v>3.9206198540960864E-2</v>
      </c>
      <c r="BI162" s="134">
        <f>+Base!BI41</f>
        <v>3.776667538065856E-2</v>
      </c>
      <c r="BJ162" s="134">
        <f>+Base!BJ41</f>
        <v>0</v>
      </c>
      <c r="BK162" s="134">
        <f>+Base!BK41</f>
        <v>0</v>
      </c>
      <c r="BL162" s="134">
        <f>+Base!BL41</f>
        <v>0</v>
      </c>
      <c r="BM162" s="134">
        <f>+Base!BM41</f>
        <v>0</v>
      </c>
      <c r="BN162" s="134">
        <f>+Base!BN41</f>
        <v>0</v>
      </c>
      <c r="BO162" s="134">
        <f>+Base!BO41</f>
        <v>0</v>
      </c>
      <c r="BP162" s="134">
        <f>+Base!BP41</f>
        <v>0</v>
      </c>
      <c r="BQ162" s="134">
        <f>+Base!BQ41</f>
        <v>0</v>
      </c>
      <c r="BR162" s="134">
        <f>+Base!BR41</f>
        <v>0</v>
      </c>
      <c r="BS162" s="134">
        <f>+Base!BS41</f>
        <v>0</v>
      </c>
      <c r="BT162" s="134">
        <f>+Base!BT41</f>
        <v>0</v>
      </c>
      <c r="BU162" s="134">
        <f>+Base!BU41</f>
        <v>0</v>
      </c>
      <c r="BV162" s="134">
        <f>+Base!BV41</f>
        <v>0</v>
      </c>
      <c r="BW162" s="134">
        <f>+Base!BW41</f>
        <v>0</v>
      </c>
      <c r="BX162" s="134">
        <f>+Base!BX41</f>
        <v>0</v>
      </c>
      <c r="BY162" s="134">
        <f>+Base!BY41</f>
        <v>0</v>
      </c>
      <c r="BZ162" s="134">
        <f>+Base!BZ41</f>
        <v>0</v>
      </c>
      <c r="CA162" s="134">
        <f>+Base!CA41</f>
        <v>0</v>
      </c>
      <c r="CB162" s="134">
        <f>+Base!CB41</f>
        <v>0</v>
      </c>
      <c r="CC162" s="134">
        <f>+Base!CC41</f>
        <v>0</v>
      </c>
      <c r="CD162" s="134">
        <f>+Base!CD41</f>
        <v>0</v>
      </c>
      <c r="CE162" s="134">
        <f>+Base!CE41</f>
        <v>0</v>
      </c>
      <c r="CF162" s="134">
        <f>+Base!CF41</f>
        <v>0</v>
      </c>
      <c r="CG162" s="134">
        <f>+Base!CG41</f>
        <v>0</v>
      </c>
      <c r="CH162" s="134">
        <f>+Base!CH41</f>
        <v>0</v>
      </c>
      <c r="CI162" s="134">
        <f>+Base!CI41</f>
        <v>0</v>
      </c>
      <c r="CJ162" s="134">
        <f>+Base!CJ41</f>
        <v>0</v>
      </c>
      <c r="CK162" s="134">
        <f>+Base!CK41</f>
        <v>0</v>
      </c>
      <c r="CL162" s="134">
        <f>+Base!CL41</f>
        <v>0</v>
      </c>
      <c r="CM162" s="134">
        <f>+Base!CM41</f>
        <v>0</v>
      </c>
      <c r="CN162" s="134">
        <f>+Base!CN41</f>
        <v>0</v>
      </c>
      <c r="CO162" s="134">
        <f>+Base!CO41</f>
        <v>0</v>
      </c>
      <c r="CP162" s="134">
        <f>+Base!CP41</f>
        <v>0</v>
      </c>
      <c r="CQ162" s="134">
        <f>+Base!CQ41</f>
        <v>0</v>
      </c>
      <c r="CR162" s="134">
        <f>+Base!CR41</f>
        <v>0</v>
      </c>
      <c r="CS162" s="134">
        <f>+Base!CS41</f>
        <v>0</v>
      </c>
      <c r="CT162" s="134">
        <f>+Base!CT41</f>
        <v>0</v>
      </c>
      <c r="CU162" s="134">
        <f>+Base!CU41</f>
        <v>0</v>
      </c>
      <c r="CV162" s="134">
        <f>+Base!CV41</f>
        <v>0</v>
      </c>
    </row>
    <row r="164" spans="1:124" ht="14.25" customHeight="1" x14ac:dyDescent="0.35">
      <c r="B164" s="128">
        <f t="shared" ref="B164:G164" si="202">+B155/B161</f>
        <v>1</v>
      </c>
      <c r="C164" s="129">
        <f t="shared" si="202"/>
        <v>1</v>
      </c>
      <c r="D164" s="129">
        <f t="shared" si="202"/>
        <v>1</v>
      </c>
      <c r="E164" s="129">
        <f t="shared" si="202"/>
        <v>1</v>
      </c>
      <c r="F164" s="129">
        <f t="shared" si="202"/>
        <v>1</v>
      </c>
      <c r="G164" s="129">
        <f t="shared" si="202"/>
        <v>1</v>
      </c>
      <c r="H164" s="129">
        <f t="shared" ref="H164:BR164" si="203">+H155/H161</f>
        <v>1</v>
      </c>
      <c r="I164" s="129">
        <f t="shared" si="203"/>
        <v>1</v>
      </c>
      <c r="J164" s="129">
        <f t="shared" si="203"/>
        <v>1</v>
      </c>
      <c r="K164" s="129">
        <f t="shared" si="203"/>
        <v>1</v>
      </c>
      <c r="L164" s="129">
        <f t="shared" si="203"/>
        <v>1</v>
      </c>
      <c r="M164" s="129">
        <f t="shared" si="203"/>
        <v>1</v>
      </c>
      <c r="N164" s="129">
        <f t="shared" si="203"/>
        <v>1</v>
      </c>
      <c r="O164" s="129">
        <f t="shared" si="203"/>
        <v>1</v>
      </c>
      <c r="P164" s="129">
        <f t="shared" si="203"/>
        <v>1</v>
      </c>
      <c r="Q164" s="129">
        <f t="shared" si="203"/>
        <v>1</v>
      </c>
      <c r="R164" s="129">
        <f t="shared" si="203"/>
        <v>1</v>
      </c>
      <c r="S164" s="129">
        <f t="shared" si="203"/>
        <v>1</v>
      </c>
      <c r="T164" s="129">
        <f t="shared" si="203"/>
        <v>1</v>
      </c>
      <c r="U164" s="129">
        <f t="shared" si="203"/>
        <v>1</v>
      </c>
      <c r="V164" s="129">
        <f t="shared" si="203"/>
        <v>1</v>
      </c>
      <c r="W164" s="129">
        <f t="shared" si="203"/>
        <v>1</v>
      </c>
      <c r="X164" s="129">
        <f t="shared" si="203"/>
        <v>1</v>
      </c>
      <c r="Y164" s="129">
        <f t="shared" si="203"/>
        <v>1</v>
      </c>
      <c r="Z164" s="129">
        <f t="shared" si="203"/>
        <v>1</v>
      </c>
      <c r="AA164" s="129">
        <f t="shared" si="203"/>
        <v>1</v>
      </c>
      <c r="AB164" s="129">
        <f t="shared" si="203"/>
        <v>1</v>
      </c>
      <c r="AC164" s="129">
        <f t="shared" si="203"/>
        <v>1</v>
      </c>
      <c r="AD164" s="129">
        <f t="shared" si="203"/>
        <v>1</v>
      </c>
      <c r="AE164" s="129">
        <f t="shared" si="203"/>
        <v>1</v>
      </c>
      <c r="AF164" s="129">
        <f t="shared" si="203"/>
        <v>1</v>
      </c>
      <c r="AG164" s="129">
        <f t="shared" si="203"/>
        <v>1</v>
      </c>
      <c r="AH164" s="129">
        <f t="shared" si="203"/>
        <v>1</v>
      </c>
      <c r="AI164" s="129">
        <f t="shared" si="203"/>
        <v>1</v>
      </c>
      <c r="AJ164" s="129">
        <f t="shared" si="203"/>
        <v>1</v>
      </c>
      <c r="AK164" s="129">
        <f t="shared" si="203"/>
        <v>1</v>
      </c>
      <c r="AL164" s="129">
        <f t="shared" si="203"/>
        <v>1</v>
      </c>
      <c r="AM164" s="129">
        <f t="shared" si="203"/>
        <v>1</v>
      </c>
      <c r="AN164" s="129">
        <f t="shared" si="203"/>
        <v>1</v>
      </c>
      <c r="AO164" s="129">
        <f t="shared" si="203"/>
        <v>1</v>
      </c>
      <c r="AP164" s="129">
        <f t="shared" si="203"/>
        <v>1</v>
      </c>
      <c r="AQ164" s="129">
        <f t="shared" si="203"/>
        <v>1</v>
      </c>
      <c r="AR164" s="129">
        <f t="shared" si="203"/>
        <v>1</v>
      </c>
      <c r="AS164" s="129">
        <f t="shared" si="203"/>
        <v>1</v>
      </c>
      <c r="AT164" s="129">
        <f t="shared" si="203"/>
        <v>1</v>
      </c>
      <c r="AU164" s="129">
        <f t="shared" si="203"/>
        <v>1</v>
      </c>
      <c r="AV164" s="129">
        <f t="shared" si="203"/>
        <v>1</v>
      </c>
      <c r="AW164" s="129">
        <f t="shared" si="203"/>
        <v>1</v>
      </c>
      <c r="AX164" s="129">
        <f t="shared" si="203"/>
        <v>1</v>
      </c>
      <c r="AY164" s="129">
        <f t="shared" si="203"/>
        <v>1</v>
      </c>
      <c r="AZ164" s="129">
        <f t="shared" si="203"/>
        <v>1</v>
      </c>
      <c r="BA164" s="129">
        <f t="shared" si="203"/>
        <v>1</v>
      </c>
      <c r="BB164" s="129">
        <f t="shared" si="203"/>
        <v>1</v>
      </c>
      <c r="BC164" s="129">
        <f t="shared" si="203"/>
        <v>1</v>
      </c>
      <c r="BD164" s="129">
        <f t="shared" si="203"/>
        <v>1</v>
      </c>
      <c r="BE164" s="129">
        <f t="shared" si="203"/>
        <v>1</v>
      </c>
      <c r="BF164" s="129">
        <f t="shared" si="203"/>
        <v>1</v>
      </c>
      <c r="BG164" s="129">
        <f t="shared" si="203"/>
        <v>1</v>
      </c>
      <c r="BH164" s="129">
        <f t="shared" si="203"/>
        <v>1</v>
      </c>
      <c r="BI164" s="129">
        <f t="shared" si="203"/>
        <v>1</v>
      </c>
      <c r="BJ164" s="129" t="e">
        <f t="shared" si="203"/>
        <v>#DIV/0!</v>
      </c>
      <c r="BK164" s="129" t="e">
        <f t="shared" si="203"/>
        <v>#DIV/0!</v>
      </c>
      <c r="BL164" s="129" t="e">
        <f t="shared" si="203"/>
        <v>#DIV/0!</v>
      </c>
      <c r="BM164" s="129" t="e">
        <f t="shared" si="203"/>
        <v>#DIV/0!</v>
      </c>
      <c r="BN164" s="129" t="e">
        <f t="shared" si="203"/>
        <v>#DIV/0!</v>
      </c>
      <c r="BO164" s="129" t="e">
        <f t="shared" si="203"/>
        <v>#DIV/0!</v>
      </c>
      <c r="BP164" s="129" t="e">
        <f t="shared" si="203"/>
        <v>#DIV/0!</v>
      </c>
      <c r="BQ164" s="129" t="e">
        <f t="shared" si="203"/>
        <v>#DIV/0!</v>
      </c>
      <c r="BR164" s="129" t="e">
        <f t="shared" si="203"/>
        <v>#DIV/0!</v>
      </c>
      <c r="BS164" s="129" t="e">
        <f t="shared" ref="BS164:CV164" si="204">+BS155/BS161</f>
        <v>#DIV/0!</v>
      </c>
      <c r="BT164" s="129" t="e">
        <f t="shared" si="204"/>
        <v>#DIV/0!</v>
      </c>
      <c r="BU164" s="129" t="e">
        <f t="shared" si="204"/>
        <v>#DIV/0!</v>
      </c>
      <c r="BV164" s="129" t="e">
        <f t="shared" si="204"/>
        <v>#DIV/0!</v>
      </c>
      <c r="BW164" s="129" t="e">
        <f t="shared" si="204"/>
        <v>#DIV/0!</v>
      </c>
      <c r="BX164" s="129" t="e">
        <f t="shared" si="204"/>
        <v>#DIV/0!</v>
      </c>
      <c r="BY164" s="129" t="e">
        <f t="shared" si="204"/>
        <v>#DIV/0!</v>
      </c>
      <c r="BZ164" s="129" t="e">
        <f t="shared" si="204"/>
        <v>#DIV/0!</v>
      </c>
      <c r="CA164" s="129" t="e">
        <f t="shared" si="204"/>
        <v>#DIV/0!</v>
      </c>
      <c r="CB164" s="129" t="e">
        <f t="shared" si="204"/>
        <v>#DIV/0!</v>
      </c>
      <c r="CC164" s="129" t="e">
        <f t="shared" si="204"/>
        <v>#DIV/0!</v>
      </c>
      <c r="CD164" s="129" t="e">
        <f t="shared" si="204"/>
        <v>#DIV/0!</v>
      </c>
      <c r="CE164" s="129" t="e">
        <f t="shared" si="204"/>
        <v>#DIV/0!</v>
      </c>
      <c r="CF164" s="129" t="e">
        <f t="shared" si="204"/>
        <v>#DIV/0!</v>
      </c>
      <c r="CG164" s="129" t="e">
        <f t="shared" si="204"/>
        <v>#DIV/0!</v>
      </c>
      <c r="CH164" s="129" t="e">
        <f t="shared" si="204"/>
        <v>#DIV/0!</v>
      </c>
      <c r="CI164" s="129" t="e">
        <f t="shared" si="204"/>
        <v>#DIV/0!</v>
      </c>
      <c r="CJ164" s="129" t="e">
        <f t="shared" si="204"/>
        <v>#DIV/0!</v>
      </c>
      <c r="CK164" s="129" t="e">
        <f t="shared" si="204"/>
        <v>#DIV/0!</v>
      </c>
      <c r="CL164" s="129" t="e">
        <f t="shared" si="204"/>
        <v>#DIV/0!</v>
      </c>
      <c r="CM164" s="129" t="e">
        <f t="shared" si="204"/>
        <v>#DIV/0!</v>
      </c>
      <c r="CN164" s="129" t="e">
        <f t="shared" si="204"/>
        <v>#DIV/0!</v>
      </c>
      <c r="CO164" s="129" t="e">
        <f t="shared" si="204"/>
        <v>#DIV/0!</v>
      </c>
      <c r="CP164" s="129" t="e">
        <f t="shared" si="204"/>
        <v>#DIV/0!</v>
      </c>
      <c r="CQ164" s="129" t="e">
        <f t="shared" si="204"/>
        <v>#DIV/0!</v>
      </c>
      <c r="CR164" s="129" t="e">
        <f t="shared" si="204"/>
        <v>#DIV/0!</v>
      </c>
      <c r="CS164" s="129" t="e">
        <f t="shared" si="204"/>
        <v>#DIV/0!</v>
      </c>
      <c r="CT164" s="129" t="e">
        <f t="shared" si="204"/>
        <v>#DIV/0!</v>
      </c>
      <c r="CU164" s="129" t="e">
        <f t="shared" si="204"/>
        <v>#DIV/0!</v>
      </c>
      <c r="CV164" s="129" t="e">
        <f t="shared" si="204"/>
        <v>#DIV/0!</v>
      </c>
    </row>
    <row r="167" spans="1:124" ht="14.25" customHeight="1" x14ac:dyDescent="0.35">
      <c r="A167" s="129" t="s">
        <v>289</v>
      </c>
    </row>
    <row r="168" spans="1:124" ht="14.25" customHeight="1" x14ac:dyDescent="0.35">
      <c r="A168" s="129" t="s">
        <v>290</v>
      </c>
      <c r="C168" s="141">
        <f>+LN(C155/B155)/5</f>
        <v>-9.9999999999999985E-3</v>
      </c>
      <c r="D168" s="141">
        <f t="shared" ref="D168:F168" si="205">+LN(D155/C155)/5</f>
        <v>-9.950099900049995E-3</v>
      </c>
      <c r="E168" s="141">
        <f t="shared" si="205"/>
        <v>-9.9004488020974814E-3</v>
      </c>
      <c r="F168" s="141">
        <f t="shared" si="205"/>
        <v>-9.8510454636199958E-3</v>
      </c>
      <c r="G168" s="141">
        <f t="shared" ref="G168:BR168" si="206">+LN(G155/F155)/5</f>
        <v>-9.8018886482953531E-3</v>
      </c>
      <c r="H168" s="141">
        <f t="shared" si="206"/>
        <v>-9.7529771259704783E-3</v>
      </c>
      <c r="I168" s="141">
        <f t="shared" si="206"/>
        <v>-9.7043096726308533E-3</v>
      </c>
      <c r="J168" s="141">
        <f t="shared" si="206"/>
        <v>-9.6558850703698518E-3</v>
      </c>
      <c r="K168" s="141">
        <f t="shared" si="206"/>
        <v>-9.6077021073581442E-3</v>
      </c>
      <c r="L168" s="141">
        <f t="shared" si="206"/>
        <v>-9.5597595778134162E-3</v>
      </c>
      <c r="M168" s="141">
        <f t="shared" si="206"/>
        <v>-9.5120562819703183E-3</v>
      </c>
      <c r="N168" s="141">
        <f t="shared" si="206"/>
        <v>-9.4645910260502727E-3</v>
      </c>
      <c r="O168" s="141">
        <f t="shared" si="206"/>
        <v>-9.4173626222316554E-3</v>
      </c>
      <c r="P168" s="141">
        <f t="shared" si="206"/>
        <v>-9.3703698886202034E-3</v>
      </c>
      <c r="Q168" s="141">
        <f t="shared" si="206"/>
        <v>-9.3236116492191254E-3</v>
      </c>
      <c r="R168" s="141">
        <f t="shared" si="206"/>
        <v>-9.2770867339000192E-3</v>
      </c>
      <c r="S168" s="141">
        <f t="shared" si="206"/>
        <v>-9.2307939783733729E-3</v>
      </c>
      <c r="T168" s="141">
        <f t="shared" si="206"/>
        <v>-9.1847322241595027E-3</v>
      </c>
      <c r="U168" s="141">
        <f t="shared" si="206"/>
        <v>-9.1389003185595244E-3</v>
      </c>
      <c r="V168" s="141">
        <f t="shared" si="206"/>
        <v>-9.0932971146265931E-3</v>
      </c>
      <c r="W168" s="141">
        <f t="shared" si="206"/>
        <v>-9.0479214711370968E-3</v>
      </c>
      <c r="X168" s="141">
        <f t="shared" si="206"/>
        <v>-9.0027722525621422E-3</v>
      </c>
      <c r="Y168" s="141">
        <f t="shared" si="206"/>
        <v>-8.9578483290391371E-3</v>
      </c>
      <c r="Z168" s="141">
        <f t="shared" si="206"/>
        <v>-8.913148576343493E-3</v>
      </c>
      <c r="AA168" s="141">
        <f t="shared" si="206"/>
        <v>-8.8686718758606217E-3</v>
      </c>
      <c r="AB168" s="141">
        <f t="shared" si="206"/>
        <v>-8.8244171145577203E-3</v>
      </c>
      <c r="AC168" s="141">
        <f t="shared" si="206"/>
        <v>-8.7803831849560393E-3</v>
      </c>
      <c r="AD168" s="141">
        <f t="shared" si="206"/>
        <v>-8.736568985103145E-3</v>
      </c>
      <c r="AE168" s="141">
        <f t="shared" si="206"/>
        <v>-8.6929734185454775E-3</v>
      </c>
      <c r="AF168" s="141">
        <f t="shared" si="206"/>
        <v>-8.6495953943006541E-3</v>
      </c>
      <c r="AG168" s="141">
        <f t="shared" si="206"/>
        <v>-8.6064338268303595E-3</v>
      </c>
      <c r="AH168" s="141">
        <f t="shared" si="206"/>
        <v>-8.5634876360131673E-3</v>
      </c>
      <c r="AI168" s="141">
        <f t="shared" si="206"/>
        <v>-8.5207557471173884E-3</v>
      </c>
      <c r="AJ168" s="141">
        <f t="shared" si="206"/>
        <v>-8.4782370907743286E-3</v>
      </c>
      <c r="AK168" s="141">
        <f t="shared" si="206"/>
        <v>-8.4359306029513741E-3</v>
      </c>
      <c r="AL168" s="141">
        <f t="shared" si="206"/>
        <v>-8.3938352249254937E-3</v>
      </c>
      <c r="AM168" s="141">
        <f t="shared" si="206"/>
        <v>-8.3519499032567411E-3</v>
      </c>
      <c r="AN168" s="141">
        <f t="shared" si="206"/>
        <v>-8.3102735897617568E-3</v>
      </c>
      <c r="AO168" s="141">
        <f t="shared" si="206"/>
        <v>-8.268805241487643E-3</v>
      </c>
      <c r="AP168" s="141">
        <f t="shared" si="206"/>
        <v>-8.2275438206859033E-3</v>
      </c>
      <c r="AQ168" s="141">
        <f t="shared" si="206"/>
        <v>-8.186488294786385E-3</v>
      </c>
      <c r="AR168" s="141">
        <f t="shared" si="206"/>
        <v>-8.1456376363714562E-3</v>
      </c>
      <c r="AS168" s="141">
        <f t="shared" si="206"/>
        <v>-8.1049908231503008E-3</v>
      </c>
      <c r="AT168" s="141">
        <f t="shared" si="206"/>
        <v>-8.06454683793335E-3</v>
      </c>
      <c r="AU168" s="141">
        <f t="shared" si="206"/>
        <v>-8.024304668606921E-3</v>
      </c>
      <c r="AV168" s="141">
        <f t="shared" si="206"/>
        <v>-7.9842633081076506E-3</v>
      </c>
      <c r="AW168" s="141">
        <f t="shared" si="206"/>
        <v>-7.9444217543974613E-3</v>
      </c>
      <c r="AX168" s="141">
        <f t="shared" si="206"/>
        <v>-7.9047790104385084E-3</v>
      </c>
      <c r="AY168" s="141">
        <f t="shared" si="206"/>
        <v>-7.8653340841681532E-3</v>
      </c>
      <c r="AZ168" s="141">
        <f t="shared" si="206"/>
        <v>-7.8260859884741411E-3</v>
      </c>
      <c r="BA168" s="141">
        <f t="shared" si="206"/>
        <v>-7.7870337411699063E-3</v>
      </c>
      <c r="BB168" s="141">
        <f t="shared" si="206"/>
        <v>-7.7481763649700662E-3</v>
      </c>
      <c r="BC168" s="141">
        <f t="shared" si="206"/>
        <v>-7.7095128874658195E-3</v>
      </c>
      <c r="BD168" s="141">
        <f t="shared" si="206"/>
        <v>-7.6710423411007799E-3</v>
      </c>
      <c r="BE168" s="141">
        <f t="shared" si="206"/>
        <v>-7.6327637631465901E-3</v>
      </c>
      <c r="BF168" s="141">
        <f t="shared" si="206"/>
        <v>-7.5946761956790353E-3</v>
      </c>
      <c r="BG168" s="141">
        <f t="shared" si="206"/>
        <v>-7.5567786855537987E-3</v>
      </c>
      <c r="BH168" s="141">
        <f t="shared" si="206"/>
        <v>-7.5190702843828481E-3</v>
      </c>
      <c r="BI168" s="141">
        <f t="shared" si="206"/>
        <v>-7.4815500485107007E-3</v>
      </c>
      <c r="BJ168" s="141">
        <f t="shared" si="206"/>
        <v>-7.4442170389905265E-3</v>
      </c>
      <c r="BK168" s="141">
        <f t="shared" si="206"/>
        <v>-7.4070703215609853E-3</v>
      </c>
      <c r="BL168" s="141">
        <f t="shared" si="206"/>
        <v>-7.3701089666227361E-3</v>
      </c>
      <c r="BM168" s="141">
        <f t="shared" si="206"/>
        <v>-7.3333320492150441E-3</v>
      </c>
      <c r="BN168" s="141">
        <f t="shared" si="206"/>
        <v>-7.2967386489927984E-3</v>
      </c>
      <c r="BO168" s="141">
        <f t="shared" si="206"/>
        <v>-7.2603278502034211E-3</v>
      </c>
      <c r="BP168" s="141">
        <f t="shared" si="206"/>
        <v>-7.2240987416639256E-3</v>
      </c>
      <c r="BQ168" s="141">
        <f t="shared" si="206"/>
        <v>-7.1880504167381471E-3</v>
      </c>
      <c r="BR168" s="141">
        <f t="shared" si="206"/>
        <v>-7.1521819733140366E-3</v>
      </c>
      <c r="BS168" s="141">
        <f t="shared" ref="BS168:CV168" si="207">+LN(BS155/BR155)/5</f>
        <v>-7.1164925137811742E-3</v>
      </c>
      <c r="BT168" s="141">
        <f t="shared" si="207"/>
        <v>-7.0809811450080196E-3</v>
      </c>
      <c r="BU168" s="141">
        <f t="shared" si="207"/>
        <v>-7.0456469783200274E-3</v>
      </c>
      <c r="BV168" s="141">
        <f t="shared" si="207"/>
        <v>-7.0104891294769465E-3</v>
      </c>
      <c r="BW168" s="141">
        <f t="shared" si="207"/>
        <v>-6.9755067186510113E-3</v>
      </c>
      <c r="BX168" s="141">
        <f t="shared" si="207"/>
        <v>-6.9406988704047642E-3</v>
      </c>
      <c r="BY168" s="141">
        <f t="shared" si="207"/>
        <v>-6.9060647136691385E-3</v>
      </c>
      <c r="BZ168" s="141">
        <f t="shared" si="207"/>
        <v>-6.871603381721836E-3</v>
      </c>
      <c r="CA168" s="141">
        <f t="shared" si="207"/>
        <v>-6.83731401216537E-3</v>
      </c>
      <c r="CB168" s="141">
        <f t="shared" si="207"/>
        <v>-6.8031957469056855E-3</v>
      </c>
      <c r="CC168" s="141">
        <f t="shared" si="207"/>
        <v>-6.769247732130652E-3</v>
      </c>
      <c r="CD168" s="141">
        <f t="shared" si="207"/>
        <v>-6.7354691182886835E-3</v>
      </c>
      <c r="CE168" s="141">
        <f t="shared" si="207"/>
        <v>-6.7018590600674017E-3</v>
      </c>
      <c r="CF168" s="141">
        <f t="shared" si="207"/>
        <v>-6.6684167163725775E-3</v>
      </c>
      <c r="CG168" s="141">
        <f t="shared" si="207"/>
        <v>-6.6351412503070526E-3</v>
      </c>
      <c r="CH168" s="141">
        <f t="shared" si="207"/>
        <v>-6.60203182914979E-3</v>
      </c>
      <c r="CI168" s="141">
        <f t="shared" si="207"/>
        <v>-6.5690876243350068E-3</v>
      </c>
      <c r="CJ168" s="141">
        <f t="shared" si="207"/>
        <v>-6.5363078114315364E-3</v>
      </c>
      <c r="CK168" s="141">
        <f t="shared" si="207"/>
        <v>-6.5036915701220891E-3</v>
      </c>
      <c r="CL168" s="141">
        <f t="shared" si="207"/>
        <v>-6.4712380841827778E-3</v>
      </c>
      <c r="CM168" s="141">
        <f t="shared" si="207"/>
        <v>-6.4389465414626838E-3</v>
      </c>
      <c r="CN168" s="141">
        <f t="shared" si="207"/>
        <v>-6.4068161338635063E-3</v>
      </c>
      <c r="CO168" s="141">
        <f t="shared" si="207"/>
        <v>-6.3748460573193975E-3</v>
      </c>
      <c r="CP168" s="141">
        <f t="shared" si="207"/>
        <v>-6.3430355117767758E-3</v>
      </c>
      <c r="CQ168" s="141">
        <f t="shared" si="207"/>
        <v>-6.3113837011743723E-3</v>
      </c>
      <c r="CR168" s="141">
        <f t="shared" si="207"/>
        <v>-6.2798898334232144E-3</v>
      </c>
      <c r="CS168" s="141">
        <f t="shared" si="207"/>
        <v>-6.2485531203869248E-3</v>
      </c>
      <c r="CT168" s="141">
        <f t="shared" si="207"/>
        <v>-6.2173727778619308E-3</v>
      </c>
      <c r="CU168" s="141">
        <f t="shared" si="207"/>
        <v>-6.1863480255577238E-3</v>
      </c>
      <c r="CV168" s="141">
        <f t="shared" si="207"/>
        <v>-6.155478087077621E-3</v>
      </c>
    </row>
    <row r="169" spans="1:124" ht="14.25" customHeight="1" x14ac:dyDescent="0.35">
      <c r="A169" s="129" t="s">
        <v>291</v>
      </c>
      <c r="C169" s="141">
        <f t="shared" ref="C169:F170" si="208">+LN(C161/B161)/5</f>
        <v>-9.9999999999999985E-3</v>
      </c>
      <c r="D169" s="141">
        <f t="shared" si="208"/>
        <v>-9.950099900049995E-3</v>
      </c>
      <c r="E169" s="141">
        <f t="shared" si="208"/>
        <v>-9.9004488020974814E-3</v>
      </c>
      <c r="F169" s="141">
        <f t="shared" si="208"/>
        <v>-9.8510454636199958E-3</v>
      </c>
      <c r="G169" s="141">
        <f t="shared" ref="G169:BR169" si="209">+LN(G161/F161)/5</f>
        <v>-9.8018886482953531E-3</v>
      </c>
      <c r="H169" s="141">
        <f t="shared" si="209"/>
        <v>-9.7529771259704783E-3</v>
      </c>
      <c r="I169" s="141">
        <f t="shared" si="209"/>
        <v>-9.7043096726308533E-3</v>
      </c>
      <c r="J169" s="141">
        <f t="shared" si="209"/>
        <v>-9.6558850703698518E-3</v>
      </c>
      <c r="K169" s="141">
        <f t="shared" si="209"/>
        <v>-9.6077021073581442E-3</v>
      </c>
      <c r="L169" s="141">
        <f t="shared" si="209"/>
        <v>-9.5597595778134162E-3</v>
      </c>
      <c r="M169" s="141">
        <f t="shared" si="209"/>
        <v>-9.5120562819703183E-3</v>
      </c>
      <c r="N169" s="141">
        <f t="shared" si="209"/>
        <v>-9.4645910260502727E-3</v>
      </c>
      <c r="O169" s="141">
        <f t="shared" si="209"/>
        <v>-9.4173626222316554E-3</v>
      </c>
      <c r="P169" s="141">
        <f t="shared" si="209"/>
        <v>-9.3703698886202034E-3</v>
      </c>
      <c r="Q169" s="141">
        <f t="shared" si="209"/>
        <v>-9.3236116492191254E-3</v>
      </c>
      <c r="R169" s="141">
        <f t="shared" si="209"/>
        <v>-9.2770867339000192E-3</v>
      </c>
      <c r="S169" s="141">
        <f t="shared" si="209"/>
        <v>-9.2307939783733729E-3</v>
      </c>
      <c r="T169" s="141">
        <f t="shared" si="209"/>
        <v>-9.1847322241595027E-3</v>
      </c>
      <c r="U169" s="141">
        <f t="shared" si="209"/>
        <v>-9.1389003185595244E-3</v>
      </c>
      <c r="V169" s="141">
        <f t="shared" si="209"/>
        <v>-9.0932971146265931E-3</v>
      </c>
      <c r="W169" s="141">
        <f t="shared" si="209"/>
        <v>-9.0479214711370968E-3</v>
      </c>
      <c r="X169" s="141">
        <f t="shared" si="209"/>
        <v>-9.0027722525621422E-3</v>
      </c>
      <c r="Y169" s="141">
        <f t="shared" si="209"/>
        <v>-8.9578483290391371E-3</v>
      </c>
      <c r="Z169" s="141">
        <f t="shared" si="209"/>
        <v>-8.913148576343493E-3</v>
      </c>
      <c r="AA169" s="141">
        <f t="shared" si="209"/>
        <v>-8.8686718758606217E-3</v>
      </c>
      <c r="AB169" s="141">
        <f t="shared" si="209"/>
        <v>-8.8244171145577203E-3</v>
      </c>
      <c r="AC169" s="141">
        <f t="shared" si="209"/>
        <v>-8.7803831849560393E-3</v>
      </c>
      <c r="AD169" s="141">
        <f t="shared" si="209"/>
        <v>-8.736568985103145E-3</v>
      </c>
      <c r="AE169" s="141">
        <f t="shared" si="209"/>
        <v>-8.6929734185454775E-3</v>
      </c>
      <c r="AF169" s="141">
        <f t="shared" si="209"/>
        <v>-8.6495953943006541E-3</v>
      </c>
      <c r="AG169" s="141">
        <f t="shared" si="209"/>
        <v>-8.6064338268303595E-3</v>
      </c>
      <c r="AH169" s="141">
        <f t="shared" si="209"/>
        <v>-8.5634876360131673E-3</v>
      </c>
      <c r="AI169" s="141">
        <f t="shared" si="209"/>
        <v>-8.5207557471173884E-3</v>
      </c>
      <c r="AJ169" s="141">
        <f t="shared" si="209"/>
        <v>-8.4782370907743286E-3</v>
      </c>
      <c r="AK169" s="141">
        <f t="shared" si="209"/>
        <v>-8.4359306029513741E-3</v>
      </c>
      <c r="AL169" s="141">
        <f t="shared" si="209"/>
        <v>-8.3938352249254937E-3</v>
      </c>
      <c r="AM169" s="141">
        <f t="shared" si="209"/>
        <v>-8.3519499032567411E-3</v>
      </c>
      <c r="AN169" s="141">
        <f t="shared" si="209"/>
        <v>-8.3102735897617568E-3</v>
      </c>
      <c r="AO169" s="141">
        <f t="shared" si="209"/>
        <v>-8.268805241487643E-3</v>
      </c>
      <c r="AP169" s="141">
        <f t="shared" si="209"/>
        <v>-8.2275438206859033E-3</v>
      </c>
      <c r="AQ169" s="141">
        <f t="shared" si="209"/>
        <v>-8.186488294786385E-3</v>
      </c>
      <c r="AR169" s="141">
        <f t="shared" si="209"/>
        <v>-8.1456376363714562E-3</v>
      </c>
      <c r="AS169" s="141">
        <f t="shared" si="209"/>
        <v>-8.1049908231503008E-3</v>
      </c>
      <c r="AT169" s="141">
        <f t="shared" si="209"/>
        <v>-8.06454683793335E-3</v>
      </c>
      <c r="AU169" s="141">
        <f t="shared" si="209"/>
        <v>-8.024304668606921E-3</v>
      </c>
      <c r="AV169" s="141">
        <f t="shared" si="209"/>
        <v>-7.9842633081076506E-3</v>
      </c>
      <c r="AW169" s="141">
        <f t="shared" si="209"/>
        <v>-7.9444217543974613E-3</v>
      </c>
      <c r="AX169" s="141">
        <f t="shared" si="209"/>
        <v>-7.9047790104385084E-3</v>
      </c>
      <c r="AY169" s="141">
        <f t="shared" si="209"/>
        <v>-7.8653340841681532E-3</v>
      </c>
      <c r="AZ169" s="141">
        <f t="shared" si="209"/>
        <v>-7.8260859884741411E-3</v>
      </c>
      <c r="BA169" s="141">
        <f t="shared" si="209"/>
        <v>-7.7870337411699063E-3</v>
      </c>
      <c r="BB169" s="141">
        <f t="shared" si="209"/>
        <v>-7.7481763649700662E-3</v>
      </c>
      <c r="BC169" s="141">
        <f t="shared" si="209"/>
        <v>-7.7095128874658195E-3</v>
      </c>
      <c r="BD169" s="141">
        <f t="shared" si="209"/>
        <v>-7.6710423411007799E-3</v>
      </c>
      <c r="BE169" s="141">
        <f t="shared" si="209"/>
        <v>-7.6327637631465901E-3</v>
      </c>
      <c r="BF169" s="141">
        <f t="shared" si="209"/>
        <v>-7.5946761956790353E-3</v>
      </c>
      <c r="BG169" s="141">
        <f t="shared" si="209"/>
        <v>-7.5567786855537987E-3</v>
      </c>
      <c r="BH169" s="141">
        <f t="shared" si="209"/>
        <v>-7.5190702843828481E-3</v>
      </c>
      <c r="BI169" s="141">
        <f t="shared" si="209"/>
        <v>-7.4815500485107007E-3</v>
      </c>
      <c r="BJ169" s="141" t="e">
        <f t="shared" si="209"/>
        <v>#NUM!</v>
      </c>
      <c r="BK169" s="141" t="e">
        <f t="shared" si="209"/>
        <v>#DIV/0!</v>
      </c>
      <c r="BL169" s="141" t="e">
        <f t="shared" si="209"/>
        <v>#DIV/0!</v>
      </c>
      <c r="BM169" s="141" t="e">
        <f t="shared" si="209"/>
        <v>#DIV/0!</v>
      </c>
      <c r="BN169" s="141" t="e">
        <f t="shared" si="209"/>
        <v>#DIV/0!</v>
      </c>
      <c r="BO169" s="141" t="e">
        <f t="shared" si="209"/>
        <v>#DIV/0!</v>
      </c>
      <c r="BP169" s="141" t="e">
        <f t="shared" si="209"/>
        <v>#DIV/0!</v>
      </c>
      <c r="BQ169" s="141" t="e">
        <f t="shared" si="209"/>
        <v>#DIV/0!</v>
      </c>
      <c r="BR169" s="141" t="e">
        <f t="shared" si="209"/>
        <v>#DIV/0!</v>
      </c>
      <c r="BS169" s="141" t="e">
        <f t="shared" ref="BS169:CV169" si="210">+LN(BS161/BR161)/5</f>
        <v>#DIV/0!</v>
      </c>
      <c r="BT169" s="141" t="e">
        <f t="shared" si="210"/>
        <v>#DIV/0!</v>
      </c>
      <c r="BU169" s="141" t="e">
        <f t="shared" si="210"/>
        <v>#DIV/0!</v>
      </c>
      <c r="BV169" s="141" t="e">
        <f t="shared" si="210"/>
        <v>#DIV/0!</v>
      </c>
      <c r="BW169" s="141" t="e">
        <f t="shared" si="210"/>
        <v>#DIV/0!</v>
      </c>
      <c r="BX169" s="141" t="e">
        <f t="shared" si="210"/>
        <v>#DIV/0!</v>
      </c>
      <c r="BY169" s="141" t="e">
        <f t="shared" si="210"/>
        <v>#DIV/0!</v>
      </c>
      <c r="BZ169" s="141" t="e">
        <f t="shared" si="210"/>
        <v>#DIV/0!</v>
      </c>
      <c r="CA169" s="141" t="e">
        <f t="shared" si="210"/>
        <v>#DIV/0!</v>
      </c>
      <c r="CB169" s="141" t="e">
        <f t="shared" si="210"/>
        <v>#DIV/0!</v>
      </c>
      <c r="CC169" s="141" t="e">
        <f t="shared" si="210"/>
        <v>#DIV/0!</v>
      </c>
      <c r="CD169" s="141" t="e">
        <f t="shared" si="210"/>
        <v>#DIV/0!</v>
      </c>
      <c r="CE169" s="141" t="e">
        <f t="shared" si="210"/>
        <v>#DIV/0!</v>
      </c>
      <c r="CF169" s="141" t="e">
        <f t="shared" si="210"/>
        <v>#DIV/0!</v>
      </c>
      <c r="CG169" s="141" t="e">
        <f t="shared" si="210"/>
        <v>#DIV/0!</v>
      </c>
      <c r="CH169" s="141" t="e">
        <f t="shared" si="210"/>
        <v>#DIV/0!</v>
      </c>
      <c r="CI169" s="141" t="e">
        <f t="shared" si="210"/>
        <v>#DIV/0!</v>
      </c>
      <c r="CJ169" s="141" t="e">
        <f t="shared" si="210"/>
        <v>#DIV/0!</v>
      </c>
      <c r="CK169" s="141" t="e">
        <f t="shared" si="210"/>
        <v>#DIV/0!</v>
      </c>
      <c r="CL169" s="141" t="e">
        <f t="shared" si="210"/>
        <v>#DIV/0!</v>
      </c>
      <c r="CM169" s="141" t="e">
        <f t="shared" si="210"/>
        <v>#DIV/0!</v>
      </c>
      <c r="CN169" s="141" t="e">
        <f t="shared" si="210"/>
        <v>#DIV/0!</v>
      </c>
      <c r="CO169" s="141" t="e">
        <f t="shared" si="210"/>
        <v>#DIV/0!</v>
      </c>
      <c r="CP169" s="141" t="e">
        <f t="shared" si="210"/>
        <v>#DIV/0!</v>
      </c>
      <c r="CQ169" s="141" t="e">
        <f t="shared" si="210"/>
        <v>#DIV/0!</v>
      </c>
      <c r="CR169" s="141" t="e">
        <f t="shared" si="210"/>
        <v>#DIV/0!</v>
      </c>
      <c r="CS169" s="141" t="e">
        <f t="shared" si="210"/>
        <v>#DIV/0!</v>
      </c>
      <c r="CT169" s="141" t="e">
        <f t="shared" si="210"/>
        <v>#DIV/0!</v>
      </c>
      <c r="CU169" s="141" t="e">
        <f t="shared" si="210"/>
        <v>#DIV/0!</v>
      </c>
      <c r="CV169" s="141" t="e">
        <f t="shared" si="210"/>
        <v>#DIV/0!</v>
      </c>
    </row>
    <row r="170" spans="1:124" ht="14.25" customHeight="1" x14ac:dyDescent="0.35">
      <c r="C170" s="141">
        <f t="shared" si="208"/>
        <v>-9.9999999999999985E-3</v>
      </c>
      <c r="D170" s="141">
        <f t="shared" si="208"/>
        <v>-9.950099900049995E-3</v>
      </c>
      <c r="E170" s="141">
        <f t="shared" si="208"/>
        <v>-9.9004488020974814E-3</v>
      </c>
      <c r="F170" s="141">
        <f t="shared" si="208"/>
        <v>-9.8510454636199958E-3</v>
      </c>
      <c r="G170" s="141">
        <f t="shared" ref="G170:BR170" si="211">+LN(G162/F162)/5</f>
        <v>-9.8018886482953531E-3</v>
      </c>
      <c r="H170" s="141">
        <f t="shared" si="211"/>
        <v>-9.7529771259704783E-3</v>
      </c>
      <c r="I170" s="141">
        <f t="shared" si="211"/>
        <v>-9.7043096726308533E-3</v>
      </c>
      <c r="J170" s="141">
        <f t="shared" si="211"/>
        <v>-9.6558850703698518E-3</v>
      </c>
      <c r="K170" s="141">
        <f t="shared" si="211"/>
        <v>-9.6077021073581442E-3</v>
      </c>
      <c r="L170" s="141">
        <f t="shared" si="211"/>
        <v>-9.5597595778134162E-3</v>
      </c>
      <c r="M170" s="141">
        <f t="shared" si="211"/>
        <v>-9.5120562819703183E-3</v>
      </c>
      <c r="N170" s="141">
        <f t="shared" si="211"/>
        <v>-9.4645910260502727E-3</v>
      </c>
      <c r="O170" s="141">
        <f t="shared" si="211"/>
        <v>-9.4173626222316554E-3</v>
      </c>
      <c r="P170" s="141">
        <f t="shared" si="211"/>
        <v>-9.3703698886202034E-3</v>
      </c>
      <c r="Q170" s="141">
        <f t="shared" si="211"/>
        <v>-9.3236116492191254E-3</v>
      </c>
      <c r="R170" s="141">
        <f t="shared" si="211"/>
        <v>-9.2770867339000192E-3</v>
      </c>
      <c r="S170" s="141">
        <f t="shared" si="211"/>
        <v>-9.2307939783733729E-3</v>
      </c>
      <c r="T170" s="141">
        <f t="shared" si="211"/>
        <v>-9.1847322241595027E-3</v>
      </c>
      <c r="U170" s="141">
        <f t="shared" si="211"/>
        <v>-9.1389003185595244E-3</v>
      </c>
      <c r="V170" s="141">
        <f t="shared" si="211"/>
        <v>-9.0932971146265931E-3</v>
      </c>
      <c r="W170" s="141">
        <f t="shared" si="211"/>
        <v>-9.0479214711370968E-3</v>
      </c>
      <c r="X170" s="141">
        <f t="shared" si="211"/>
        <v>-9.0027722525621422E-3</v>
      </c>
      <c r="Y170" s="141">
        <f t="shared" si="211"/>
        <v>-8.9578483290391371E-3</v>
      </c>
      <c r="Z170" s="141">
        <f t="shared" si="211"/>
        <v>-8.913148576343493E-3</v>
      </c>
      <c r="AA170" s="141">
        <f t="shared" si="211"/>
        <v>-8.8686718758606217E-3</v>
      </c>
      <c r="AB170" s="141">
        <f t="shared" si="211"/>
        <v>-8.8244171145577203E-3</v>
      </c>
      <c r="AC170" s="141">
        <f t="shared" si="211"/>
        <v>-8.7803831849560393E-3</v>
      </c>
      <c r="AD170" s="141">
        <f t="shared" si="211"/>
        <v>-8.736568985103145E-3</v>
      </c>
      <c r="AE170" s="141">
        <f t="shared" si="211"/>
        <v>-8.6929734185454775E-3</v>
      </c>
      <c r="AF170" s="141">
        <f t="shared" si="211"/>
        <v>-8.6495953943006541E-3</v>
      </c>
      <c r="AG170" s="141">
        <f t="shared" si="211"/>
        <v>-8.6064338268303595E-3</v>
      </c>
      <c r="AH170" s="141">
        <f t="shared" si="211"/>
        <v>-8.5634876360131673E-3</v>
      </c>
      <c r="AI170" s="141">
        <f t="shared" si="211"/>
        <v>-8.5207557471173884E-3</v>
      </c>
      <c r="AJ170" s="141">
        <f t="shared" si="211"/>
        <v>-8.4782370907743286E-3</v>
      </c>
      <c r="AK170" s="141">
        <f t="shared" si="211"/>
        <v>-8.4359306029513741E-3</v>
      </c>
      <c r="AL170" s="141">
        <f t="shared" si="211"/>
        <v>-8.3938352249254937E-3</v>
      </c>
      <c r="AM170" s="141">
        <f t="shared" si="211"/>
        <v>-8.3519499032567411E-3</v>
      </c>
      <c r="AN170" s="141">
        <f t="shared" si="211"/>
        <v>-8.3102735897617568E-3</v>
      </c>
      <c r="AO170" s="141">
        <f t="shared" si="211"/>
        <v>-8.268805241487643E-3</v>
      </c>
      <c r="AP170" s="141">
        <f t="shared" si="211"/>
        <v>-8.2275438206859033E-3</v>
      </c>
      <c r="AQ170" s="141">
        <f t="shared" si="211"/>
        <v>-8.186488294786385E-3</v>
      </c>
      <c r="AR170" s="141">
        <f t="shared" si="211"/>
        <v>-8.1456376363714562E-3</v>
      </c>
      <c r="AS170" s="141">
        <f t="shared" si="211"/>
        <v>-8.1049908231503008E-3</v>
      </c>
      <c r="AT170" s="141">
        <f t="shared" si="211"/>
        <v>-8.06454683793335E-3</v>
      </c>
      <c r="AU170" s="141">
        <f t="shared" si="211"/>
        <v>-8.024304668606921E-3</v>
      </c>
      <c r="AV170" s="141">
        <f t="shared" si="211"/>
        <v>-7.9842633081076506E-3</v>
      </c>
      <c r="AW170" s="141">
        <f t="shared" si="211"/>
        <v>-7.9444217543974613E-3</v>
      </c>
      <c r="AX170" s="141">
        <f t="shared" si="211"/>
        <v>-7.9047790104385084E-3</v>
      </c>
      <c r="AY170" s="141">
        <f t="shared" si="211"/>
        <v>-7.8653340841681532E-3</v>
      </c>
      <c r="AZ170" s="141">
        <f t="shared" si="211"/>
        <v>-7.8260859884741411E-3</v>
      </c>
      <c r="BA170" s="141">
        <f t="shared" si="211"/>
        <v>-7.7870337411699063E-3</v>
      </c>
      <c r="BB170" s="141">
        <f t="shared" si="211"/>
        <v>-7.7481763649700662E-3</v>
      </c>
      <c r="BC170" s="141">
        <f t="shared" si="211"/>
        <v>-7.7095128874658195E-3</v>
      </c>
      <c r="BD170" s="141">
        <f t="shared" si="211"/>
        <v>-7.6710423411007799E-3</v>
      </c>
      <c r="BE170" s="141">
        <f t="shared" si="211"/>
        <v>-7.6327637631465901E-3</v>
      </c>
      <c r="BF170" s="141">
        <f t="shared" si="211"/>
        <v>-7.5946761956790353E-3</v>
      </c>
      <c r="BG170" s="141">
        <f t="shared" si="211"/>
        <v>-7.5567786855537987E-3</v>
      </c>
      <c r="BH170" s="141">
        <f t="shared" si="211"/>
        <v>-7.5190702843828481E-3</v>
      </c>
      <c r="BI170" s="141">
        <f t="shared" si="211"/>
        <v>-7.4815500485107007E-3</v>
      </c>
      <c r="BJ170" s="141" t="e">
        <f t="shared" si="211"/>
        <v>#NUM!</v>
      </c>
      <c r="BK170" s="141" t="e">
        <f t="shared" si="211"/>
        <v>#DIV/0!</v>
      </c>
      <c r="BL170" s="141" t="e">
        <f t="shared" si="211"/>
        <v>#DIV/0!</v>
      </c>
      <c r="BM170" s="141" t="e">
        <f t="shared" si="211"/>
        <v>#DIV/0!</v>
      </c>
      <c r="BN170" s="141" t="e">
        <f t="shared" si="211"/>
        <v>#DIV/0!</v>
      </c>
      <c r="BO170" s="141" t="e">
        <f t="shared" si="211"/>
        <v>#DIV/0!</v>
      </c>
      <c r="BP170" s="141" t="e">
        <f t="shared" si="211"/>
        <v>#DIV/0!</v>
      </c>
      <c r="BQ170" s="141" t="e">
        <f t="shared" si="211"/>
        <v>#DIV/0!</v>
      </c>
      <c r="BR170" s="141" t="e">
        <f t="shared" si="211"/>
        <v>#DIV/0!</v>
      </c>
      <c r="BS170" s="141" t="e">
        <f t="shared" ref="BS170:CV170" si="212">+LN(BS162/BR162)/5</f>
        <v>#DIV/0!</v>
      </c>
      <c r="BT170" s="141" t="e">
        <f t="shared" si="212"/>
        <v>#DIV/0!</v>
      </c>
      <c r="BU170" s="141" t="e">
        <f t="shared" si="212"/>
        <v>#DIV/0!</v>
      </c>
      <c r="BV170" s="141" t="e">
        <f t="shared" si="212"/>
        <v>#DIV/0!</v>
      </c>
      <c r="BW170" s="141" t="e">
        <f t="shared" si="212"/>
        <v>#DIV/0!</v>
      </c>
      <c r="BX170" s="141" t="e">
        <f t="shared" si="212"/>
        <v>#DIV/0!</v>
      </c>
      <c r="BY170" s="141" t="e">
        <f t="shared" si="212"/>
        <v>#DIV/0!</v>
      </c>
      <c r="BZ170" s="141" t="e">
        <f t="shared" si="212"/>
        <v>#DIV/0!</v>
      </c>
      <c r="CA170" s="141" t="e">
        <f t="shared" si="212"/>
        <v>#DIV/0!</v>
      </c>
      <c r="CB170" s="141" t="e">
        <f t="shared" si="212"/>
        <v>#DIV/0!</v>
      </c>
      <c r="CC170" s="141" t="e">
        <f t="shared" si="212"/>
        <v>#DIV/0!</v>
      </c>
      <c r="CD170" s="141" t="e">
        <f t="shared" si="212"/>
        <v>#DIV/0!</v>
      </c>
      <c r="CE170" s="141" t="e">
        <f t="shared" si="212"/>
        <v>#DIV/0!</v>
      </c>
      <c r="CF170" s="141" t="e">
        <f t="shared" si="212"/>
        <v>#DIV/0!</v>
      </c>
      <c r="CG170" s="141" t="e">
        <f t="shared" si="212"/>
        <v>#DIV/0!</v>
      </c>
      <c r="CH170" s="141" t="e">
        <f t="shared" si="212"/>
        <v>#DIV/0!</v>
      </c>
      <c r="CI170" s="141" t="e">
        <f t="shared" si="212"/>
        <v>#DIV/0!</v>
      </c>
      <c r="CJ170" s="141" t="e">
        <f t="shared" si="212"/>
        <v>#DIV/0!</v>
      </c>
      <c r="CK170" s="141" t="e">
        <f t="shared" si="212"/>
        <v>#DIV/0!</v>
      </c>
      <c r="CL170" s="141" t="e">
        <f t="shared" si="212"/>
        <v>#DIV/0!</v>
      </c>
      <c r="CM170" s="141" t="e">
        <f t="shared" si="212"/>
        <v>#DIV/0!</v>
      </c>
      <c r="CN170" s="141" t="e">
        <f t="shared" si="212"/>
        <v>#DIV/0!</v>
      </c>
      <c r="CO170" s="141" t="e">
        <f t="shared" si="212"/>
        <v>#DIV/0!</v>
      </c>
      <c r="CP170" s="141" t="e">
        <f t="shared" si="212"/>
        <v>#DIV/0!</v>
      </c>
      <c r="CQ170" s="141" t="e">
        <f t="shared" si="212"/>
        <v>#DIV/0!</v>
      </c>
      <c r="CR170" s="141" t="e">
        <f t="shared" si="212"/>
        <v>#DIV/0!</v>
      </c>
      <c r="CS170" s="141" t="e">
        <f t="shared" si="212"/>
        <v>#DIV/0!</v>
      </c>
      <c r="CT170" s="141" t="e">
        <f t="shared" si="212"/>
        <v>#DIV/0!</v>
      </c>
      <c r="CU170" s="141" t="e">
        <f t="shared" si="212"/>
        <v>#DIV/0!</v>
      </c>
      <c r="CV170" s="141" t="e">
        <f t="shared" si="212"/>
        <v>#DIV/0!</v>
      </c>
    </row>
    <row r="172" spans="1:124" ht="14.25" customHeight="1" x14ac:dyDescent="0.35">
      <c r="A172" s="19" t="s">
        <v>210</v>
      </c>
      <c r="B172" s="24">
        <v>0.48898252427184469</v>
      </c>
      <c r="C172" s="18">
        <v>0.45256567880838477</v>
      </c>
      <c r="D172" s="18">
        <v>0.41993791008232162</v>
      </c>
      <c r="E172" s="18">
        <v>0.39061515095476923</v>
      </c>
      <c r="F172" s="18">
        <v>0.36418465627643143</v>
      </c>
      <c r="G172" s="18">
        <v>0.34029324848699849</v>
      </c>
      <c r="H172" s="18">
        <v>0.3186376883898871</v>
      </c>
      <c r="I172" s="18">
        <v>0.29895675545382067</v>
      </c>
      <c r="J172" s="18">
        <v>0.2810247090178668</v>
      </c>
      <c r="K172" s="18">
        <v>0.26464586945371582</v>
      </c>
      <c r="L172" s="18">
        <v>0.24965011120652594</v>
      </c>
      <c r="M172" s="18">
        <v>0.235889101114684</v>
      </c>
      <c r="N172" s="18">
        <v>0.2232331480906074</v>
      </c>
      <c r="O172" s="18">
        <v>0.21156855610110192</v>
      </c>
      <c r="P172" s="18">
        <v>0.20079539292408485</v>
      </c>
      <c r="Q172" s="18">
        <v>0.19082560353593864</v>
      </c>
      <c r="R172" s="18">
        <v>0.18158141009268208</v>
      </c>
      <c r="S172" s="18">
        <v>0.17299395099941328</v>
      </c>
      <c r="T172" s="18">
        <v>0.16500212005318635</v>
      </c>
      <c r="U172" s="18">
        <v>0.15755157351381516</v>
      </c>
      <c r="V172" s="18">
        <v>0.15059387853347139</v>
      </c>
      <c r="W172" s="18">
        <v>0.14408578091762977</v>
      </c>
      <c r="X172" s="18">
        <v>0.13798857390075092</v>
      </c>
      <c r="Y172" s="18">
        <v>0.13226755266154058</v>
      </c>
      <c r="Z172" s="18">
        <v>0.12689154180301096</v>
      </c>
      <c r="AA172" s="18">
        <v>0.12183248508423408</v>
      </c>
      <c r="AB172" s="18">
        <v>0.1170650883955052</v>
      </c>
      <c r="AC172" s="18">
        <v>0.11256650838235233</v>
      </c>
      <c r="AD172" s="18">
        <v>0.10831608029935894</v>
      </c>
      <c r="AE172" s="18">
        <v>0.10429507965485472</v>
      </c>
      <c r="AF172" s="18">
        <v>0.10048651302680037</v>
      </c>
      <c r="AG172" s="18">
        <v>9.6874934116773739E-2</v>
      </c>
      <c r="AH172" s="18">
        <v>9.3446281685778204E-2</v>
      </c>
      <c r="AI172" s="18">
        <v>9.018773650136068E-2</v>
      </c>
      <c r="AJ172" s="18">
        <v>8.7087594835586479E-2</v>
      </c>
      <c r="AK172" s="18">
        <v>8.4135156400369601E-2</v>
      </c>
      <c r="AL172" s="18">
        <v>8.13206249008738E-2</v>
      </c>
      <c r="AM172" s="18">
        <v>7.863501963774859E-2</v>
      </c>
      <c r="AN172" s="18">
        <v>7.6070096801932122E-2</v>
      </c>
      <c r="AO172" s="18">
        <v>7.3618279287521252E-2</v>
      </c>
      <c r="AP172" s="18">
        <v>7.1272594003667963E-2</v>
      </c>
      <c r="AQ172" s="18">
        <v>6.9026615799686317E-2</v>
      </c>
      <c r="AR172" s="18">
        <v>6.6874417231950006E-2</v>
      </c>
      <c r="AS172" s="18">
        <v>6.4810523499578276E-2</v>
      </c>
      <c r="AT172" s="18">
        <v>6.2829871960738332E-2</v>
      </c>
      <c r="AU172" s="18">
        <v>6.0927775714646901E-2</v>
      </c>
      <c r="AV172" s="18">
        <v>5.9099890797726019E-2</v>
      </c>
      <c r="AW172" s="18">
        <v>5.7342186597288847E-2</v>
      </c>
      <c r="AX172" s="18">
        <v>5.5650919133810012E-2</v>
      </c>
      <c r="AY172" s="18">
        <v>5.4022606904297346E-2</v>
      </c>
      <c r="AZ172" s="18">
        <v>5.2454009015398387E-2</v>
      </c>
      <c r="BA172" s="18">
        <v>5.094210536638627E-2</v>
      </c>
      <c r="BB172" s="18">
        <v>4.9484078669707471E-2</v>
      </c>
      <c r="BC172" s="18">
        <v>4.807729812087666E-2</v>
      </c>
      <c r="BD172" s="18">
        <v>4.6719304550633174E-2</v>
      </c>
      <c r="BE172" s="18">
        <v>4.5407796910824118E-2</v>
      </c>
      <c r="BF172" s="18">
        <v>4.414061996178982E-2</v>
      </c>
      <c r="BG172" s="18">
        <v>4.2915753043389758E-2</v>
      </c>
      <c r="BH172" s="18">
        <v>4.173129982447199E-2</v>
      </c>
      <c r="BI172" s="18">
        <v>4.0585478936773015E-2</v>
      </c>
      <c r="BJ172" s="18">
        <v>3.9476615409124581E-2</v>
      </c>
      <c r="BK172" s="18">
        <v>3.8403132826601002E-2</v>
      </c>
      <c r="BL172" s="18">
        <v>3.7363546147005329E-2</v>
      </c>
      <c r="BM172" s="18">
        <v>3.6356455113986053E-2</v>
      </c>
      <c r="BN172" s="18">
        <v>3.5380538212204569E-2</v>
      </c>
      <c r="BO172" s="18">
        <v>3.4434547115428142E-2</v>
      </c>
      <c r="BP172" s="18">
        <v>3.4434547115428142E-2</v>
      </c>
      <c r="BQ172" s="18">
        <v>3.4434547115428142E-2</v>
      </c>
      <c r="BR172" s="18">
        <v>3.4434547115428142E-2</v>
      </c>
      <c r="BS172" s="18">
        <v>3.4434547115428142E-2</v>
      </c>
      <c r="BT172" s="18">
        <v>3.4434547115428142E-2</v>
      </c>
      <c r="BU172" s="18">
        <v>3.4434547115428142E-2</v>
      </c>
      <c r="BV172" s="18">
        <v>3.4434547115428142E-2</v>
      </c>
      <c r="BW172" s="18">
        <v>3.4434547115428142E-2</v>
      </c>
      <c r="BX172" s="18">
        <v>3.4434547115428142E-2</v>
      </c>
      <c r="BY172" s="18">
        <v>3.4434547115428142E-2</v>
      </c>
      <c r="BZ172" s="18">
        <v>3.4434547115428142E-2</v>
      </c>
      <c r="CA172" s="18">
        <v>3.4434547115428142E-2</v>
      </c>
      <c r="CB172" s="18">
        <v>3.4434547115428142E-2</v>
      </c>
      <c r="CC172" s="18">
        <v>3.4434547115428142E-2</v>
      </c>
      <c r="CD172" s="18">
        <v>3.4434547115428142E-2</v>
      </c>
      <c r="CE172" s="18">
        <v>3.4434547115428142E-2</v>
      </c>
      <c r="CF172" s="18">
        <v>3.4434547115428142E-2</v>
      </c>
      <c r="CG172" s="18">
        <v>3.4434547115428142E-2</v>
      </c>
      <c r="CH172" s="18">
        <v>3.4434547115428142E-2</v>
      </c>
      <c r="CI172" s="18">
        <v>3.4434547115428142E-2</v>
      </c>
      <c r="CJ172" s="18">
        <v>3.4434547115428142E-2</v>
      </c>
      <c r="CK172" s="18">
        <v>3.4434547115428142E-2</v>
      </c>
      <c r="CL172" s="18">
        <v>3.4434547115428142E-2</v>
      </c>
      <c r="CM172" s="18">
        <v>3.4434547115428142E-2</v>
      </c>
      <c r="CN172" s="18">
        <v>3.4434547115428142E-2</v>
      </c>
      <c r="CO172" s="18">
        <v>3.4434547115428142E-2</v>
      </c>
      <c r="CP172" s="18">
        <v>3.4434547115428142E-2</v>
      </c>
      <c r="CQ172" s="18">
        <v>3.4434547115428142E-2</v>
      </c>
      <c r="CR172" s="18">
        <v>3.4434547115428142E-2</v>
      </c>
      <c r="CS172" s="18">
        <v>3.4434547115428142E-2</v>
      </c>
      <c r="CT172" s="18">
        <v>3.4434547115428142E-2</v>
      </c>
      <c r="CU172" s="18">
        <v>3.4434547115428142E-2</v>
      </c>
      <c r="CV172" s="18">
        <v>3.4434547115428142E-2</v>
      </c>
      <c r="CW172" s="18">
        <v>3.4434547115428142E-2</v>
      </c>
      <c r="CX172" s="18">
        <v>3.4434547115428142E-2</v>
      </c>
      <c r="CY172" s="18">
        <v>3.4434547115428142E-2</v>
      </c>
      <c r="CZ172" s="18">
        <v>3.4434547115428142E-2</v>
      </c>
      <c r="DA172" s="18">
        <v>3.4434547115428142E-2</v>
      </c>
      <c r="DB172" s="18">
        <v>3.4434547115428142E-2</v>
      </c>
      <c r="DC172" s="18">
        <v>3.4434547115428142E-2</v>
      </c>
      <c r="DD172" s="18">
        <v>3.4434547115428142E-2</v>
      </c>
      <c r="DE172" s="18">
        <v>3.4434547115428142E-2</v>
      </c>
      <c r="DF172" s="18">
        <v>3.4434547115428142E-2</v>
      </c>
      <c r="DG172" s="18">
        <v>3.4434547115428142E-2</v>
      </c>
      <c r="DH172" s="18">
        <v>3.4434547115428142E-2</v>
      </c>
      <c r="DI172" s="18">
        <v>3.4434547115428142E-2</v>
      </c>
      <c r="DJ172" s="18">
        <v>3.4434547115428142E-2</v>
      </c>
      <c r="DK172" s="18">
        <v>3.4434547115428142E-2</v>
      </c>
      <c r="DL172" s="18">
        <v>3.4434547115428142E-2</v>
      </c>
      <c r="DM172" s="18">
        <v>3.4434547115428142E-2</v>
      </c>
      <c r="DN172" s="18">
        <v>3.4434547115428142E-2</v>
      </c>
      <c r="DO172" s="18">
        <v>3.4434547115428142E-2</v>
      </c>
      <c r="DP172" s="18">
        <v>3.4434547115428142E-2</v>
      </c>
      <c r="DQ172" s="18">
        <v>3.4434547115428142E-2</v>
      </c>
      <c r="DR172" s="18">
        <v>3.4434547115428142E-2</v>
      </c>
      <c r="DS172" s="18">
        <v>3.4434547115428142E-2</v>
      </c>
      <c r="DT172" s="18">
        <v>3.4434547115428142E-2</v>
      </c>
    </row>
    <row r="174" spans="1:124" ht="14.25" customHeight="1" x14ac:dyDescent="0.35">
      <c r="B174" s="128">
        <f>+B155/B172</f>
        <v>1</v>
      </c>
      <c r="C174" s="129">
        <f t="shared" ref="C174:BN174" si="213">+C155/C172</f>
        <v>1.0277725133260716</v>
      </c>
      <c r="D174" s="129">
        <f t="shared" si="213"/>
        <v>1.0538702967542071</v>
      </c>
      <c r="E174" s="129">
        <f t="shared" si="213"/>
        <v>1.0782627713833006</v>
      </c>
      <c r="F174" s="129">
        <f t="shared" si="213"/>
        <v>1.1009327156674156</v>
      </c>
      <c r="G174" s="129">
        <f t="shared" si="213"/>
        <v>1.1218752276973532</v>
      </c>
      <c r="H174" s="129">
        <f t="shared" si="213"/>
        <v>1.1410966426135631</v>
      </c>
      <c r="I174" s="129">
        <f t="shared" si="213"/>
        <v>1.158613429486578</v>
      </c>
      <c r="J174" s="129">
        <f t="shared" si="213"/>
        <v>1.1744510886171884</v>
      </c>
      <c r="K174" s="129">
        <f t="shared" si="213"/>
        <v>1.1886430669046615</v>
      </c>
      <c r="L174" s="129">
        <f t="shared" si="213"/>
        <v>1.201229705786921</v>
      </c>
      <c r="M174" s="129">
        <f t="shared" si="213"/>
        <v>1.2122572333289661</v>
      </c>
      <c r="N174" s="129">
        <f t="shared" si="213"/>
        <v>1.2217768093629053</v>
      </c>
      <c r="O174" s="129">
        <f t="shared" si="213"/>
        <v>1.2298436301865934</v>
      </c>
      <c r="P174" s="129">
        <f t="shared" si="213"/>
        <v>1.236516097216583</v>
      </c>
      <c r="Q174" s="129">
        <f t="shared" si="213"/>
        <v>1.2418550521630858</v>
      </c>
      <c r="R174" s="129">
        <f t="shared" si="213"/>
        <v>1.2459230797400014</v>
      </c>
      <c r="S174" s="129">
        <f t="shared" si="213"/>
        <v>1.248783877626239</v>
      </c>
      <c r="T174" s="129">
        <f t="shared" si="213"/>
        <v>1.2505016923358889</v>
      </c>
      <c r="U174" s="129">
        <f t="shared" si="213"/>
        <v>1.251140818812378</v>
      </c>
      <c r="V174" s="129">
        <f t="shared" si="213"/>
        <v>1.2507651609123602</v>
      </c>
      <c r="W174" s="129">
        <f t="shared" si="213"/>
        <v>1.2494378494654832</v>
      </c>
      <c r="X174" s="129">
        <f t="shared" si="213"/>
        <v>1.2472209142635462</v>
      </c>
      <c r="Y174" s="129">
        <f t="shared" si="213"/>
        <v>1.2441750061252799</v>
      </c>
      <c r="Z174" s="129">
        <f t="shared" si="213"/>
        <v>1.2403591650808667</v>
      </c>
      <c r="AA174" s="129">
        <f t="shared" si="213"/>
        <v>1.2358306307049336</v>
      </c>
      <c r="AB174" s="129">
        <f t="shared" si="213"/>
        <v>1.2306446906814446</v>
      </c>
      <c r="AC174" s="129">
        <f t="shared" si="213"/>
        <v>1.2248545637939638</v>
      </c>
      <c r="AD174" s="129">
        <f t="shared" si="213"/>
        <v>1.2185113136872361</v>
      </c>
      <c r="AE174" s="129">
        <f t="shared" si="213"/>
        <v>1.2116637899297835</v>
      </c>
      <c r="AF174" s="129">
        <f t="shared" si="213"/>
        <v>1.2043585931127481</v>
      </c>
      <c r="AG174" s="129">
        <f t="shared" si="213"/>
        <v>1.1966400609395309</v>
      </c>
      <c r="AH174" s="129">
        <f t="shared" si="213"/>
        <v>1.1885502724872834</v>
      </c>
      <c r="AI174" s="129">
        <f t="shared" si="213"/>
        <v>1.1801290680496026</v>
      </c>
      <c r="AJ174" s="129">
        <f t="shared" si="213"/>
        <v>1.1714140821955745</v>
      </c>
      <c r="AK174" s="129">
        <f t="shared" si="213"/>
        <v>1.1624407879002241</v>
      </c>
      <c r="AL174" s="129">
        <f t="shared" si="213"/>
        <v>1.1532425498129237</v>
      </c>
      <c r="AM174" s="129">
        <f t="shared" si="213"/>
        <v>1.1438506849315064</v>
      </c>
      <c r="AN174" s="129">
        <f t="shared" si="213"/>
        <v>1.1342945291394391</v>
      </c>
      <c r="AO174" s="129">
        <f t="shared" si="213"/>
        <v>1.1246015082406378</v>
      </c>
      <c r="AP174" s="129">
        <f t="shared" si="213"/>
        <v>1.1147972122909029</v>
      </c>
      <c r="AQ174" s="129">
        <f t="shared" si="213"/>
        <v>1.1049054721764473</v>
      </c>
      <c r="AR174" s="129">
        <f t="shared" si="213"/>
        <v>1.0949484375286995</v>
      </c>
      <c r="AS174" s="129">
        <f t="shared" si="213"/>
        <v>1.0849466551908491</v>
      </c>
      <c r="AT174" s="129">
        <f t="shared" si="213"/>
        <v>1.0749191475659148</v>
      </c>
      <c r="AU174" s="129">
        <f t="shared" si="213"/>
        <v>1.0648834902790794</v>
      </c>
      <c r="AV174" s="129">
        <f t="shared" si="213"/>
        <v>1.0548558886792618</v>
      </c>
      <c r="AW174" s="129">
        <f t="shared" si="213"/>
        <v>1.044851252787115</v>
      </c>
      <c r="AX174" s="129">
        <f t="shared" si="213"/>
        <v>1.0348832703695658</v>
      </c>
      <c r="AY174" s="129">
        <f t="shared" si="213"/>
        <v>1.0249644778853508</v>
      </c>
      <c r="AZ174" s="129">
        <f t="shared" si="213"/>
        <v>1.0151063291024833</v>
      </c>
      <c r="BA174" s="129">
        <f t="shared" si="213"/>
        <v>1.0053192612379103</v>
      </c>
      <c r="BB174" s="129">
        <f t="shared" si="213"/>
        <v>0.99561275851241915</v>
      </c>
      <c r="BC174" s="129">
        <f t="shared" si="213"/>
        <v>0.98599541305079352</v>
      </c>
      <c r="BD174" s="129">
        <f t="shared" si="213"/>
        <v>0.97647498308887715</v>
      </c>
      <c r="BE174" s="129">
        <f t="shared" si="213"/>
        <v>0.96705844847613842</v>
      </c>
      <c r="BF174" s="129">
        <f t="shared" si="213"/>
        <v>0.95775206348505026</v>
      </c>
      <c r="BG174" s="129">
        <f t="shared" si="213"/>
        <v>0.94856140695759228</v>
      </c>
      <c r="BH174" s="129">
        <f t="shared" si="213"/>
        <v>0.93949142983487033</v>
      </c>
      <c r="BI174" s="129">
        <f t="shared" si="213"/>
        <v>0.93054650012863493</v>
      </c>
      <c r="BJ174" s="129">
        <f t="shared" si="213"/>
        <v>0.92173044540372495</v>
      </c>
      <c r="BK174" s="129">
        <f t="shared" si="213"/>
        <v>0.91304659284848921</v>
      </c>
      <c r="BL174" s="129">
        <f t="shared" si="213"/>
        <v>0.90449780701634086</v>
      </c>
      <c r="BM174" s="129">
        <f t="shared" si="213"/>
        <v>0.8960865253260456</v>
      </c>
      <c r="BN174" s="129">
        <f t="shared" si="213"/>
        <v>0.88781479141136155</v>
      </c>
    </row>
    <row r="175" spans="1:124" ht="14.25" customHeight="1" x14ac:dyDescent="0.35">
      <c r="B175" s="128">
        <f>+B174-1</f>
        <v>0</v>
      </c>
      <c r="C175" s="129">
        <f t="shared" ref="C175:AI175" si="214">+C174-1</f>
        <v>2.7772513326071557E-2</v>
      </c>
      <c r="D175" s="129">
        <f t="shared" si="214"/>
        <v>5.387029675420707E-2</v>
      </c>
      <c r="E175" s="129">
        <f t="shared" si="214"/>
        <v>7.8262771383300622E-2</v>
      </c>
      <c r="F175" s="129">
        <f t="shared" si="214"/>
        <v>0.10093271566741557</v>
      </c>
      <c r="G175" s="129">
        <f t="shared" si="214"/>
        <v>0.12187522769735315</v>
      </c>
      <c r="H175" s="129">
        <f t="shared" si="214"/>
        <v>0.14109664261356314</v>
      </c>
      <c r="I175" s="129">
        <f t="shared" si="214"/>
        <v>0.15861342948657797</v>
      </c>
      <c r="J175" s="129">
        <f t="shared" si="214"/>
        <v>0.17445108861718839</v>
      </c>
      <c r="K175" s="129">
        <f t="shared" si="214"/>
        <v>0.18864306690466148</v>
      </c>
      <c r="L175" s="129">
        <f t="shared" si="214"/>
        <v>0.20122970578692101</v>
      </c>
      <c r="M175" s="129">
        <f t="shared" si="214"/>
        <v>0.21225723332896607</v>
      </c>
      <c r="N175" s="129">
        <f t="shared" si="214"/>
        <v>0.22177680936290534</v>
      </c>
      <c r="O175" s="129">
        <f t="shared" si="214"/>
        <v>0.22984363018659337</v>
      </c>
      <c r="P175" s="129">
        <f t="shared" si="214"/>
        <v>0.23651609721658295</v>
      </c>
      <c r="Q175" s="129">
        <f t="shared" si="214"/>
        <v>0.24185505216308578</v>
      </c>
      <c r="R175" s="129">
        <f t="shared" si="214"/>
        <v>0.24592307974000138</v>
      </c>
      <c r="S175" s="129">
        <f t="shared" si="214"/>
        <v>0.24878387762623899</v>
      </c>
      <c r="T175" s="129">
        <f t="shared" si="214"/>
        <v>0.25050169233588893</v>
      </c>
      <c r="U175" s="129">
        <f t="shared" si="214"/>
        <v>0.25114081881237804</v>
      </c>
      <c r="V175" s="129">
        <f t="shared" si="214"/>
        <v>0.25076516091236023</v>
      </c>
      <c r="W175" s="129">
        <f t="shared" si="214"/>
        <v>0.2494378494654832</v>
      </c>
      <c r="X175" s="129">
        <f t="shared" si="214"/>
        <v>0.2472209142635462</v>
      </c>
      <c r="Y175" s="129">
        <f t="shared" si="214"/>
        <v>0.24417500612527987</v>
      </c>
      <c r="Z175" s="129">
        <f t="shared" si="214"/>
        <v>0.24035916508086674</v>
      </c>
      <c r="AA175" s="129">
        <f t="shared" si="214"/>
        <v>0.2358306307049336</v>
      </c>
      <c r="AB175" s="129">
        <f t="shared" si="214"/>
        <v>0.23064469068144455</v>
      </c>
      <c r="AC175" s="129">
        <f t="shared" si="214"/>
        <v>0.22485456379396385</v>
      </c>
      <c r="AD175" s="129">
        <f t="shared" si="214"/>
        <v>0.21851131368723609</v>
      </c>
      <c r="AE175" s="129">
        <f t="shared" si="214"/>
        <v>0.21166378992978352</v>
      </c>
      <c r="AF175" s="129">
        <f t="shared" si="214"/>
        <v>0.20435859311274807</v>
      </c>
      <c r="AG175" s="129">
        <f t="shared" si="214"/>
        <v>0.1966400609395309</v>
      </c>
      <c r="AH175" s="129">
        <f t="shared" si="214"/>
        <v>0.1885502724872834</v>
      </c>
      <c r="AI175" s="129">
        <f t="shared" si="214"/>
        <v>0.1801290680496026</v>
      </c>
    </row>
    <row r="176" spans="1:124" ht="14.25" customHeight="1" x14ac:dyDescent="0.35">
      <c r="A176" s="134">
        <f>SUM(B176:S176)</f>
        <v>0.57029012306796845</v>
      </c>
      <c r="B176" s="128">
        <f>+B175^2</f>
        <v>0</v>
      </c>
      <c r="C176" s="129">
        <f t="shared" ref="C176:AI176" si="215">+C175^2</f>
        <v>7.7131249644682225E-4</v>
      </c>
      <c r="D176" s="129">
        <f t="shared" si="215"/>
        <v>2.9020088723863326E-3</v>
      </c>
      <c r="E176" s="129">
        <f t="shared" si="215"/>
        <v>6.125061384594779E-3</v>
      </c>
      <c r="F176" s="129">
        <f t="shared" si="215"/>
        <v>1.0187413091999357E-2</v>
      </c>
      <c r="G176" s="129">
        <f t="shared" si="215"/>
        <v>1.4853571126281677E-2</v>
      </c>
      <c r="H176" s="129">
        <f t="shared" si="215"/>
        <v>1.9908262556819562E-2</v>
      </c>
      <c r="I176" s="129">
        <f t="shared" si="215"/>
        <v>2.5158220013493642E-2</v>
      </c>
      <c r="J176" s="129">
        <f t="shared" si="215"/>
        <v>3.0433182319722116E-2</v>
      </c>
      <c r="K176" s="129">
        <f t="shared" si="215"/>
        <v>3.5586206691196588E-2</v>
      </c>
      <c r="L176" s="129">
        <f t="shared" si="215"/>
        <v>4.0493394491090788E-2</v>
      </c>
      <c r="M176" s="129">
        <f t="shared" si="215"/>
        <v>4.5053133100467144E-2</v>
      </c>
      <c r="N176" s="129">
        <f t="shared" si="215"/>
        <v>4.9184953171190454E-2</v>
      </c>
      <c r="O176" s="129">
        <f t="shared" si="215"/>
        <v>5.2828094337351493E-2</v>
      </c>
      <c r="P176" s="129">
        <f t="shared" si="215"/>
        <v>5.593986424256412E-2</v>
      </c>
      <c r="Q176" s="129">
        <f t="shared" si="215"/>
        <v>5.8493866256808948E-2</v>
      </c>
      <c r="R176" s="129">
        <f t="shared" si="215"/>
        <v>6.047816114880708E-2</v>
      </c>
      <c r="S176" s="129">
        <f t="shared" si="215"/>
        <v>6.1893417766747456E-2</v>
      </c>
      <c r="T176" s="129">
        <f t="shared" si="215"/>
        <v>6.2751097863144353E-2</v>
      </c>
      <c r="U176" s="129">
        <f t="shared" si="215"/>
        <v>6.3071710873751699E-2</v>
      </c>
      <c r="V176" s="129">
        <f t="shared" si="215"/>
        <v>6.2883165927401924E-2</v>
      </c>
      <c r="W176" s="129">
        <f t="shared" si="215"/>
        <v>6.2219240745965056E-2</v>
      </c>
      <c r="X176" s="129">
        <f t="shared" si="215"/>
        <v>6.1118180449303658E-2</v>
      </c>
      <c r="Y176" s="129">
        <f t="shared" si="215"/>
        <v>5.9621433616280459E-2</v>
      </c>
      <c r="Z176" s="129">
        <f t="shared" si="215"/>
        <v>5.7772528238371354E-2</v>
      </c>
      <c r="AA176" s="129">
        <f t="shared" si="215"/>
        <v>5.5616086378686772E-2</v>
      </c>
      <c r="AB176" s="129">
        <f t="shared" si="215"/>
        <v>5.3196973339539239E-2</v>
      </c>
      <c r="AC176" s="129">
        <f t="shared" si="215"/>
        <v>5.0559574858973756E-2</v>
      </c>
      <c r="AD176" s="129">
        <f t="shared" si="215"/>
        <v>4.7747194209321692E-2</v>
      </c>
      <c r="AE176" s="129">
        <f t="shared" si="215"/>
        <v>4.4801559967439529E-2</v>
      </c>
      <c r="AF176" s="129">
        <f t="shared" si="215"/>
        <v>4.1762434579021721E-2</v>
      </c>
      <c r="AG176" s="129">
        <f t="shared" si="215"/>
        <v>3.866731356630243E-2</v>
      </c>
      <c r="AH176" s="129">
        <f t="shared" si="215"/>
        <v>3.555120525502882E-2</v>
      </c>
      <c r="AI176" s="129">
        <f t="shared" si="215"/>
        <v>3.2446481156418364E-2</v>
      </c>
    </row>
  </sheetData>
  <phoneticPr fontId="6"/>
  <pageMargins left="0.7" right="0.7" top="0.75" bottom="0.75" header="0.3" footer="0.3"/>
  <pageSetup orientation="portrait" horizontalDpi="4294967292" verticalDpi="4294967292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57:B157"/>
  <sheetViews>
    <sheetView topLeftCell="D89" zoomScale="85" zoomScaleNormal="85" workbookViewId="0">
      <selection activeCell="U80" sqref="U80"/>
    </sheetView>
  </sheetViews>
  <sheetFormatPr defaultRowHeight="12.5" x14ac:dyDescent="0.25"/>
  <sheetData>
    <row r="157" spans="1:2" x14ac:dyDescent="0.25">
      <c r="A157" s="1"/>
      <c r="B157" s="1"/>
    </row>
  </sheetData>
  <sortState ref="A158:XFD161">
    <sortCondition ref="B158:B161"/>
  </sortState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W487"/>
  <sheetViews>
    <sheetView tabSelected="1" zoomScale="85" zoomScaleNormal="85" workbookViewId="0">
      <pane xSplit="1" ySplit="2" topLeftCell="B152" activePane="bottomRight" state="frozen"/>
      <selection pane="topRight" activeCell="B1" sqref="B1"/>
      <selection pane="bottomLeft" activeCell="A3" sqref="A3"/>
      <selection pane="bottomRight" activeCell="B160" sqref="B160"/>
    </sheetView>
  </sheetViews>
  <sheetFormatPr defaultColWidth="12.36328125" defaultRowHeight="21" customHeight="1" x14ac:dyDescent="0.35"/>
  <cols>
    <col min="1" max="1" width="58.90625" style="13" customWidth="1"/>
    <col min="2" max="2" width="17" style="8" bestFit="1" customWidth="1"/>
    <col min="3" max="15" width="16.08984375" style="2" bestFit="1" customWidth="1"/>
    <col min="16" max="17" width="15.453125" style="2" bestFit="1" customWidth="1"/>
    <col min="18" max="61" width="16.54296875" style="2" bestFit="1" customWidth="1"/>
    <col min="62" max="124" width="13.36328125" style="2" bestFit="1" customWidth="1"/>
    <col min="125" max="16384" width="12.36328125" style="2"/>
  </cols>
  <sheetData>
    <row r="1" spans="1:61" ht="21" customHeight="1" x14ac:dyDescent="0.35">
      <c r="A1" s="13" t="s">
        <v>197</v>
      </c>
      <c r="B1" s="8">
        <v>1</v>
      </c>
      <c r="C1" s="2">
        <v>2</v>
      </c>
      <c r="D1" s="2">
        <v>3</v>
      </c>
      <c r="E1" s="2">
        <v>4</v>
      </c>
      <c r="F1" s="2">
        <v>5</v>
      </c>
      <c r="G1" s="2">
        <v>6</v>
      </c>
      <c r="H1" s="2">
        <v>7</v>
      </c>
      <c r="I1" s="2">
        <v>8</v>
      </c>
      <c r="J1" s="2">
        <v>9</v>
      </c>
      <c r="K1" s="2">
        <v>10</v>
      </c>
      <c r="L1" s="2">
        <v>11</v>
      </c>
      <c r="M1" s="2">
        <v>12</v>
      </c>
      <c r="N1" s="2">
        <v>13</v>
      </c>
      <c r="O1" s="2">
        <v>14</v>
      </c>
      <c r="P1" s="2">
        <v>15</v>
      </c>
      <c r="Q1" s="2">
        <v>16</v>
      </c>
      <c r="R1" s="2">
        <v>17</v>
      </c>
      <c r="S1" s="2">
        <v>18</v>
      </c>
      <c r="T1" s="2">
        <v>19</v>
      </c>
      <c r="U1" s="2">
        <v>20</v>
      </c>
      <c r="V1" s="2">
        <v>21</v>
      </c>
      <c r="W1" s="2">
        <v>22</v>
      </c>
      <c r="X1" s="2">
        <v>23</v>
      </c>
      <c r="Y1" s="2">
        <v>24</v>
      </c>
      <c r="Z1" s="2">
        <v>25</v>
      </c>
      <c r="AA1" s="2">
        <v>26</v>
      </c>
      <c r="AB1" s="2">
        <v>27</v>
      </c>
      <c r="AC1" s="2">
        <v>28</v>
      </c>
      <c r="AD1" s="2">
        <v>29</v>
      </c>
      <c r="AE1" s="2">
        <v>30</v>
      </c>
      <c r="AF1" s="2">
        <v>31</v>
      </c>
      <c r="AG1" s="2">
        <v>32</v>
      </c>
      <c r="AH1" s="2">
        <v>33</v>
      </c>
      <c r="AI1" s="2">
        <v>34</v>
      </c>
      <c r="AJ1" s="2">
        <v>35</v>
      </c>
      <c r="AK1" s="2">
        <v>36</v>
      </c>
      <c r="AL1" s="2">
        <v>37</v>
      </c>
      <c r="AM1" s="2">
        <v>38</v>
      </c>
      <c r="AN1" s="2">
        <v>39</v>
      </c>
      <c r="AO1" s="2">
        <f>+AN1+1</f>
        <v>40</v>
      </c>
      <c r="AP1" s="2">
        <f t="shared" ref="AP1:BH1" si="0">+AO1+1</f>
        <v>41</v>
      </c>
      <c r="AQ1" s="2">
        <f t="shared" si="0"/>
        <v>42</v>
      </c>
      <c r="AR1" s="2">
        <f t="shared" si="0"/>
        <v>43</v>
      </c>
      <c r="AS1" s="2">
        <f t="shared" si="0"/>
        <v>44</v>
      </c>
      <c r="AT1" s="2">
        <f t="shared" si="0"/>
        <v>45</v>
      </c>
      <c r="AU1" s="2">
        <f t="shared" si="0"/>
        <v>46</v>
      </c>
      <c r="AV1" s="2">
        <f t="shared" si="0"/>
        <v>47</v>
      </c>
      <c r="AW1" s="2">
        <f t="shared" si="0"/>
        <v>48</v>
      </c>
      <c r="AX1" s="2">
        <f t="shared" si="0"/>
        <v>49</v>
      </c>
      <c r="AY1" s="2">
        <f t="shared" si="0"/>
        <v>50</v>
      </c>
      <c r="AZ1" s="2">
        <f t="shared" si="0"/>
        <v>51</v>
      </c>
      <c r="BA1" s="2">
        <f t="shared" si="0"/>
        <v>52</v>
      </c>
      <c r="BB1" s="2">
        <f t="shared" si="0"/>
        <v>53</v>
      </c>
      <c r="BC1" s="2">
        <f t="shared" si="0"/>
        <v>54</v>
      </c>
      <c r="BD1" s="2">
        <f t="shared" si="0"/>
        <v>55</v>
      </c>
      <c r="BE1" s="2">
        <f t="shared" si="0"/>
        <v>56</v>
      </c>
      <c r="BF1" s="2">
        <f t="shared" si="0"/>
        <v>57</v>
      </c>
      <c r="BG1" s="2">
        <f t="shared" si="0"/>
        <v>58</v>
      </c>
      <c r="BH1" s="2">
        <f t="shared" si="0"/>
        <v>59</v>
      </c>
      <c r="BI1" s="2">
        <f t="shared" ref="BI1" si="1">+BH1+1</f>
        <v>60</v>
      </c>
    </row>
    <row r="2" spans="1:61" ht="21" customHeight="1" x14ac:dyDescent="0.35">
      <c r="A2" s="30"/>
      <c r="B2" s="8">
        <v>2010</v>
      </c>
      <c r="C2" s="2">
        <f>+B2+Parameters!$B$21</f>
        <v>2015</v>
      </c>
      <c r="D2" s="2">
        <f>+C2+Parameters!$B$21</f>
        <v>2020</v>
      </c>
      <c r="E2" s="2">
        <f>+D2+Parameters!$B$21</f>
        <v>2025</v>
      </c>
      <c r="F2" s="2">
        <f>+E2+Parameters!$B$21</f>
        <v>2030</v>
      </c>
      <c r="G2" s="2">
        <f>+F2+Parameters!$B$21</f>
        <v>2035</v>
      </c>
      <c r="H2" s="2">
        <f>+G2+Parameters!$B$21</f>
        <v>2040</v>
      </c>
      <c r="I2" s="2">
        <f>+H2+Parameters!$B$21</f>
        <v>2045</v>
      </c>
      <c r="J2" s="2">
        <f>+I2+Parameters!$B$21</f>
        <v>2050</v>
      </c>
      <c r="K2" s="2">
        <f>+J2+Parameters!$B$21</f>
        <v>2055</v>
      </c>
      <c r="L2" s="2">
        <f>+K2+Parameters!$B$21</f>
        <v>2060</v>
      </c>
      <c r="M2" s="2">
        <f>+L2+Parameters!$B$21</f>
        <v>2065</v>
      </c>
      <c r="N2" s="2">
        <f>+M2+Parameters!$B$21</f>
        <v>2070</v>
      </c>
      <c r="O2" s="2">
        <f>+N2+Parameters!$B$21</f>
        <v>2075</v>
      </c>
      <c r="P2" s="2">
        <f>+O2+Parameters!$B$21</f>
        <v>2080</v>
      </c>
      <c r="Q2" s="2">
        <f>+P2+Parameters!$B$21</f>
        <v>2085</v>
      </c>
      <c r="R2" s="2">
        <f>+Q2+Parameters!$B$21</f>
        <v>2090</v>
      </c>
      <c r="S2" s="2">
        <f>+R2+Parameters!$B$21</f>
        <v>2095</v>
      </c>
      <c r="T2" s="2">
        <f>+S2+Parameters!$B$21</f>
        <v>2100</v>
      </c>
      <c r="U2" s="2">
        <f>+T2+Parameters!$B$21</f>
        <v>2105</v>
      </c>
      <c r="V2" s="2">
        <f>+U2+Parameters!$B$21</f>
        <v>2110</v>
      </c>
      <c r="W2" s="2">
        <f>+V2+Parameters!$B$21</f>
        <v>2115</v>
      </c>
      <c r="X2" s="2">
        <f>+W2+Parameters!$B$21</f>
        <v>2120</v>
      </c>
      <c r="Y2" s="2">
        <f>+X2+Parameters!$B$21</f>
        <v>2125</v>
      </c>
      <c r="Z2" s="2">
        <f>+Y2+Parameters!$B$21</f>
        <v>2130</v>
      </c>
      <c r="AA2" s="2">
        <f>+Z2+Parameters!$B$21</f>
        <v>2135</v>
      </c>
      <c r="AB2" s="2">
        <f>+AA2+Parameters!$B$21</f>
        <v>2140</v>
      </c>
      <c r="AC2" s="2">
        <f>+AB2+Parameters!$B$21</f>
        <v>2145</v>
      </c>
      <c r="AD2" s="2">
        <f>+AC2+Parameters!$B$21</f>
        <v>2150</v>
      </c>
      <c r="AE2" s="2">
        <f>+AD2+Parameters!$B$21</f>
        <v>2155</v>
      </c>
      <c r="AF2" s="2">
        <f>+AE2+Parameters!$B$21</f>
        <v>2160</v>
      </c>
      <c r="AG2" s="2">
        <f>+AF2+Parameters!$B$21</f>
        <v>2165</v>
      </c>
      <c r="AH2" s="2">
        <f>+AG2+Parameters!$B$21</f>
        <v>2170</v>
      </c>
      <c r="AI2" s="2">
        <f>+AH2+Parameters!$B$21</f>
        <v>2175</v>
      </c>
      <c r="AJ2" s="2">
        <f>+AI2+Parameters!$B$21</f>
        <v>2180</v>
      </c>
      <c r="AK2" s="2">
        <f>+AJ2+Parameters!$B$21</f>
        <v>2185</v>
      </c>
      <c r="AL2" s="2">
        <f>+AK2+Parameters!$B$21</f>
        <v>2190</v>
      </c>
      <c r="AM2" s="2">
        <f>+AL2+Parameters!$B$21</f>
        <v>2195</v>
      </c>
      <c r="AN2" s="2">
        <f>+AM2+Parameters!$B$21</f>
        <v>2200</v>
      </c>
      <c r="AO2" s="2">
        <f>+AN2+Parameters!$B$21</f>
        <v>2205</v>
      </c>
      <c r="AP2" s="2">
        <f>+AO2+Parameters!$B$21</f>
        <v>2210</v>
      </c>
      <c r="AQ2" s="2">
        <f>+AP2+Parameters!$B$21</f>
        <v>2215</v>
      </c>
      <c r="AR2" s="2">
        <f>+AQ2+Parameters!$B$21</f>
        <v>2220</v>
      </c>
      <c r="AS2" s="2">
        <f>+AR2+Parameters!$B$21</f>
        <v>2225</v>
      </c>
      <c r="AT2" s="2">
        <f>+AS2+Parameters!$B$21</f>
        <v>2230</v>
      </c>
      <c r="AU2" s="2">
        <f>+AT2+Parameters!$B$21</f>
        <v>2235</v>
      </c>
      <c r="AV2" s="2">
        <f>+AU2+Parameters!$B$21</f>
        <v>2240</v>
      </c>
      <c r="AW2" s="2">
        <f>+AV2+Parameters!$B$21</f>
        <v>2245</v>
      </c>
      <c r="AX2" s="2">
        <f>+AW2+Parameters!$B$21</f>
        <v>2250</v>
      </c>
      <c r="AY2" s="2">
        <f>+AX2+Parameters!$B$21</f>
        <v>2255</v>
      </c>
      <c r="AZ2" s="2">
        <f>+AY2+Parameters!$B$21</f>
        <v>2260</v>
      </c>
      <c r="BA2" s="2">
        <f>+AZ2+Parameters!$B$21</f>
        <v>2265</v>
      </c>
      <c r="BB2" s="2">
        <f>+BA2+Parameters!$B$21</f>
        <v>2270</v>
      </c>
      <c r="BC2" s="2">
        <f>+BB2+Parameters!$B$21</f>
        <v>2275</v>
      </c>
      <c r="BD2" s="2">
        <f>+BC2+Parameters!$B$21</f>
        <v>2280</v>
      </c>
      <c r="BE2" s="2">
        <f>+BD2+Parameters!$B$21</f>
        <v>2285</v>
      </c>
      <c r="BF2" s="2">
        <f>+BE2+Parameters!$B$21</f>
        <v>2290</v>
      </c>
      <c r="BG2" s="2">
        <f>+BF2+Parameters!$B$21</f>
        <v>2295</v>
      </c>
      <c r="BH2" s="2">
        <f>+BG2+Parameters!$B$21</f>
        <v>2300</v>
      </c>
      <c r="BI2" s="2">
        <f>+BH2+Parameters!$B$21</f>
        <v>2305</v>
      </c>
    </row>
    <row r="3" spans="1:61" ht="21" customHeight="1" thickBot="1" x14ac:dyDescent="0.4">
      <c r="A3" s="31" t="s">
        <v>201</v>
      </c>
    </row>
    <row r="4" spans="1:61" ht="21" customHeight="1" thickTop="1" thickBot="1" x14ac:dyDescent="0.4">
      <c r="A4" s="32" t="s">
        <v>35</v>
      </c>
    </row>
    <row r="5" spans="1:61" ht="21" customHeight="1" thickTop="1" x14ac:dyDescent="0.35">
      <c r="A5" s="13" t="s">
        <v>51</v>
      </c>
      <c r="B5" s="8">
        <f>+Parameters!B32</f>
        <v>0.3</v>
      </c>
    </row>
    <row r="6" spans="1:61" ht="18.649999999999999" customHeight="1" x14ac:dyDescent="0.35">
      <c r="A6" s="13" t="s">
        <v>144</v>
      </c>
      <c r="B6" s="2">
        <f>+Parameters!B33</f>
        <v>0.1</v>
      </c>
    </row>
    <row r="7" spans="1:61" ht="21" hidden="1" customHeight="1" x14ac:dyDescent="0.35">
      <c r="A7" s="113" t="s">
        <v>167</v>
      </c>
      <c r="B7" s="114">
        <f>+Parameters!B22*Parameters!B23</f>
        <v>0</v>
      </c>
    </row>
    <row r="8" spans="1:61" ht="21" hidden="1" customHeight="1" x14ac:dyDescent="0.35">
      <c r="A8" s="113" t="s">
        <v>168</v>
      </c>
      <c r="B8" s="114">
        <f>1-Parameters!B24</f>
        <v>0.5</v>
      </c>
    </row>
    <row r="9" spans="1:61" ht="21" hidden="1" customHeight="1" x14ac:dyDescent="0.35">
      <c r="A9" s="113" t="s">
        <v>179</v>
      </c>
      <c r="B9" s="115">
        <f>+B7*B8</f>
        <v>0</v>
      </c>
    </row>
    <row r="10" spans="1:61" ht="21" hidden="1" customHeight="1" x14ac:dyDescent="0.35">
      <c r="A10" s="13" t="s">
        <v>315</v>
      </c>
      <c r="B10" s="8">
        <f>+B6+B9</f>
        <v>0.1</v>
      </c>
    </row>
    <row r="11" spans="1:61" ht="21" customHeight="1" x14ac:dyDescent="0.35">
      <c r="A11" s="13" t="s">
        <v>22</v>
      </c>
      <c r="B11" s="8">
        <f>Parameters!B34</f>
        <v>66.95</v>
      </c>
    </row>
    <row r="12" spans="1:61" ht="21" customHeight="1" x14ac:dyDescent="0.35">
      <c r="A12" s="13" t="s">
        <v>13</v>
      </c>
      <c r="B12" s="8">
        <f>+Parameters!B37</f>
        <v>135</v>
      </c>
    </row>
    <row r="13" spans="1:61" ht="21" customHeight="1" x14ac:dyDescent="0.35">
      <c r="A13" s="13" t="s">
        <v>71</v>
      </c>
      <c r="B13" s="8">
        <f>+Parameters!B38</f>
        <v>3.7976214000000001</v>
      </c>
    </row>
    <row r="14" spans="1:61" ht="21" customHeight="1" thickBot="1" x14ac:dyDescent="0.4">
      <c r="A14" s="32" t="s">
        <v>52</v>
      </c>
    </row>
    <row r="15" spans="1:61" ht="21" customHeight="1" thickTop="1" x14ac:dyDescent="0.35">
      <c r="A15" s="13" t="s">
        <v>135</v>
      </c>
      <c r="B15" s="2">
        <f>+B16+B17</f>
        <v>1.4999999999999999E-2</v>
      </c>
      <c r="C15" s="2">
        <f>+B15</f>
        <v>1.4999999999999999E-2</v>
      </c>
      <c r="D15" s="2">
        <f t="shared" ref="D15:BH15" si="2">+C15</f>
        <v>1.4999999999999999E-2</v>
      </c>
      <c r="E15" s="2">
        <f t="shared" si="2"/>
        <v>1.4999999999999999E-2</v>
      </c>
      <c r="F15" s="2">
        <f t="shared" si="2"/>
        <v>1.4999999999999999E-2</v>
      </c>
      <c r="G15" s="2">
        <f t="shared" si="2"/>
        <v>1.4999999999999999E-2</v>
      </c>
      <c r="H15" s="2">
        <f t="shared" si="2"/>
        <v>1.4999999999999999E-2</v>
      </c>
      <c r="I15" s="2">
        <f t="shared" si="2"/>
        <v>1.4999999999999999E-2</v>
      </c>
      <c r="J15" s="2">
        <f t="shared" si="2"/>
        <v>1.4999999999999999E-2</v>
      </c>
      <c r="K15" s="2">
        <f t="shared" si="2"/>
        <v>1.4999999999999999E-2</v>
      </c>
      <c r="L15" s="2">
        <f t="shared" si="2"/>
        <v>1.4999999999999999E-2</v>
      </c>
      <c r="M15" s="2">
        <f t="shared" si="2"/>
        <v>1.4999999999999999E-2</v>
      </c>
      <c r="N15" s="2">
        <f t="shared" si="2"/>
        <v>1.4999999999999999E-2</v>
      </c>
      <c r="O15" s="2">
        <f t="shared" si="2"/>
        <v>1.4999999999999999E-2</v>
      </c>
      <c r="P15" s="2">
        <f t="shared" si="2"/>
        <v>1.4999999999999999E-2</v>
      </c>
      <c r="Q15" s="2">
        <f t="shared" si="2"/>
        <v>1.4999999999999999E-2</v>
      </c>
      <c r="R15" s="2">
        <f t="shared" si="2"/>
        <v>1.4999999999999999E-2</v>
      </c>
      <c r="S15" s="2">
        <f t="shared" si="2"/>
        <v>1.4999999999999999E-2</v>
      </c>
      <c r="T15" s="2">
        <f t="shared" si="2"/>
        <v>1.4999999999999999E-2</v>
      </c>
      <c r="U15" s="2">
        <f t="shared" si="2"/>
        <v>1.4999999999999999E-2</v>
      </c>
      <c r="V15" s="2">
        <f t="shared" si="2"/>
        <v>1.4999999999999999E-2</v>
      </c>
      <c r="W15" s="2">
        <f t="shared" si="2"/>
        <v>1.4999999999999999E-2</v>
      </c>
      <c r="X15" s="2">
        <f t="shared" si="2"/>
        <v>1.4999999999999999E-2</v>
      </c>
      <c r="Y15" s="2">
        <f t="shared" si="2"/>
        <v>1.4999999999999999E-2</v>
      </c>
      <c r="Z15" s="2">
        <f t="shared" si="2"/>
        <v>1.4999999999999999E-2</v>
      </c>
      <c r="AA15" s="2">
        <f t="shared" si="2"/>
        <v>1.4999999999999999E-2</v>
      </c>
      <c r="AB15" s="2">
        <f t="shared" si="2"/>
        <v>1.4999999999999999E-2</v>
      </c>
      <c r="AC15" s="2">
        <f t="shared" si="2"/>
        <v>1.4999999999999999E-2</v>
      </c>
      <c r="AD15" s="2">
        <f t="shared" si="2"/>
        <v>1.4999999999999999E-2</v>
      </c>
      <c r="AE15" s="2">
        <f t="shared" si="2"/>
        <v>1.4999999999999999E-2</v>
      </c>
      <c r="AF15" s="2">
        <f t="shared" si="2"/>
        <v>1.4999999999999999E-2</v>
      </c>
      <c r="AG15" s="2">
        <f t="shared" si="2"/>
        <v>1.4999999999999999E-2</v>
      </c>
      <c r="AH15" s="2">
        <f t="shared" si="2"/>
        <v>1.4999999999999999E-2</v>
      </c>
      <c r="AI15" s="2">
        <f t="shared" si="2"/>
        <v>1.4999999999999999E-2</v>
      </c>
      <c r="AJ15" s="2">
        <f t="shared" si="2"/>
        <v>1.4999999999999999E-2</v>
      </c>
      <c r="AK15" s="2">
        <f t="shared" si="2"/>
        <v>1.4999999999999999E-2</v>
      </c>
      <c r="AL15" s="2">
        <f t="shared" si="2"/>
        <v>1.4999999999999999E-2</v>
      </c>
      <c r="AM15" s="2">
        <f t="shared" si="2"/>
        <v>1.4999999999999999E-2</v>
      </c>
      <c r="AN15" s="2">
        <f t="shared" si="2"/>
        <v>1.4999999999999999E-2</v>
      </c>
      <c r="AO15" s="2">
        <f t="shared" si="2"/>
        <v>1.4999999999999999E-2</v>
      </c>
      <c r="AP15" s="2">
        <f t="shared" si="2"/>
        <v>1.4999999999999999E-2</v>
      </c>
      <c r="AQ15" s="2">
        <f t="shared" si="2"/>
        <v>1.4999999999999999E-2</v>
      </c>
      <c r="AR15" s="2">
        <f t="shared" si="2"/>
        <v>1.4999999999999999E-2</v>
      </c>
      <c r="AS15" s="2">
        <f t="shared" si="2"/>
        <v>1.4999999999999999E-2</v>
      </c>
      <c r="AT15" s="2">
        <f t="shared" si="2"/>
        <v>1.4999999999999999E-2</v>
      </c>
      <c r="AU15" s="2">
        <f t="shared" si="2"/>
        <v>1.4999999999999999E-2</v>
      </c>
      <c r="AV15" s="2">
        <f t="shared" si="2"/>
        <v>1.4999999999999999E-2</v>
      </c>
      <c r="AW15" s="2">
        <f t="shared" si="2"/>
        <v>1.4999999999999999E-2</v>
      </c>
      <c r="AX15" s="2">
        <f t="shared" si="2"/>
        <v>1.4999999999999999E-2</v>
      </c>
      <c r="AY15" s="2">
        <f t="shared" si="2"/>
        <v>1.4999999999999999E-2</v>
      </c>
      <c r="AZ15" s="2">
        <f t="shared" si="2"/>
        <v>1.4999999999999999E-2</v>
      </c>
      <c r="BA15" s="2">
        <f t="shared" si="2"/>
        <v>1.4999999999999999E-2</v>
      </c>
      <c r="BB15" s="2">
        <f t="shared" si="2"/>
        <v>1.4999999999999999E-2</v>
      </c>
      <c r="BC15" s="2">
        <f t="shared" si="2"/>
        <v>1.4999999999999999E-2</v>
      </c>
      <c r="BD15" s="2">
        <f t="shared" si="2"/>
        <v>1.4999999999999999E-2</v>
      </c>
      <c r="BE15" s="2">
        <f t="shared" si="2"/>
        <v>1.4999999999999999E-2</v>
      </c>
      <c r="BF15" s="2">
        <f t="shared" si="2"/>
        <v>1.4999999999999999E-2</v>
      </c>
      <c r="BG15" s="2">
        <f t="shared" si="2"/>
        <v>1.4999999999999999E-2</v>
      </c>
      <c r="BH15" s="2">
        <f t="shared" si="2"/>
        <v>1.4999999999999999E-2</v>
      </c>
      <c r="BI15" s="2">
        <f t="shared" ref="BI15" si="3">+BH15</f>
        <v>1.4999999999999999E-2</v>
      </c>
    </row>
    <row r="16" spans="1:61" ht="21" customHeight="1" x14ac:dyDescent="0.35">
      <c r="A16" s="13" t="s">
        <v>143</v>
      </c>
      <c r="B16" s="2">
        <f>+Parameters!B5</f>
        <v>1.4999999999999999E-2</v>
      </c>
    </row>
    <row r="17" spans="1:124" ht="21" hidden="1" customHeight="1" x14ac:dyDescent="0.35">
      <c r="A17" s="13" t="s">
        <v>169</v>
      </c>
      <c r="B17" s="2">
        <f>+B7*(1-B8)</f>
        <v>0</v>
      </c>
    </row>
    <row r="18" spans="1:124" ht="21" customHeight="1" x14ac:dyDescent="0.35">
      <c r="A18" s="13" t="s">
        <v>53</v>
      </c>
      <c r="B18" s="8">
        <v>1</v>
      </c>
      <c r="C18" s="2">
        <f>B18/(1+B15)^(C2-B2)</f>
        <v>0.92826032540563996</v>
      </c>
      <c r="D18" s="2">
        <f>C18/(1+C15)^(D2-C2)</f>
        <v>0.86166723172218462</v>
      </c>
      <c r="E18" s="2">
        <f t="shared" ref="E18:AH18" si="4">D18/(1+D15)^(E2-D2)</f>
        <v>0.79985150490981205</v>
      </c>
      <c r="F18" s="2">
        <f t="shared" si="4"/>
        <v>0.74247041822377302</v>
      </c>
      <c r="G18" s="2">
        <f t="shared" si="4"/>
        <v>0.68920583202446117</v>
      </c>
      <c r="H18" s="2">
        <f t="shared" si="4"/>
        <v>0.63976242990649113</v>
      </c>
      <c r="I18" s="2">
        <f t="shared" si="4"/>
        <v>0.59386608136730235</v>
      </c>
      <c r="J18" s="2">
        <f t="shared" si="4"/>
        <v>0.55126232193738434</v>
      </c>
      <c r="K18" s="2">
        <f t="shared" si="4"/>
        <v>0.51171494234546511</v>
      </c>
      <c r="L18" s="2">
        <f t="shared" si="4"/>
        <v>0.47500467889652975</v>
      </c>
      <c r="M18" s="2">
        <f t="shared" si="4"/>
        <v>0.44092799780169423</v>
      </c>
      <c r="N18" s="2">
        <f t="shared" si="4"/>
        <v>0.40929596671985802</v>
      </c>
      <c r="O18" s="2">
        <f t="shared" si="4"/>
        <v>0.3799332072545914</v>
      </c>
      <c r="P18" s="2">
        <f t="shared" si="4"/>
        <v>0.35267692259855549</v>
      </c>
      <c r="Q18" s="2">
        <f t="shared" si="4"/>
        <v>0.32737599493439484</v>
      </c>
      <c r="R18" s="2">
        <f t="shared" si="4"/>
        <v>0.30389014758779648</v>
      </c>
      <c r="S18" s="2">
        <f t="shared" si="4"/>
        <v>0.2820891672874159</v>
      </c>
      <c r="T18" s="2">
        <f t="shared" si="4"/>
        <v>0.2618521822196227</v>
      </c>
      <c r="U18" s="2">
        <f t="shared" si="4"/>
        <v>0.2430669918753639</v>
      </c>
      <c r="V18" s="2">
        <f t="shared" si="4"/>
        <v>0.22562944497359536</v>
      </c>
      <c r="W18" s="2">
        <f t="shared" si="4"/>
        <v>0.20944286201228357</v>
      </c>
      <c r="X18" s="2">
        <f t="shared" si="4"/>
        <v>0.19441749924541091</v>
      </c>
      <c r="Y18" s="2">
        <f t="shared" si="4"/>
        <v>0.18047005111409589</v>
      </c>
      <c r="Z18" s="2">
        <f t="shared" si="4"/>
        <v>0.16752318837314314</v>
      </c>
      <c r="AA18" s="2">
        <f t="shared" si="4"/>
        <v>0.15550512935224417</v>
      </c>
      <c r="AB18" s="2">
        <f t="shared" si="4"/>
        <v>0.14434924197476032</v>
      </c>
      <c r="AC18" s="2">
        <f t="shared" si="4"/>
        <v>0.13399367432754847</v>
      </c>
      <c r="AD18" s="2">
        <f t="shared" si="4"/>
        <v>0.12438101173358748</v>
      </c>
      <c r="AE18" s="2">
        <f t="shared" si="4"/>
        <v>0.11545795842610264</v>
      </c>
      <c r="AF18" s="2">
        <f t="shared" si="4"/>
        <v>0.10717504205928489</v>
      </c>
      <c r="AG18" s="2">
        <f t="shared" si="4"/>
        <v>9.9486339417314953E-2</v>
      </c>
      <c r="AH18" s="2">
        <f t="shared" si="4"/>
        <v>9.2349221800932732E-2</v>
      </c>
      <c r="AI18" s="2">
        <f t="shared" ref="AI18:BI18" si="5">AH18/(1+AH15)^(AI2-AH2)</f>
        <v>8.5724118679891437E-2</v>
      </c>
      <c r="AJ18" s="2">
        <f t="shared" si="5"/>
        <v>7.9574298300907731E-2</v>
      </c>
      <c r="AK18" s="2">
        <f t="shared" si="5"/>
        <v>7.3865664034726081E-2</v>
      </c>
      <c r="AL18" s="2">
        <f t="shared" si="5"/>
        <v>6.8566565333178509E-2</v>
      </c>
      <c r="AM18" s="2">
        <f t="shared" si="5"/>
        <v>6.3647622248123356E-2</v>
      </c>
      <c r="AN18" s="2">
        <f t="shared" si="5"/>
        <v>5.9081562539338238E-2</v>
      </c>
      <c r="AO18" s="2">
        <f t="shared" si="5"/>
        <v>5.4843070468239781E-2</v>
      </c>
      <c r="AP18" s="2">
        <f t="shared" si="5"/>
        <v>5.0908646439092702E-2</v>
      </c>
      <c r="AQ18" s="2">
        <f t="shared" si="5"/>
        <v>4.7256476709512864E-2</v>
      </c>
      <c r="AR18" s="2">
        <f t="shared" si="5"/>
        <v>4.3866312447896461E-2</v>
      </c>
      <c r="AS18" s="2">
        <f t="shared" si="5"/>
        <v>4.0719357467229843E-2</v>
      </c>
      <c r="AT18" s="2">
        <f t="shared" si="5"/>
        <v>3.779816401283935E-2</v>
      </c>
      <c r="AU18" s="2">
        <f t="shared" si="5"/>
        <v>3.5086536026294003E-2</v>
      </c>
      <c r="AV18" s="2">
        <f t="shared" si="5"/>
        <v>3.2569439349124381E-2</v>
      </c>
      <c r="AW18" s="2">
        <f t="shared" si="5"/>
        <v>3.0232918368497452E-2</v>
      </c>
      <c r="AX18" s="2">
        <f t="shared" si="5"/>
        <v>2.8064018642703595E-2</v>
      </c>
      <c r="AY18" s="2">
        <f t="shared" si="5"/>
        <v>2.6050715077465987E-2</v>
      </c>
      <c r="AZ18" s="2">
        <f t="shared" si="5"/>
        <v>2.4181845254858191E-2</v>
      </c>
      <c r="BA18" s="2">
        <f t="shared" si="5"/>
        <v>2.2447047545183493E-2</v>
      </c>
      <c r="BB18" s="2">
        <f t="shared" si="5"/>
        <v>2.0836703658687901E-2</v>
      </c>
      <c r="BC18" s="2">
        <f t="shared" si="5"/>
        <v>1.9341885318594518E-2</v>
      </c>
      <c r="BD18" s="2">
        <f t="shared" si="5"/>
        <v>1.7954304759797118E-2</v>
      </c>
      <c r="BE18" s="2">
        <f t="shared" si="5"/>
        <v>1.6666268778761303E-2</v>
      </c>
      <c r="BF18" s="2">
        <f t="shared" si="5"/>
        <v>1.5470636079870826E-2</v>
      </c>
      <c r="BG18" s="2">
        <f t="shared" si="5"/>
        <v>1.4360777681733128E-2</v>
      </c>
      <c r="BH18" s="2">
        <f t="shared" si="5"/>
        <v>1.3330540163923646E-2</v>
      </c>
      <c r="BI18" s="2">
        <f t="shared" si="5"/>
        <v>1.2374211550396717E-2</v>
      </c>
    </row>
    <row r="19" spans="1:124" ht="21" customHeight="1" x14ac:dyDescent="0.35">
      <c r="A19" s="13" t="s">
        <v>58</v>
      </c>
      <c r="B19" s="8">
        <f>+Parameters!B6</f>
        <v>1.45</v>
      </c>
    </row>
    <row r="20" spans="1:124" ht="21" customHeight="1" thickBot="1" x14ac:dyDescent="0.4">
      <c r="A20" s="33" t="s">
        <v>15</v>
      </c>
    </row>
    <row r="21" spans="1:124" ht="21" customHeight="1" thickTop="1" x14ac:dyDescent="0.35">
      <c r="A21" s="13" t="s">
        <v>88</v>
      </c>
      <c r="B21" s="8">
        <f>+Parameters!B103</f>
        <v>3.7976214000000001</v>
      </c>
      <c r="C21" s="8">
        <f>+Parameters!C103</f>
        <v>4.1233674267100975</v>
      </c>
      <c r="D21" s="8">
        <f>+Parameters!D103</f>
        <v>4.4657337879870225</v>
      </c>
      <c r="E21" s="8">
        <f>+Parameters!E103</f>
        <v>4.8246876450561675</v>
      </c>
      <c r="F21" s="8">
        <f>+Parameters!F103</f>
        <v>5.2001407372762589</v>
      </c>
      <c r="G21" s="8">
        <f>+Parameters!G103</f>
        <v>5.5919503241395958</v>
      </c>
      <c r="H21" s="8">
        <f>+Parameters!H103</f>
        <v>5.9999204992367279</v>
      </c>
      <c r="I21" s="8">
        <f>+Parameters!I103</f>
        <v>6.4238038470291627</v>
      </c>
      <c r="J21" s="8">
        <f>+Parameters!J103</f>
        <v>6.8633034110325832</v>
      </c>
      <c r="K21" s="8">
        <f>+Parameters!K103</f>
        <v>7.3180749403940499</v>
      </c>
      <c r="L21" s="8">
        <f>+Parameters!L103</f>
        <v>7.7877293808181882</v>
      </c>
      <c r="M21" s="8">
        <f>+Parameters!M103</f>
        <v>8.2718355753199262</v>
      </c>
      <c r="N21" s="8">
        <f>+Parameters!N103</f>
        <v>8.7699231403093645</v>
      </c>
      <c r="O21" s="8">
        <f>+Parameters!O103</f>
        <v>9.2814854829978692</v>
      </c>
      <c r="P21" s="8">
        <f>+Parameters!P103</f>
        <v>9.805982927000942</v>
      </c>
      <c r="Q21" s="8">
        <f>+Parameters!Q103</f>
        <v>10.342845914248688</v>
      </c>
      <c r="R21" s="8">
        <f>+Parameters!R103</f>
        <v>10.891478252845129</v>
      </c>
      <c r="S21" s="8">
        <f>+Parameters!S103</f>
        <v>11.451260382290016</v>
      </c>
      <c r="T21" s="8">
        <f>+Parameters!T103</f>
        <v>12.021552629440624</v>
      </c>
      <c r="U21" s="8">
        <f>+Parameters!U103</f>
        <v>12.601698430697848</v>
      </c>
      <c r="V21" s="8">
        <f>+Parameters!V103</f>
        <v>13.191027498106218</v>
      </c>
      <c r="W21" s="8">
        <f>+Parameters!W103</f>
        <v>13.788858909319805</v>
      </c>
      <c r="X21" s="8">
        <f>+Parameters!X103</f>
        <v>14.394504103668551</v>
      </c>
      <c r="Y21" s="8">
        <f>+Parameters!Y103</f>
        <v>15.007269768829158</v>
      </c>
      <c r="Z21" s="8">
        <f>+Parameters!Z103</f>
        <v>15.626460604832571</v>
      </c>
      <c r="AA21" s="8">
        <f>+Parameters!AA103</f>
        <v>16.251381954301731</v>
      </c>
      <c r="AB21" s="8">
        <f>+Parameters!AB103</f>
        <v>16.881342289887851</v>
      </c>
      <c r="AC21" s="8">
        <f>+Parameters!AC103</f>
        <v>17.515655551844304</v>
      </c>
      <c r="AD21" s="8">
        <f>+Parameters!AD103</f>
        <v>18.153643330531068</v>
      </c>
      <c r="AE21" s="8">
        <f>+Parameters!AE103</f>
        <v>18.794636890369542</v>
      </c>
      <c r="AF21" s="8">
        <f>+Parameters!AF103</f>
        <v>19.437979033360847</v>
      </c>
      <c r="AG21" s="8">
        <f>+Parameters!AG103</f>
        <v>20.08302580173595</v>
      </c>
      <c r="AH21" s="8">
        <f>+Parameters!AH103</f>
        <v>20.729148020621849</v>
      </c>
      <c r="AI21" s="8">
        <f>+Parameters!AI103</f>
        <v>21.375732682784619</v>
      </c>
      <c r="AJ21" s="8">
        <f>+Parameters!AJ103</f>
        <v>22.022184178549967</v>
      </c>
      <c r="AK21" s="8">
        <f>+Parameters!AK103</f>
        <v>22.667925374908592</v>
      </c>
      <c r="AL21" s="8">
        <f>+Parameters!AL103</f>
        <v>23.312398548592238</v>
      </c>
      <c r="AM21" s="8">
        <f>+Parameters!AM103</f>
        <v>23.955066178562941</v>
      </c>
      <c r="AN21" s="8">
        <f>+Parameters!AN103</f>
        <v>24.595411603899361</v>
      </c>
      <c r="AO21" s="8">
        <f>+Parameters!AO103</f>
        <v>25.232939553497779</v>
      </c>
      <c r="AP21" s="8">
        <f>+Parameters!AP103</f>
        <v>25.867176554338993</v>
      </c>
      <c r="AQ21" s="8">
        <f>+Parameters!AQ103</f>
        <v>26.497671225314146</v>
      </c>
      <c r="AR21" s="8">
        <f>+Parameters!AR103</f>
        <v>27.123994463760443</v>
      </c>
      <c r="AS21" s="8">
        <f>+Parameters!AS103</f>
        <v>27.745739531939883</v>
      </c>
      <c r="AT21" s="8">
        <f>+Parameters!AT103</f>
        <v>28.362522050708495</v>
      </c>
      <c r="AU21" s="8">
        <f>+Parameters!AU103</f>
        <v>28.973979907577796</v>
      </c>
      <c r="AV21" s="8">
        <f>+Parameters!AV103</f>
        <v>29.579773086271572</v>
      </c>
      <c r="AW21" s="8">
        <f>+Parameters!AW103</f>
        <v>30.179583424736954</v>
      </c>
      <c r="AX21" s="8">
        <f>+Parameters!AX103</f>
        <v>30.773114308385264</v>
      </c>
      <c r="AY21" s="8">
        <f>+Parameters!AY103</f>
        <v>31.360090305122124</v>
      </c>
      <c r="AZ21" s="8">
        <f>+Parameters!AZ103</f>
        <v>31.94025674848292</v>
      </c>
      <c r="BA21" s="8">
        <f>+Parameters!BA103</f>
        <v>32.513379274924787</v>
      </c>
      <c r="BB21" s="8">
        <f>+Parameters!BB103</f>
        <v>33.07924332104443</v>
      </c>
      <c r="BC21" s="8">
        <f>+Parameters!BC103</f>
        <v>33.63765358619667</v>
      </c>
      <c r="BD21" s="8">
        <f>+Parameters!BD103</f>
        <v>34.188433465685904</v>
      </c>
      <c r="BE21" s="8">
        <f>+Parameters!BE103</f>
        <v>34.73142445939488</v>
      </c>
      <c r="BF21" s="8">
        <f>+Parameters!BF103</f>
        <v>35.266485560405712</v>
      </c>
      <c r="BG21" s="8">
        <f>+Parameters!BG103</f>
        <v>35.793492627859642</v>
      </c>
      <c r="BH21" s="8">
        <f>+Parameters!BH103</f>
        <v>36.312337747996835</v>
      </c>
      <c r="BI21" s="8">
        <f>+Parameters!BI103</f>
        <v>36.822928587018112</v>
      </c>
      <c r="BJ21" s="8"/>
      <c r="BK21" s="8"/>
      <c r="BL21" s="8"/>
      <c r="BM21" s="8"/>
      <c r="BN21" s="8"/>
      <c r="BO21" s="8"/>
      <c r="BP21" s="8"/>
      <c r="BQ21" s="8"/>
      <c r="BR21" s="8"/>
      <c r="BS21" s="8"/>
      <c r="BT21" s="8"/>
      <c r="BU21" s="8"/>
      <c r="BV21" s="8"/>
      <c r="BW21" s="8"/>
      <c r="BX21" s="8"/>
      <c r="BY21" s="8"/>
      <c r="BZ21" s="8"/>
      <c r="CA21" s="8"/>
      <c r="CB21" s="8"/>
      <c r="CC21" s="8"/>
      <c r="CD21" s="8"/>
      <c r="CE21" s="8"/>
      <c r="CF21" s="8"/>
      <c r="CG21" s="8"/>
      <c r="CH21" s="8"/>
      <c r="CI21" s="8"/>
      <c r="CJ21" s="8"/>
      <c r="CK21" s="8"/>
      <c r="CL21" s="8"/>
      <c r="CM21" s="8"/>
      <c r="CN21" s="8"/>
      <c r="CO21" s="8"/>
      <c r="CP21" s="8"/>
      <c r="CQ21" s="8"/>
      <c r="CR21" s="8"/>
      <c r="CS21" s="8"/>
      <c r="CT21" s="8"/>
      <c r="CU21" s="8"/>
      <c r="CV21" s="8"/>
      <c r="CW21" s="8"/>
      <c r="CX21" s="8"/>
      <c r="CY21" s="8"/>
      <c r="CZ21" s="8"/>
      <c r="DA21" s="8"/>
      <c r="DB21" s="8"/>
      <c r="DC21" s="8"/>
      <c r="DD21" s="8"/>
      <c r="DE21" s="8"/>
      <c r="DF21" s="8"/>
      <c r="DG21" s="8"/>
      <c r="DH21" s="8"/>
      <c r="DI21" s="8"/>
      <c r="DJ21" s="8"/>
      <c r="DK21" s="8"/>
      <c r="DL21" s="8"/>
      <c r="DM21" s="8"/>
      <c r="DN21" s="8"/>
      <c r="DO21" s="8"/>
      <c r="DP21" s="8"/>
      <c r="DQ21" s="8"/>
      <c r="DR21" s="8"/>
      <c r="DS21" s="8"/>
      <c r="DT21" s="8"/>
    </row>
    <row r="22" spans="1:124" ht="21" customHeight="1" x14ac:dyDescent="0.35">
      <c r="A22" s="13" t="s">
        <v>89</v>
      </c>
      <c r="B22" s="8">
        <f>+Parameters!B38</f>
        <v>3.7976214000000001</v>
      </c>
    </row>
    <row r="23" spans="1:124" ht="21" customHeight="1" x14ac:dyDescent="0.35">
      <c r="A23" s="13" t="s">
        <v>145</v>
      </c>
      <c r="B23" s="2"/>
      <c r="C23" s="2">
        <f>+Parameters!B104</f>
        <v>7.9000000000000001E-2</v>
      </c>
      <c r="D23" s="2">
        <f>+Parameters!C104</f>
        <v>7.666519715033214E-2</v>
      </c>
      <c r="E23" s="2">
        <f>+Parameters!D104</f>
        <v>7.4399398153155646E-2</v>
      </c>
      <c r="F23" s="2">
        <f>+Parameters!E104</f>
        <v>7.2200563636427031E-2</v>
      </c>
      <c r="G23" s="2">
        <f>+Parameters!F104</f>
        <v>7.0066714500655436E-2</v>
      </c>
      <c r="H23" s="2">
        <f>+Parameters!G104</f>
        <v>6.7995930137579569E-2</v>
      </c>
      <c r="I23" s="2">
        <f>+Parameters!H104</f>
        <v>6.5986346701490492E-2</v>
      </c>
      <c r="J23" s="2">
        <f>+Parameters!I104</f>
        <v>6.4036155431644787E-2</v>
      </c>
      <c r="K23" s="2">
        <f>+Parameters!J104</f>
        <v>6.2143601024257727E-2</v>
      </c>
      <c r="L23" s="2">
        <f>+Parameters!K104</f>
        <v>6.0306980052611397E-2</v>
      </c>
      <c r="M23" s="2">
        <f>+Parameters!L104</f>
        <v>5.8524639433855712E-2</v>
      </c>
      <c r="N23" s="2">
        <f>+Parameters!M104</f>
        <v>5.6794974941122171E-2</v>
      </c>
      <c r="O23" s="2">
        <f>+Parameters!N104</f>
        <v>5.5116429759611452E-2</v>
      </c>
      <c r="P23" s="2">
        <f>+Parameters!O104</f>
        <v>5.3487493085355005E-2</v>
      </c>
      <c r="Q23" s="2">
        <f>+Parameters!P104</f>
        <v>5.1906698765389482E-2</v>
      </c>
      <c r="R23" s="2">
        <f>+Parameters!Q104</f>
        <v>5.0372623978120097E-2</v>
      </c>
      <c r="S23" s="2">
        <f>+Parameters!R104</f>
        <v>4.8883887952685126E-2</v>
      </c>
      <c r="T23" s="2">
        <f>+Parameters!S104</f>
        <v>4.7439150726169006E-2</v>
      </c>
      <c r="U23" s="2">
        <f>+Parameters!T104</f>
        <v>4.6037111937545179E-2</v>
      </c>
      <c r="V23" s="2">
        <f>+Parameters!U104</f>
        <v>4.4676509657263427E-2</v>
      </c>
      <c r="W23" s="2">
        <f>+Parameters!V104</f>
        <v>4.3356119251428085E-2</v>
      </c>
      <c r="X23" s="2">
        <f>+Parameters!W104</f>
        <v>4.207475227954488E-2</v>
      </c>
      <c r="Y23" s="2">
        <f>+Parameters!X104</f>
        <v>4.0831255424844247E-2</v>
      </c>
      <c r="Z23" s="2">
        <f>+Parameters!Y104</f>
        <v>3.9624509456218392E-2</v>
      </c>
      <c r="AA23" s="2">
        <f>+Parameters!Z104</f>
        <v>3.8453428220837763E-2</v>
      </c>
      <c r="AB23" s="2">
        <f>+Parameters!AA104</f>
        <v>3.7316957666540161E-2</v>
      </c>
      <c r="AC23" s="2">
        <f>+Parameters!AB104</f>
        <v>3.6214074893112659E-2</v>
      </c>
      <c r="AD23" s="2">
        <f>+Parameters!AC104</f>
        <v>3.514378723161235E-2</v>
      </c>
      <c r="AE23" s="2">
        <f>+Parameters!AD104</f>
        <v>3.4105131350897301E-2</v>
      </c>
      <c r="AF23" s="2">
        <f>+Parameters!AE104</f>
        <v>3.3097172390563478E-2</v>
      </c>
      <c r="AG23" s="2">
        <f>+Parameters!AF104</f>
        <v>3.2119003119507335E-2</v>
      </c>
      <c r="AH23" s="2">
        <f>+Parameters!AG104</f>
        <v>3.116974311935649E-2</v>
      </c>
      <c r="AI23" s="2">
        <f>+Parameters!AH104</f>
        <v>3.0248537992033853E-2</v>
      </c>
      <c r="AJ23" s="2">
        <f>+Parameters!AI104</f>
        <v>2.9354558590741611E-2</v>
      </c>
      <c r="AK23" s="2">
        <f>+Parameters!AJ104</f>
        <v>2.8487000273673187E-2</v>
      </c>
      <c r="AL23" s="2">
        <f>+Parameters!AK104</f>
        <v>2.7645082179781271E-2</v>
      </c>
      <c r="AM23" s="2">
        <f>+Parameters!AL104</f>
        <v>2.6828046525950191E-2</v>
      </c>
      <c r="AN23" s="2">
        <f>+Parameters!AM104</f>
        <v>2.603515792493994E-2</v>
      </c>
      <c r="AO23" s="2">
        <f>+Parameters!AN104</f>
        <v>2.5265702723488014E-2</v>
      </c>
      <c r="AP23" s="2">
        <f>+Parameters!AO104</f>
        <v>2.4518988359973317E-2</v>
      </c>
      <c r="AQ23" s="2">
        <f>+Parameters!AP104</f>
        <v>2.379434274106397E-2</v>
      </c>
      <c r="AR23" s="2">
        <f>+Parameters!AQ104</f>
        <v>2.3091113636787893E-2</v>
      </c>
      <c r="AS23" s="2">
        <f>+Parameters!AR104</f>
        <v>2.2408668093481861E-2</v>
      </c>
      <c r="AT23" s="2">
        <f>+Parameters!AS104</f>
        <v>2.1746391864090435E-2</v>
      </c>
      <c r="AU23" s="2">
        <f>+Parameters!AT104</f>
        <v>2.1103688855302182E-2</v>
      </c>
      <c r="AV23" s="2">
        <f>+Parameters!AU104</f>
        <v>2.0479980591025435E-2</v>
      </c>
      <c r="AW23" s="2">
        <f>+Parameters!AV104</f>
        <v>1.9874705691720763E-2</v>
      </c>
      <c r="AX23" s="2">
        <f>+Parameters!AW104</f>
        <v>1.9287319369121533E-2</v>
      </c>
      <c r="AY23" s="2">
        <f>+Parameters!AX104</f>
        <v>1.8717292935887621E-2</v>
      </c>
      <c r="AZ23" s="2">
        <f>+Parameters!AY104</f>
        <v>1.8164113329751184E-2</v>
      </c>
      <c r="BA23" s="2">
        <f>+Parameters!AZ104</f>
        <v>1.7627282651725956E-2</v>
      </c>
      <c r="BB23" s="2">
        <f>+Parameters!BA104</f>
        <v>1.7106317717964559E-2</v>
      </c>
      <c r="BC23" s="2">
        <f>+Parameters!BB104</f>
        <v>1.6600749624860411E-2</v>
      </c>
      <c r="BD23" s="2">
        <f>+Parameters!BC104</f>
        <v>1.6110123327002866E-2</v>
      </c>
      <c r="BE23" s="2">
        <f>+Parameters!BD104</f>
        <v>1.5633997227605563E-2</v>
      </c>
      <c r="BF23" s="2">
        <f>+Parameters!BE104</f>
        <v>1.5171942781039578E-2</v>
      </c>
      <c r="BG23" s="2">
        <f>+Parameters!BF104</f>
        <v>1.4723544107113387E-2</v>
      </c>
      <c r="BH23" s="2">
        <f>+Parameters!BG104</f>
        <v>1.4288397616752647E-2</v>
      </c>
      <c r="BI23" s="2">
        <f>+Parameters!BH104</f>
        <v>1.3866111648742753E-2</v>
      </c>
    </row>
    <row r="24" spans="1:124" ht="21" customHeight="1" thickBot="1" x14ac:dyDescent="0.4">
      <c r="A24" s="32" t="s">
        <v>50</v>
      </c>
    </row>
    <row r="25" spans="1:124" ht="21" customHeight="1" thickTop="1" x14ac:dyDescent="0.35">
      <c r="A25" s="13" t="s">
        <v>81</v>
      </c>
      <c r="B25" s="8">
        <f>+Parameters!B7*Parameters!B$25</f>
        <v>0</v>
      </c>
    </row>
    <row r="26" spans="1:124" ht="21" customHeight="1" x14ac:dyDescent="0.35">
      <c r="A26" s="13" t="s">
        <v>82</v>
      </c>
      <c r="B26" s="8">
        <f>+Parameters!B8*Parameters!B$25</f>
        <v>2.6637500000000003E-3</v>
      </c>
    </row>
    <row r="27" spans="1:124" ht="21" customHeight="1" x14ac:dyDescent="0.35">
      <c r="A27" s="13" t="s">
        <v>20</v>
      </c>
      <c r="B27" s="8">
        <f>+Parameters!B9</f>
        <v>2</v>
      </c>
    </row>
    <row r="28" spans="1:124" ht="21" customHeight="1" x14ac:dyDescent="0.35">
      <c r="A28" s="13" t="str">
        <f>+Parameters!A18</f>
        <v>Threshold for catastrophic damages</v>
      </c>
      <c r="B28" s="8">
        <f>+Parameters!B18</f>
        <v>4</v>
      </c>
    </row>
    <row r="29" spans="1:124" ht="21" customHeight="1" x14ac:dyDescent="0.35">
      <c r="A29" s="13" t="str">
        <f>+Parameters!A19</f>
        <v>Exponent for catastrophic damages</v>
      </c>
      <c r="B29" s="8">
        <f>+Parameters!B19</f>
        <v>3</v>
      </c>
    </row>
    <row r="30" spans="1:124" ht="21" customHeight="1" x14ac:dyDescent="0.35">
      <c r="A30" s="13" t="str">
        <f>+Parameters!A17</f>
        <v>Damage rate at threshold for catastrophic damages</v>
      </c>
      <c r="B30" s="8">
        <f>+Parameters!B17*Parameters!B20</f>
        <v>0</v>
      </c>
    </row>
    <row r="31" spans="1:124" ht="21" customHeight="1" thickBot="1" x14ac:dyDescent="0.4">
      <c r="A31" s="32" t="s">
        <v>49</v>
      </c>
    </row>
    <row r="32" spans="1:124" ht="21" customHeight="1" thickTop="1" x14ac:dyDescent="0.35">
      <c r="A32" s="13" t="s">
        <v>36</v>
      </c>
      <c r="B32" s="2">
        <f>+B34*B41/$B39/1000</f>
        <v>6.0074995839112348E-2</v>
      </c>
      <c r="C32" s="2">
        <f t="shared" ref="C32:BI32" si="6">+C34*C41/$B39/1000</f>
        <v>5.5716476125948579E-2</v>
      </c>
      <c r="D32" s="2">
        <f t="shared" si="6"/>
        <v>5.1687067072907732E-2</v>
      </c>
      <c r="E32" s="2">
        <f t="shared" si="6"/>
        <v>4.7960969508636458E-2</v>
      </c>
      <c r="F32" s="2">
        <f t="shared" si="6"/>
        <v>4.4514479113862096E-2</v>
      </c>
      <c r="G32" s="2">
        <f t="shared" si="6"/>
        <v>4.1325810583862081E-2</v>
      </c>
      <c r="H32" s="2">
        <f t="shared" si="6"/>
        <v>3.8374937020832646E-2</v>
      </c>
      <c r="I32" s="2">
        <f t="shared" si="6"/>
        <v>3.5643443197204687E-2</v>
      </c>
      <c r="J32" s="2">
        <f t="shared" si="6"/>
        <v>3.311439145569213E-2</v>
      </c>
      <c r="K32" s="2">
        <f t="shared" si="6"/>
        <v>3.0772199124832176E-2</v>
      </c>
      <c r="L32" s="2">
        <f t="shared" si="6"/>
        <v>2.8602526431127418E-2</v>
      </c>
      <c r="M32" s="2">
        <f>+M34*M41/$B39/1000</f>
        <v>2.6592173981650903E-2</v>
      </c>
      <c r="N32" s="2">
        <f t="shared" si="6"/>
        <v>2.4728988975051856E-2</v>
      </c>
      <c r="O32" s="2">
        <f t="shared" si="6"/>
        <v>2.3001779375133119E-2</v>
      </c>
      <c r="P32" s="2">
        <f t="shared" si="6"/>
        <v>2.1400235350313459E-2</v>
      </c>
      <c r="Q32" s="2">
        <f t="shared" si="6"/>
        <v>1.9914857345015261E-2</v>
      </c>
      <c r="R32" s="2">
        <f t="shared" si="6"/>
        <v>1.8536890205941146E-2</v>
      </c>
      <c r="S32" s="2">
        <f t="shared" si="6"/>
        <v>1.7258262837874048E-2</v>
      </c>
      <c r="T32" s="2">
        <f t="shared" si="6"/>
        <v>1.6071532910550385E-2</v>
      </c>
      <c r="U32" s="2">
        <f t="shared" si="6"/>
        <v>1.4969836180765512E-2</v>
      </c>
      <c r="V32" s="2">
        <f t="shared" si="6"/>
        <v>1.3946840032579743E-2</v>
      </c>
      <c r="W32" s="2">
        <f t="shared" si="6"/>
        <v>1.2996700873668398E-2</v>
      </c>
      <c r="X32" s="2">
        <f t="shared" si="6"/>
        <v>1.2114025057832123E-2</v>
      </c>
      <c r="Y32" s="2">
        <f t="shared" si="6"/>
        <v>1.1293833032752996E-2</v>
      </c>
      <c r="Z32" s="2">
        <f t="shared" si="6"/>
        <v>1.0531526438518842E-2</v>
      </c>
      <c r="AA32" s="2">
        <f t="shared" si="6"/>
        <v>9.8228579064871049E-3</v>
      </c>
      <c r="AB32" s="2">
        <f t="shared" si="6"/>
        <v>9.163903329942269E-3</v>
      </c>
      <c r="AC32" s="2">
        <f t="shared" si="6"/>
        <v>8.5510363979175111E-3</v>
      </c>
      <c r="AD32" s="2">
        <f t="shared" si="6"/>
        <v>7.9809052016832499E-3</v>
      </c>
      <c r="AE32" s="2">
        <f t="shared" si="6"/>
        <v>7.4504107399169621E-3</v>
      </c>
      <c r="AF32" s="2">
        <f t="shared" si="6"/>
        <v>6.9566871636085629E-3</v>
      </c>
      <c r="AG32" s="2">
        <f t="shared" si="6"/>
        <v>6.497083615458683E-3</v>
      </c>
      <c r="AH32" s="2">
        <f t="shared" si="6"/>
        <v>6.0691475310152209E-3</v>
      </c>
      <c r="AI32" s="2">
        <f t="shared" si="6"/>
        <v>5.6706092801773935E-3</v>
      </c>
      <c r="AJ32" s="2">
        <f t="shared" si="6"/>
        <v>5.299368038076303E-3</v>
      </c>
      <c r="AK32" s="2">
        <f t="shared" si="6"/>
        <v>4.9534787838078796E-3</v>
      </c>
      <c r="AL32" s="2">
        <f t="shared" si="6"/>
        <v>4.631140334130277E-3</v>
      </c>
      <c r="AM32" s="2">
        <f t="shared" si="6"/>
        <v>4.3306843271184161E-3</v>
      </c>
      <c r="AN32" s="2">
        <f t="shared" si="6"/>
        <v>4.0505650779612068E-3</v>
      </c>
      <c r="AO32" s="2">
        <f t="shared" si="6"/>
        <v>3.7893502356536506E-3</v>
      </c>
      <c r="AP32" s="2">
        <f t="shared" si="6"/>
        <v>3.5457121753327409E-3</v>
      </c>
      <c r="AQ32" s="2">
        <f t="shared" si="6"/>
        <v>3.3184200664834141E-3</v>
      </c>
      <c r="AR32" s="2">
        <f t="shared" si="6"/>
        <v>3.1063325622451266E-3</v>
      </c>
      <c r="AS32" s="2">
        <f t="shared" si="6"/>
        <v>2.9083910596229097E-3</v>
      </c>
      <c r="AT32" s="2">
        <f t="shared" si="6"/>
        <v>2.7236134845870928E-3</v>
      </c>
      <c r="AU32" s="2">
        <f t="shared" si="6"/>
        <v>2.5510885598679588E-3</v>
      </c>
      <c r="AV32" s="2">
        <f t="shared" si="6"/>
        <v>2.3899705167470639E-3</v>
      </c>
      <c r="AW32" s="2">
        <f t="shared" si="6"/>
        <v>2.2394742153443556E-3</v>
      </c>
      <c r="AX32" s="2">
        <f t="shared" si="6"/>
        <v>2.0988706408258074E-3</v>
      </c>
      <c r="AY32" s="2">
        <f t="shared" si="6"/>
        <v>1.9674827456336989E-3</v>
      </c>
      <c r="AZ32" s="2">
        <f t="shared" si="6"/>
        <v>1.8446816102926501E-3</v>
      </c>
      <c r="BA32" s="2">
        <f t="shared" si="6"/>
        <v>1.7298828975886378E-3</v>
      </c>
      <c r="BB32" s="2">
        <f t="shared" si="6"/>
        <v>1.6225435769735177E-3</v>
      </c>
      <c r="BC32" s="2">
        <f t="shared" si="6"/>
        <v>1.5221588979303421E-3</v>
      </c>
      <c r="BD32" s="2">
        <f t="shared" si="6"/>
        <v>1.4282595927598738E-3</v>
      </c>
      <c r="BE32" s="2">
        <f t="shared" si="6"/>
        <v>1.3404092908297566E-3</v>
      </c>
      <c r="BF32" s="2">
        <f t="shared" si="6"/>
        <v>1.2582021277771501E-3</v>
      </c>
      <c r="BG32" s="2">
        <f t="shared" si="6"/>
        <v>1.1812605344845683E-3</v>
      </c>
      <c r="BH32" s="2">
        <f t="shared" si="6"/>
        <v>1.1092331918674599E-3</v>
      </c>
      <c r="BI32" s="2">
        <f t="shared" si="6"/>
        <v>1.041793138630097E-3</v>
      </c>
    </row>
    <row r="33" spans="1:124" ht="21" customHeight="1" x14ac:dyDescent="0.35">
      <c r="A33" s="13" t="s">
        <v>207</v>
      </c>
      <c r="B33" s="8">
        <f>+Parameters!B10</f>
        <v>344</v>
      </c>
    </row>
    <row r="34" spans="1:124" ht="21" customHeight="1" x14ac:dyDescent="0.35">
      <c r="A34" s="13" t="s">
        <v>155</v>
      </c>
      <c r="B34" s="8">
        <f>+B33</f>
        <v>344</v>
      </c>
      <c r="C34" s="2">
        <f>+B34*(1-$B$36)</f>
        <v>335.4</v>
      </c>
      <c r="D34" s="2">
        <f>+C34*(1-$B$36)</f>
        <v>327.01499999999999</v>
      </c>
      <c r="E34" s="2">
        <f>+D34*(1-$B$36)</f>
        <v>318.83962499999996</v>
      </c>
      <c r="F34" s="2">
        <f>+E34*(1-$B$36)</f>
        <v>310.86863437499994</v>
      </c>
      <c r="G34" s="2">
        <f>+F34*(1-$B$36)</f>
        <v>303.09691851562496</v>
      </c>
      <c r="H34" s="2">
        <f t="shared" ref="H34:BI34" si="7">+G34*(1-$B$36)</f>
        <v>295.51949555273433</v>
      </c>
      <c r="I34" s="2">
        <f t="shared" si="7"/>
        <v>288.13150816391595</v>
      </c>
      <c r="J34" s="2">
        <f t="shared" si="7"/>
        <v>280.92822045981802</v>
      </c>
      <c r="K34" s="2">
        <f t="shared" si="7"/>
        <v>273.90501494832256</v>
      </c>
      <c r="L34" s="2">
        <f t="shared" si="7"/>
        <v>267.05738957461449</v>
      </c>
      <c r="M34" s="2">
        <f>+L34*(1-$B$36)</f>
        <v>260.3809548352491</v>
      </c>
      <c r="N34" s="2">
        <f t="shared" si="7"/>
        <v>253.87143096436787</v>
      </c>
      <c r="O34" s="2">
        <f t="shared" si="7"/>
        <v>247.52464519025867</v>
      </c>
      <c r="P34" s="2">
        <f t="shared" si="7"/>
        <v>241.33652906050219</v>
      </c>
      <c r="Q34" s="2">
        <f t="shared" si="7"/>
        <v>235.30311583398964</v>
      </c>
      <c r="R34" s="2">
        <f t="shared" si="7"/>
        <v>229.42053793813989</v>
      </c>
      <c r="S34" s="2">
        <f t="shared" si="7"/>
        <v>223.68502448968638</v>
      </c>
      <c r="T34" s="2">
        <f t="shared" si="7"/>
        <v>218.09289887744421</v>
      </c>
      <c r="U34" s="2">
        <f t="shared" si="7"/>
        <v>212.64057640550811</v>
      </c>
      <c r="V34" s="2">
        <f t="shared" si="7"/>
        <v>207.3245619953704</v>
      </c>
      <c r="W34" s="2">
        <f t="shared" si="7"/>
        <v>202.14144794548614</v>
      </c>
      <c r="X34" s="2">
        <f t="shared" si="7"/>
        <v>197.08791174684899</v>
      </c>
      <c r="Y34" s="2">
        <f t="shared" si="7"/>
        <v>192.16071395317775</v>
      </c>
      <c r="Z34" s="2">
        <f t="shared" si="7"/>
        <v>187.35669610434829</v>
      </c>
      <c r="AA34" s="2">
        <f t="shared" si="7"/>
        <v>182.67277870173959</v>
      </c>
      <c r="AB34" s="2">
        <f t="shared" si="7"/>
        <v>178.10595923419609</v>
      </c>
      <c r="AC34" s="2">
        <f t="shared" si="7"/>
        <v>173.65331025334117</v>
      </c>
      <c r="AD34" s="2">
        <f t="shared" si="7"/>
        <v>169.31197749700763</v>
      </c>
      <c r="AE34" s="2">
        <f t="shared" si="7"/>
        <v>165.07917805958243</v>
      </c>
      <c r="AF34" s="2">
        <f t="shared" si="7"/>
        <v>160.95219860809286</v>
      </c>
      <c r="AG34" s="2">
        <f t="shared" si="7"/>
        <v>156.92839364289054</v>
      </c>
      <c r="AH34" s="2">
        <f t="shared" si="7"/>
        <v>153.00518380181828</v>
      </c>
      <c r="AI34" s="2">
        <f t="shared" si="7"/>
        <v>149.18005420677281</v>
      </c>
      <c r="AJ34" s="2">
        <f t="shared" si="7"/>
        <v>145.45055285160348</v>
      </c>
      <c r="AK34" s="2">
        <f t="shared" si="7"/>
        <v>141.81428903031338</v>
      </c>
      <c r="AL34" s="2">
        <f t="shared" si="7"/>
        <v>138.26893180455554</v>
      </c>
      <c r="AM34" s="2">
        <f t="shared" si="7"/>
        <v>134.81220850944163</v>
      </c>
      <c r="AN34" s="2">
        <f t="shared" si="7"/>
        <v>131.44190329670559</v>
      </c>
      <c r="AO34" s="2">
        <f t="shared" si="7"/>
        <v>128.15585571428795</v>
      </c>
      <c r="AP34" s="2">
        <f t="shared" si="7"/>
        <v>124.95195932143075</v>
      </c>
      <c r="AQ34" s="2">
        <f t="shared" si="7"/>
        <v>121.82816033839498</v>
      </c>
      <c r="AR34" s="2">
        <f t="shared" si="7"/>
        <v>118.7824563299351</v>
      </c>
      <c r="AS34" s="2">
        <f t="shared" si="7"/>
        <v>115.81289492168672</v>
      </c>
      <c r="AT34" s="2">
        <f t="shared" si="7"/>
        <v>112.91757254864454</v>
      </c>
      <c r="AU34" s="2">
        <f t="shared" si="7"/>
        <v>110.09463323492842</v>
      </c>
      <c r="AV34" s="2">
        <f t="shared" si="7"/>
        <v>107.34226740405521</v>
      </c>
      <c r="AW34" s="2">
        <f t="shared" si="7"/>
        <v>104.65871071895383</v>
      </c>
      <c r="AX34" s="2">
        <f t="shared" si="7"/>
        <v>102.04224295097998</v>
      </c>
      <c r="AY34" s="2">
        <f t="shared" si="7"/>
        <v>99.491186877205479</v>
      </c>
      <c r="AZ34" s="2">
        <f t="shared" si="7"/>
        <v>97.00390720527534</v>
      </c>
      <c r="BA34" s="2">
        <f t="shared" si="7"/>
        <v>94.578809525143456</v>
      </c>
      <c r="BB34" s="2">
        <f t="shared" si="7"/>
        <v>92.214339287014866</v>
      </c>
      <c r="BC34" s="2">
        <f t="shared" si="7"/>
        <v>89.908980804839487</v>
      </c>
      <c r="BD34" s="2">
        <f t="shared" si="7"/>
        <v>87.661256284718505</v>
      </c>
      <c r="BE34" s="2">
        <f t="shared" si="7"/>
        <v>85.469724877600541</v>
      </c>
      <c r="BF34" s="2">
        <f t="shared" si="7"/>
        <v>83.332981755660526</v>
      </c>
      <c r="BG34" s="2">
        <f t="shared" si="7"/>
        <v>81.249657211769005</v>
      </c>
      <c r="BH34" s="2">
        <f t="shared" si="7"/>
        <v>79.218415781474775</v>
      </c>
      <c r="BI34" s="2">
        <f t="shared" si="7"/>
        <v>77.237955386937898</v>
      </c>
    </row>
    <row r="35" spans="1:124" ht="21" customHeight="1" x14ac:dyDescent="0.35">
      <c r="A35" s="13" t="s">
        <v>208</v>
      </c>
      <c r="B35" s="8">
        <v>0</v>
      </c>
      <c r="D35" s="2">
        <f>+D34/C34</f>
        <v>0.97499999999999998</v>
      </c>
      <c r="E35" s="2">
        <f t="shared" ref="E35:AC35" si="8">+E34/D34</f>
        <v>0.97499999999999987</v>
      </c>
      <c r="F35" s="2">
        <f t="shared" si="8"/>
        <v>0.97499999999999998</v>
      </c>
      <c r="G35" s="2">
        <f t="shared" si="8"/>
        <v>0.97500000000000009</v>
      </c>
      <c r="H35" s="2">
        <f t="shared" si="8"/>
        <v>0.97499999999999998</v>
      </c>
      <c r="I35" s="2">
        <f t="shared" si="8"/>
        <v>0.97499999999999998</v>
      </c>
      <c r="J35" s="2">
        <f t="shared" si="8"/>
        <v>0.97499999999999987</v>
      </c>
      <c r="K35" s="2">
        <f t="shared" si="8"/>
        <v>0.97499999999999998</v>
      </c>
      <c r="L35" s="2">
        <f t="shared" si="8"/>
        <v>0.97499999999999998</v>
      </c>
      <c r="M35" s="2">
        <f t="shared" si="8"/>
        <v>0.97499999999999987</v>
      </c>
      <c r="N35" s="2">
        <f t="shared" si="8"/>
        <v>0.97499999999999998</v>
      </c>
      <c r="O35" s="2">
        <f t="shared" si="8"/>
        <v>0.97499999999999998</v>
      </c>
      <c r="P35" s="2">
        <f t="shared" si="8"/>
        <v>0.97499999999999998</v>
      </c>
      <c r="Q35" s="2">
        <f t="shared" si="8"/>
        <v>0.97499999999999998</v>
      </c>
      <c r="R35" s="2">
        <f t="shared" si="8"/>
        <v>0.97499999999999998</v>
      </c>
      <c r="S35" s="2">
        <f t="shared" si="8"/>
        <v>0.97499999999999998</v>
      </c>
      <c r="T35" s="2">
        <f t="shared" si="8"/>
        <v>0.97499999999999998</v>
      </c>
      <c r="U35" s="2">
        <f t="shared" si="8"/>
        <v>0.97499999999999998</v>
      </c>
      <c r="V35" s="2">
        <f t="shared" si="8"/>
        <v>0.97499999999999998</v>
      </c>
      <c r="W35" s="2">
        <f t="shared" si="8"/>
        <v>0.97499999999999998</v>
      </c>
      <c r="X35" s="2">
        <f t="shared" si="8"/>
        <v>0.97499999999999998</v>
      </c>
      <c r="Y35" s="2">
        <f t="shared" si="8"/>
        <v>0.97499999999999987</v>
      </c>
      <c r="Z35" s="2">
        <f t="shared" si="8"/>
        <v>0.97499999999999987</v>
      </c>
      <c r="AA35" s="2">
        <f t="shared" si="8"/>
        <v>0.97500000000000009</v>
      </c>
      <c r="AB35" s="2">
        <f t="shared" si="8"/>
        <v>0.97499999999999998</v>
      </c>
      <c r="AC35" s="2">
        <f t="shared" si="8"/>
        <v>0.97499999999999987</v>
      </c>
    </row>
    <row r="36" spans="1:124" ht="21" customHeight="1" x14ac:dyDescent="0.35">
      <c r="A36" s="13" t="s">
        <v>209</v>
      </c>
      <c r="B36" s="8">
        <f>+Parameters!B26</f>
        <v>2.5000000000000001E-2</v>
      </c>
    </row>
    <row r="37" spans="1:124" ht="21" customHeight="1" x14ac:dyDescent="0.35">
      <c r="A37" s="13" t="s">
        <v>43</v>
      </c>
      <c r="B37" s="8">
        <f>+Parameters!B42</f>
        <v>1</v>
      </c>
    </row>
    <row r="38" spans="1:124" ht="28.25" customHeight="1" x14ac:dyDescent="0.35">
      <c r="A38" s="13" t="s">
        <v>161</v>
      </c>
      <c r="B38" s="8">
        <f>+Parameters!B12</f>
        <v>2250</v>
      </c>
    </row>
    <row r="39" spans="1:124" ht="21" customHeight="1" x14ac:dyDescent="0.35">
      <c r="A39" s="13" t="s">
        <v>37</v>
      </c>
      <c r="B39" s="8">
        <f>+Parameters!B11</f>
        <v>2.8</v>
      </c>
    </row>
    <row r="40" spans="1:124" ht="21" customHeight="1" thickBot="1" x14ac:dyDescent="0.4">
      <c r="A40" s="32" t="s">
        <v>38</v>
      </c>
    </row>
    <row r="41" spans="1:124" ht="24" customHeight="1" thickTop="1" x14ac:dyDescent="0.35">
      <c r="A41" s="13" t="s">
        <v>210</v>
      </c>
      <c r="B41" s="8">
        <f>+B42</f>
        <v>0.48898252427184469</v>
      </c>
      <c r="C41" s="2">
        <f t="shared" ref="C41:AH41" si="9">+B41*EXP(C43*(C2-B2))</f>
        <v>0.46513456515401325</v>
      </c>
      <c r="D41" s="2">
        <f t="shared" si="9"/>
        <v>0.44256008991679779</v>
      </c>
      <c r="E41" s="2">
        <f t="shared" si="9"/>
        <v>0.42118577521279577</v>
      </c>
      <c r="F41" s="2">
        <f t="shared" si="9"/>
        <v>0.40094280263881599</v>
      </c>
      <c r="G41" s="2">
        <f t="shared" si="9"/>
        <v>0.38176656563022343</v>
      </c>
      <c r="H41" s="2">
        <f t="shared" si="9"/>
        <v>0.36359639643184688</v>
      </c>
      <c r="I41" s="2">
        <f t="shared" si="9"/>
        <v>0.3463753117045314</v>
      </c>
      <c r="J41" s="2">
        <f t="shared" si="9"/>
        <v>0.33004977543436226</v>
      </c>
      <c r="K41" s="2">
        <f t="shared" si="9"/>
        <v>0.31456947791111545</v>
      </c>
      <c r="L41" s="2">
        <f t="shared" si="9"/>
        <v>0.29988712963428726</v>
      </c>
      <c r="M41" s="2">
        <f>+L41*EXP(M43*(M2-L2))</f>
        <v>0.28595826908974353</v>
      </c>
      <c r="N41" s="2">
        <f t="shared" si="9"/>
        <v>0.27274108341817926</v>
      </c>
      <c r="O41" s="2">
        <f t="shared" si="9"/>
        <v>0.26019624106871514</v>
      </c>
      <c r="P41" s="2">
        <f t="shared" si="9"/>
        <v>0.24828673559755968</v>
      </c>
      <c r="Q41" s="2">
        <f t="shared" si="9"/>
        <v>0.23697773983317538</v>
      </c>
      <c r="R41" s="2">
        <f t="shared" si="9"/>
        <v>0.22623646968620664</v>
      </c>
      <c r="S41" s="2">
        <f t="shared" si="9"/>
        <v>0.21603205693493088</v>
      </c>
      <c r="T41" s="2">
        <f t="shared" si="9"/>
        <v>0.20633543036551905</v>
      </c>
      <c r="U41" s="2">
        <f t="shared" si="9"/>
        <v>0.19711920469125327</v>
      </c>
      <c r="V41" s="2">
        <f t="shared" si="9"/>
        <v>0.18835757671633377</v>
      </c>
      <c r="W41" s="2">
        <f t="shared" si="9"/>
        <v>0.1800262282482781</v>
      </c>
      <c r="X41" s="2">
        <f t="shared" si="9"/>
        <v>0.17210223529841748</v>
      </c>
      <c r="Y41" s="2">
        <f t="shared" si="9"/>
        <v>0.16456398314284804</v>
      </c>
      <c r="Z41" s="2">
        <f t="shared" si="9"/>
        <v>0.15739108684660658</v>
      </c>
      <c r="AA41" s="2">
        <f t="shared" si="9"/>
        <v>0.15056431688199842</v>
      </c>
      <c r="AB41" s="2">
        <f t="shared" si="9"/>
        <v>0.14406552949808246</v>
      </c>
      <c r="AC41" s="2">
        <f t="shared" si="9"/>
        <v>0.13787760152247575</v>
      </c>
      <c r="AD41" s="2">
        <f t="shared" si="9"/>
        <v>0.13198436929902402</v>
      </c>
      <c r="AE41" s="2">
        <f t="shared" si="9"/>
        <v>0.12637057148562994</v>
      </c>
      <c r="AF41" s="2">
        <f t="shared" si="9"/>
        <v>0.12102179545576312</v>
      </c>
      <c r="AG41" s="2">
        <f t="shared" si="9"/>
        <v>0.11592442706500916</v>
      </c>
      <c r="AH41" s="2">
        <f t="shared" si="9"/>
        <v>0.11106560356055512</v>
      </c>
      <c r="AI41" s="2">
        <f t="shared" ref="AI41:BI41" si="10">+AH41*EXP(AI43*(AI2-AH2))</f>
        <v>0.10643316942685391</v>
      </c>
      <c r="AJ41" s="2">
        <f t="shared" si="10"/>
        <v>0.10201563497494859</v>
      </c>
      <c r="AK41" s="2">
        <f t="shared" si="10"/>
        <v>9.7802137496154212E-2</v>
      </c>
      <c r="AL41" s="2">
        <f t="shared" si="10"/>
        <v>9.3782404813064046E-2</v>
      </c>
      <c r="AM41" s="2">
        <f t="shared" si="10"/>
        <v>8.9946721072241179E-2</v>
      </c>
      <c r="AN41" s="2">
        <f t="shared" si="10"/>
        <v>8.628589463353914E-2</v>
      </c>
      <c r="AO41" s="2">
        <f t="shared" si="10"/>
        <v>8.2791227920826896E-2</v>
      </c>
      <c r="AP41" s="2">
        <f t="shared" si="10"/>
        <v>7.9454489108030366E-2</v>
      </c>
      <c r="AQ41" s="2">
        <f t="shared" si="10"/>
        <v>7.6267885522894624E-2</v>
      </c>
      <c r="AR41" s="2">
        <f t="shared" si="10"/>
        <v>7.3224038658766005E-2</v>
      </c>
      <c r="AS41" s="2">
        <f t="shared" si="10"/>
        <v>7.031596069203537E-2</v>
      </c>
      <c r="AT41" s="2">
        <f t="shared" si="10"/>
        <v>6.7537032409712414E-2</v>
      </c>
      <c r="AU41" s="2">
        <f t="shared" si="10"/>
        <v>6.4880982457954123E-2</v>
      </c>
      <c r="AV41" s="2">
        <f t="shared" si="10"/>
        <v>6.2341867828282604E-2</v>
      </c>
      <c r="AW41" s="2">
        <f t="shared" si="10"/>
        <v>5.991405550372976E-2</v>
      </c>
      <c r="AX41" s="2">
        <f t="shared" si="10"/>
        <v>5.7592205192269555E-2</v>
      </c>
      <c r="AY41" s="2">
        <f t="shared" si="10"/>
        <v>5.5371253079668684E-2</v>
      </c>
      <c r="AZ41" s="2">
        <f t="shared" si="10"/>
        <v>5.3246396538329618E-2</v>
      </c>
      <c r="BA41" s="2">
        <f t="shared" si="10"/>
        <v>5.1213079732839228E-2</v>
      </c>
      <c r="BB41" s="2">
        <f t="shared" si="10"/>
        <v>4.9266980066793017E-2</v>
      </c>
      <c r="BC41" s="2">
        <f t="shared" si="10"/>
        <v>4.7403995419059923E-2</v>
      </c>
      <c r="BD41" s="2">
        <f t="shared" si="10"/>
        <v>4.5620232121003627E-2</v>
      </c>
      <c r="BE41" s="2">
        <f t="shared" si="10"/>
        <v>4.3911993629301163E-2</v>
      </c>
      <c r="BF41" s="2">
        <f t="shared" si="10"/>
        <v>4.22757698519136E-2</v>
      </c>
      <c r="BG41" s="2">
        <f t="shared" si="10"/>
        <v>4.0708227087482361E-2</v>
      </c>
      <c r="BH41" s="2">
        <f t="shared" si="10"/>
        <v>3.9206198540960864E-2</v>
      </c>
      <c r="BI41" s="2">
        <f t="shared" si="10"/>
        <v>3.776667538065856E-2</v>
      </c>
    </row>
    <row r="42" spans="1:124" ht="21" customHeight="1" x14ac:dyDescent="0.35">
      <c r="A42" s="13" t="s">
        <v>211</v>
      </c>
      <c r="B42" s="8">
        <f>+Parameters!C53</f>
        <v>0.48898252427184469</v>
      </c>
      <c r="C42" s="8"/>
    </row>
    <row r="43" spans="1:124" ht="21" customHeight="1" x14ac:dyDescent="0.35">
      <c r="A43" s="13" t="s">
        <v>212</v>
      </c>
      <c r="B43" s="2"/>
      <c r="C43" s="2">
        <f>+Parameters!B15</f>
        <v>-0.01</v>
      </c>
      <c r="D43" s="2">
        <f>+C43*(1+Parameters!$B$57)^5</f>
        <v>-9.9500999000499898E-3</v>
      </c>
      <c r="E43" s="2">
        <f>+D43*(1+Parameters!$B$57)^5</f>
        <v>-9.9004488020974814E-3</v>
      </c>
      <c r="F43" s="2">
        <f>+E43*(1+Parameters!$B$57)^5</f>
        <v>-9.8510454636200201E-3</v>
      </c>
      <c r="G43" s="2">
        <f>+F43*(1+Parameters!$B$57)^5</f>
        <v>-9.8018886482953479E-3</v>
      </c>
      <c r="H43" s="2">
        <f>+G43*(1+Parameters!$B$57)^5</f>
        <v>-9.7529771259704679E-3</v>
      </c>
      <c r="I43" s="2">
        <f>+H43*(1+Parameters!$B$57)^5</f>
        <v>-9.7043096726308585E-3</v>
      </c>
      <c r="J43" s="2">
        <f>+I43*(1+Parameters!$B$57)^5</f>
        <v>-9.6558850703698466E-3</v>
      </c>
      <c r="K43" s="2">
        <f>+J43*(1+Parameters!$B$57)^5</f>
        <v>-9.6077021073581199E-3</v>
      </c>
      <c r="L43" s="2">
        <f>+K43*(1+Parameters!$B$57)^5</f>
        <v>-9.559759577813411E-3</v>
      </c>
      <c r="M43" s="2">
        <f>+L43*(1+Parameters!$B$57)^5</f>
        <v>-9.5120562819703148E-3</v>
      </c>
      <c r="N43" s="2">
        <f>+M43*(1+Parameters!$B$57)^5</f>
        <v>-9.4645910260502709E-3</v>
      </c>
      <c r="O43" s="2">
        <f>+N43*(1+Parameters!$B$57)^5</f>
        <v>-9.4173626222316831E-3</v>
      </c>
      <c r="P43" s="2">
        <f>+O43*(1+Parameters!$B$57)^5</f>
        <v>-9.3703698886201982E-3</v>
      </c>
      <c r="Q43" s="2">
        <f>+P43*(1+Parameters!$B$57)^5</f>
        <v>-9.3236116492191271E-3</v>
      </c>
      <c r="R43" s="2">
        <f>+Q43*(1+Parameters!$B$57)^5</f>
        <v>-9.2770867339000158E-3</v>
      </c>
      <c r="S43" s="2">
        <f>+R43*(1+Parameters!$B$57)^5</f>
        <v>-9.2307939783733643E-3</v>
      </c>
      <c r="T43" s="2">
        <f>+S43*(1+Parameters!$B$57)^5</f>
        <v>-9.1847322241594854E-3</v>
      </c>
      <c r="U43" s="2">
        <f>+T43*(1+Parameters!$B$57)^5</f>
        <v>-9.1389003185595227E-3</v>
      </c>
      <c r="V43" s="2">
        <f>+U43*(1+Parameters!$B$57)^5</f>
        <v>-9.0932971146265931E-3</v>
      </c>
      <c r="W43" s="2">
        <f>+V43*(1+Parameters!$B$57)^5</f>
        <v>-9.0479214711370933E-3</v>
      </c>
      <c r="X43" s="2">
        <f>+W43*(1+Parameters!$B$57)^5</f>
        <v>-9.0027722525621353E-3</v>
      </c>
      <c r="Y43" s="2">
        <f>+X43*(1+Parameters!$B$57)^5</f>
        <v>-8.9578483290391319E-3</v>
      </c>
      <c r="Z43" s="2">
        <f>+Y43*(1+Parameters!$B$57)^5</f>
        <v>-8.9131485763435242E-3</v>
      </c>
      <c r="AA43" s="2">
        <f>+Z43*(1+Parameters!$B$57)^5</f>
        <v>-8.8686718758606408E-3</v>
      </c>
      <c r="AB43" s="2">
        <f>+AA43*(1+Parameters!$B$57)^5</f>
        <v>-8.8244171145577116E-3</v>
      </c>
      <c r="AC43" s="2">
        <f>+AB43*(1+Parameters!$B$57)^5</f>
        <v>-8.7803831849560116E-3</v>
      </c>
      <c r="AD43" s="2">
        <f>+AC43*(1+Parameters!$B$57)^5</f>
        <v>-8.7365689851031433E-3</v>
      </c>
      <c r="AE43" s="2">
        <f>+AD43*(1+Parameters!$B$57)^5</f>
        <v>-8.6929734185454636E-3</v>
      </c>
      <c r="AF43" s="2">
        <f>+AE43*(1+Parameters!$B$57)^5</f>
        <v>-8.6495953943006437E-3</v>
      </c>
      <c r="AG43" s="2">
        <f>+AF43*(1+Parameters!$B$57)^5</f>
        <v>-8.6064338268303682E-3</v>
      </c>
      <c r="AH43" s="2">
        <f>+AG43*(1+Parameters!$B$57)^5</f>
        <v>-8.5634876360131708E-3</v>
      </c>
      <c r="AI43" s="2">
        <f>+AH43*(1+Parameters!$B$57)^5</f>
        <v>-8.5207557471173971E-3</v>
      </c>
      <c r="AJ43" s="2">
        <f>+AI43*(1+Parameters!$B$57)^5</f>
        <v>-8.4782370907743199E-3</v>
      </c>
      <c r="AK43" s="2">
        <f>+AJ43*(1+Parameters!$B$57)^5</f>
        <v>-8.4359306029513671E-3</v>
      </c>
      <c r="AL43" s="2">
        <f>+AK43*(1+Parameters!$B$57)^5</f>
        <v>-8.3938352249255058E-3</v>
      </c>
      <c r="AM43" s="2">
        <f>+AL43*(1+Parameters!$B$57)^5</f>
        <v>-8.3519499032567359E-3</v>
      </c>
      <c r="AN43" s="2">
        <f>+AM43*(1+Parameters!$B$57)^5</f>
        <v>-8.3102735897617377E-3</v>
      </c>
      <c r="AO43" s="2">
        <f>+AN43*(1+Parameters!$B$57)^5</f>
        <v>-8.2688052414876343E-3</v>
      </c>
      <c r="AP43" s="2">
        <f>+AO43*(1+Parameters!$B$57)^5</f>
        <v>-8.2275438206858946E-3</v>
      </c>
      <c r="AQ43" s="2">
        <f>+AP43*(1+Parameters!$B$57)^5</f>
        <v>-8.1864882947863642E-3</v>
      </c>
      <c r="AR43" s="2">
        <f>+AQ43*(1+Parameters!$B$57)^5</f>
        <v>-8.1456376363714215E-3</v>
      </c>
      <c r="AS43" s="2">
        <f>+AR43*(1+Parameters!$B$57)^5</f>
        <v>-8.1049908231502713E-3</v>
      </c>
      <c r="AT43" s="2">
        <f>+AS43*(1+Parameters!$B$57)^5</f>
        <v>-8.0645468379333604E-3</v>
      </c>
      <c r="AU43" s="2">
        <f>+AT43*(1+Parameters!$B$57)^5</f>
        <v>-8.0243046686069193E-3</v>
      </c>
      <c r="AV43" s="2">
        <f>+AU43*(1+Parameters!$B$57)^5</f>
        <v>-7.9842633081076385E-3</v>
      </c>
      <c r="AW43" s="2">
        <f>+AV43*(1+Parameters!$B$57)^5</f>
        <v>-7.9444217543974613E-3</v>
      </c>
      <c r="AX43" s="2">
        <f>+AW43*(1+Parameters!$B$57)^5</f>
        <v>-7.9047790104385153E-3</v>
      </c>
      <c r="AY43" s="2">
        <f>+AX43*(1+Parameters!$B$57)^5</f>
        <v>-7.8653340841681532E-3</v>
      </c>
      <c r="AZ43" s="2">
        <f>+AY43*(1+Parameters!$B$57)^5</f>
        <v>-7.8260859884741324E-3</v>
      </c>
      <c r="BA43" s="2">
        <f>+AZ43*(1+Parameters!$B$57)^5</f>
        <v>-7.7870337411699089E-3</v>
      </c>
      <c r="BB43" s="2">
        <f>+BA43*(1+Parameters!$B$57)^5</f>
        <v>-7.748176364970061E-3</v>
      </c>
      <c r="BC43" s="2">
        <f>+BB43*(1+Parameters!$B$57)^5</f>
        <v>-7.70951288746583E-3</v>
      </c>
      <c r="BD43" s="2">
        <f>+BC43*(1+Parameters!$B$57)^5</f>
        <v>-7.6710423411007868E-3</v>
      </c>
      <c r="BE43" s="2">
        <f>+BD43*(1+Parameters!$B$57)^5</f>
        <v>-7.6327637631466178E-3</v>
      </c>
      <c r="BF43" s="2">
        <f>+BE43*(1+Parameters!$B$57)^5</f>
        <v>-7.5946761956790345E-3</v>
      </c>
      <c r="BG43" s="2">
        <f>+BF43*(1+Parameters!$B$57)^5</f>
        <v>-7.5567786855537996E-3</v>
      </c>
      <c r="BH43" s="2">
        <f>+BG43*(1+Parameters!$B$57)^5</f>
        <v>-7.5190702843828758E-3</v>
      </c>
      <c r="BI43" s="2">
        <f>+BH43*(1+Parameters!$B$57)^5</f>
        <v>-7.4815500485106903E-3</v>
      </c>
    </row>
    <row r="44" spans="1:124" ht="21" customHeight="1" x14ac:dyDescent="0.35">
      <c r="A44" s="13" t="s">
        <v>164</v>
      </c>
      <c r="B44" s="8">
        <f>+B45</f>
        <v>1.53972</v>
      </c>
      <c r="C44" s="2">
        <f>+B44*(1-Parameters!$C$55)</f>
        <v>1.231776</v>
      </c>
      <c r="D44" s="2">
        <f>+C44*(1-Parameters!$C$55)</f>
        <v>0.98542079999999999</v>
      </c>
      <c r="E44" s="2">
        <f>+D44*(1-Parameters!$C$55)</f>
        <v>0.78833664000000003</v>
      </c>
      <c r="F44" s="2">
        <f>+E44*(1-Parameters!$C$55)</f>
        <v>0.63066931200000009</v>
      </c>
      <c r="G44" s="2">
        <f>+F44*(1-Parameters!$C$55)</f>
        <v>0.50453544960000007</v>
      </c>
      <c r="H44" s="2">
        <f>+G44*(1-Parameters!$C$55)</f>
        <v>0.4036283596800001</v>
      </c>
      <c r="I44" s="2">
        <f>+H44*(1-Parameters!$C$55)</f>
        <v>0.32290268774400011</v>
      </c>
      <c r="J44" s="2">
        <f>+I44*(1-Parameters!$C$55)</f>
        <v>0.25832215019520011</v>
      </c>
      <c r="K44" s="2">
        <f>+J44*(1-Parameters!$C$55)</f>
        <v>0.2066577201561601</v>
      </c>
      <c r="L44" s="2">
        <f>+K44*(1-Parameters!$C$55)</f>
        <v>0.16532617612492809</v>
      </c>
      <c r="M44" s="2">
        <f>+L44*(1-Parameters!$C$55)</f>
        <v>0.13226094089994248</v>
      </c>
      <c r="N44" s="2">
        <f>+M44*(1-Parameters!$C$55)</f>
        <v>0.10580875271995399</v>
      </c>
      <c r="O44" s="2">
        <f>+N44*(1-Parameters!$C$55)</f>
        <v>8.4647002175963201E-2</v>
      </c>
      <c r="P44" s="2">
        <f>+O44*(1-Parameters!$C$55)</f>
        <v>6.7717601740770558E-2</v>
      </c>
      <c r="Q44" s="2">
        <f>+P44*(1-Parameters!$C$55)</f>
        <v>5.4174081392616452E-2</v>
      </c>
      <c r="R44" s="2">
        <f>+Q44*(1-Parameters!$C$55)</f>
        <v>4.3339265114093167E-2</v>
      </c>
      <c r="S44" s="2">
        <f>+R44*(1-Parameters!$C$55)</f>
        <v>3.4671412091274535E-2</v>
      </c>
      <c r="T44" s="2">
        <f>+S44*(1-Parameters!$C$55)</f>
        <v>2.7737129673019629E-2</v>
      </c>
      <c r="U44" s="2">
        <f>+T44*(1-Parameters!$C$55)</f>
        <v>2.2189703738415705E-2</v>
      </c>
      <c r="V44" s="2">
        <f>+U44*(1-Parameters!$C$55)</f>
        <v>1.7751762990732566E-2</v>
      </c>
      <c r="W44" s="2">
        <f>+V44*(1-Parameters!$C$55)</f>
        <v>1.4201410392586053E-2</v>
      </c>
      <c r="X44" s="2">
        <f>+W44*(1-Parameters!$C$55)</f>
        <v>1.1361128314068844E-2</v>
      </c>
      <c r="Y44" s="2">
        <f>+X44*(1-Parameters!$C$55)</f>
        <v>9.0889026512550753E-3</v>
      </c>
      <c r="Z44" s="2">
        <f>+Y44*(1-Parameters!$C$55)</f>
        <v>7.2711221210040606E-3</v>
      </c>
      <c r="AA44" s="2">
        <f>+Z44*(1-Parameters!$C$55)</f>
        <v>5.8168976968032485E-3</v>
      </c>
      <c r="AB44" s="2">
        <f>+AA44*(1-Parameters!$C$55)</f>
        <v>4.6535181574425986E-3</v>
      </c>
      <c r="AC44" s="2">
        <f>+AB44*(1-Parameters!$C$55)</f>
        <v>3.722814525954079E-3</v>
      </c>
      <c r="AD44" s="2">
        <f>+AC44*(1-Parameters!$C$55)</f>
        <v>2.9782516207632632E-3</v>
      </c>
      <c r="AE44" s="2">
        <f>+AD44*(1-Parameters!$C$55)</f>
        <v>2.3826012966106109E-3</v>
      </c>
      <c r="AF44" s="2">
        <f>+AE44*(1-Parameters!$C$55)</f>
        <v>1.9060810372884887E-3</v>
      </c>
      <c r="AG44" s="2">
        <f>+AF44*(1-Parameters!$C$55)</f>
        <v>1.524864829830791E-3</v>
      </c>
      <c r="AH44" s="2">
        <f>+AG44*(1-Parameters!$C$55)</f>
        <v>1.2198918638646329E-3</v>
      </c>
      <c r="AI44" s="2">
        <f>+AH44*(1-Parameters!$C$55)</f>
        <v>9.7591349109170638E-4</v>
      </c>
      <c r="AJ44" s="2">
        <f>+AI44*(1-Parameters!$C$55)</f>
        <v>7.8073079287336515E-4</v>
      </c>
      <c r="AK44" s="2">
        <f>+AJ44*(1-Parameters!$C$55)</f>
        <v>6.2458463429869221E-4</v>
      </c>
      <c r="AL44" s="2">
        <f>+AK44*(1-Parameters!$C$55)</f>
        <v>4.9966770743895374E-4</v>
      </c>
      <c r="AM44" s="2">
        <f>+AL44*(1-Parameters!$C$55)</f>
        <v>3.9973416595116303E-4</v>
      </c>
      <c r="AN44" s="2">
        <f>+AM44*(1-Parameters!$C$55)</f>
        <v>3.1978733276093044E-4</v>
      </c>
      <c r="AO44" s="2">
        <f>+AN44*(1-Parameters!$C$55)</f>
        <v>2.5582986620874439E-4</v>
      </c>
      <c r="AP44" s="2">
        <f>+AO44*(1-Parameters!$C$55)</f>
        <v>2.0466389296699552E-4</v>
      </c>
      <c r="AQ44" s="2">
        <f>+AP44*(1-Parameters!$C$55)</f>
        <v>1.6373111437359642E-4</v>
      </c>
      <c r="AR44" s="2">
        <f>+AQ44*(1-Parameters!$C$55)</f>
        <v>1.3098489149887714E-4</v>
      </c>
      <c r="AS44" s="2">
        <f>+AR44*(1-Parameters!$C$55)</f>
        <v>1.0478791319910172E-4</v>
      </c>
      <c r="AT44" s="2">
        <f>+AS44*(1-Parameters!$C$55)</f>
        <v>8.3830330559281379E-5</v>
      </c>
      <c r="AU44" s="2">
        <f>+AT44*(1-Parameters!$C$55)</f>
        <v>6.7064264447425106E-5</v>
      </c>
      <c r="AV44" s="2">
        <f>+AU44*(1-Parameters!$C$55)</f>
        <v>5.365141155794009E-5</v>
      </c>
      <c r="AW44" s="2">
        <f>+AV44*(1-Parameters!$C$55)</f>
        <v>4.2921129246352076E-5</v>
      </c>
      <c r="AX44" s="2">
        <f>+AW44*(1-Parameters!$C$55)</f>
        <v>3.4336903397081661E-5</v>
      </c>
      <c r="AY44" s="2">
        <f>+AX44*(1-Parameters!$C$55)</f>
        <v>2.7469522717665329E-5</v>
      </c>
      <c r="AZ44" s="2">
        <f>+AY44*(1-Parameters!$C$55)</f>
        <v>2.1975618174132264E-5</v>
      </c>
      <c r="BA44" s="2">
        <f>+AZ44*(1-Parameters!$C$55)</f>
        <v>1.7580494539305812E-5</v>
      </c>
      <c r="BB44" s="2">
        <f>+BA44*(1-Parameters!$C$55)</f>
        <v>1.4064395631444651E-5</v>
      </c>
      <c r="BC44" s="2">
        <f>+BB44*(1-Parameters!$C$55)</f>
        <v>1.1251516505155721E-5</v>
      </c>
      <c r="BD44" s="2">
        <f>+BC44*(1-Parameters!$C$55)</f>
        <v>9.0012132041245777E-6</v>
      </c>
      <c r="BE44" s="2">
        <f>+BD44*(1-Parameters!$C$55)</f>
        <v>7.2009705632996627E-6</v>
      </c>
      <c r="BF44" s="2">
        <f>+BE44*(1-Parameters!$C$55)</f>
        <v>5.7607764506397308E-6</v>
      </c>
      <c r="BG44" s="2">
        <f>+BF44*(1-Parameters!$C$55)</f>
        <v>4.6086211605117848E-6</v>
      </c>
      <c r="BH44" s="2">
        <f>+BG44*(1-Parameters!$C$55)</f>
        <v>3.6868969284094279E-6</v>
      </c>
      <c r="BI44" s="2">
        <f>+BH44*(1-Parameters!$C$55)</f>
        <v>2.9495175427275426E-6</v>
      </c>
    </row>
    <row r="45" spans="1:124" ht="22.25" customHeight="1" x14ac:dyDescent="0.35">
      <c r="A45" s="13" t="s">
        <v>213</v>
      </c>
      <c r="B45" s="8">
        <f>+Parameters!C54</f>
        <v>1.53972</v>
      </c>
    </row>
    <row r="46" spans="1:124" ht="21" customHeight="1" thickBot="1" x14ac:dyDescent="0.4">
      <c r="A46" s="33" t="s">
        <v>3</v>
      </c>
      <c r="B46" s="34"/>
    </row>
    <row r="47" spans="1:124" ht="21" customHeight="1" thickTop="1" x14ac:dyDescent="0.35">
      <c r="A47" s="13" t="str">
        <f>+IF(Parameters!B27=1,"Copenhagen",IF(Parameters!B27=2,"Copenhagen rich",IF(Parameters!B27=3,"Realistically optimistic","All immediate")))</f>
        <v>All immediate</v>
      </c>
      <c r="B47" s="35">
        <v>1</v>
      </c>
      <c r="C47" s="35">
        <f>+IF(Parameters!$B$27=1,Parameters!C45,IF(Parameters!$B$27=2,Parameters!C46,IF(Parameters!$B$27=3,Parameters!C47,Parameters!C48)))</f>
        <v>1</v>
      </c>
      <c r="D47" s="35">
        <f>+IF(Parameters!$B$27=1,Parameters!D45,IF(Parameters!$B$27=2,Parameters!D46,IF(Parameters!$B$27=3,Parameters!D47,Parameters!D48)))</f>
        <v>1</v>
      </c>
      <c r="E47" s="35">
        <f>+IF(Parameters!$B$27=1,Parameters!E45,IF(Parameters!$B$27=2,Parameters!E46,IF(Parameters!$B$27=3,Parameters!E47,Parameters!E48)))</f>
        <v>1</v>
      </c>
      <c r="F47" s="35">
        <f>+IF(Parameters!$B$27=1,Parameters!F45,IF(Parameters!$B$27=2,Parameters!F46,IF(Parameters!$B$27=3,Parameters!F47,Parameters!F48)))</f>
        <v>1</v>
      </c>
      <c r="G47" s="35">
        <f>+IF(Parameters!$B$27=1,Parameters!G45,IF(Parameters!$B$27=2,Parameters!G46,IF(Parameters!$B$27=3,Parameters!G47,Parameters!G48)))</f>
        <v>1</v>
      </c>
      <c r="H47" s="35">
        <f>+IF(Parameters!$B$27=1,Parameters!H45,IF(Parameters!$B$27=2,Parameters!H46,IF(Parameters!$B$27=3,Parameters!H47,Parameters!H48)))</f>
        <v>1</v>
      </c>
      <c r="I47" s="35">
        <f>+IF(Parameters!$B$27=1,Parameters!I45,IF(Parameters!$B$27=2,Parameters!I46,IF(Parameters!$B$27=3,Parameters!I47,Parameters!I48)))</f>
        <v>1</v>
      </c>
      <c r="J47" s="35">
        <f>+IF(Parameters!$B$27=1,Parameters!J45,IF(Parameters!$B$27=2,Parameters!J46,IF(Parameters!$B$27=3,Parameters!J47,Parameters!J48)))</f>
        <v>1</v>
      </c>
      <c r="K47" s="35">
        <f>+IF(Parameters!$B$27=1,Parameters!K45,IF(Parameters!$B$27=2,Parameters!K46,IF(Parameters!$B$27=3,Parameters!K47,Parameters!K48)))</f>
        <v>1</v>
      </c>
      <c r="L47" s="35">
        <f>+IF(Parameters!$B$27=1,Parameters!L45,IF(Parameters!$B$27=2,Parameters!L46,IF(Parameters!$B$27=3,Parameters!L47,Parameters!L48)))</f>
        <v>1</v>
      </c>
      <c r="M47" s="35">
        <f>+IF(Parameters!$B$27=1,Parameters!M45,IF(Parameters!$B$27=2,Parameters!M46,IF(Parameters!$B$27=3,Parameters!M47,Parameters!M48)))</f>
        <v>1</v>
      </c>
      <c r="N47" s="35">
        <f>+IF(Parameters!$B$27=1,Parameters!N45,IF(Parameters!$B$27=2,Parameters!N46,IF(Parameters!$B$27=3,Parameters!N47,Parameters!N48)))</f>
        <v>1</v>
      </c>
      <c r="O47" s="35">
        <f>+IF(Parameters!$B$27=1,Parameters!O45,IF(Parameters!$B$27=2,Parameters!O46,IF(Parameters!$B$27=3,Parameters!O47,Parameters!O48)))</f>
        <v>1</v>
      </c>
      <c r="P47" s="35">
        <f>+IF(Parameters!$B$27=1,Parameters!P45,IF(Parameters!$B$27=2,Parameters!P46,IF(Parameters!$B$27=3,Parameters!P47,Parameters!P48)))</f>
        <v>1</v>
      </c>
      <c r="Q47" s="35">
        <f>+IF(Parameters!$B$27=1,Parameters!Q45,IF(Parameters!$B$27=2,Parameters!Q46,IF(Parameters!$B$27=3,Parameters!Q47,Parameters!Q48)))</f>
        <v>1</v>
      </c>
      <c r="R47" s="35">
        <f>+IF(Parameters!$B$27=1,Parameters!R45,IF(Parameters!$B$27=2,Parameters!R46,IF(Parameters!$B$27=3,Parameters!R47,Parameters!R48)))</f>
        <v>1</v>
      </c>
      <c r="S47" s="35">
        <f>+IF(Parameters!$B$27=1,Parameters!S45,IF(Parameters!$B$27=2,Parameters!S46,IF(Parameters!$B$27=3,Parameters!S47,Parameters!S48)))</f>
        <v>1</v>
      </c>
      <c r="T47" s="35">
        <f>+IF(Parameters!$B$27=1,Parameters!T45,IF(Parameters!$B$27=2,Parameters!T46,IF(Parameters!$B$27=3,Parameters!T47,Parameters!T48)))</f>
        <v>1</v>
      </c>
      <c r="U47" s="35">
        <f>+IF(Parameters!$B$27=1,Parameters!U45,IF(Parameters!$B$27=2,Parameters!U46,IF(Parameters!$B$27=3,Parameters!U47,Parameters!U48)))</f>
        <v>1</v>
      </c>
      <c r="V47" s="35">
        <f>+IF(Parameters!$B$27=1,Parameters!V45,IF(Parameters!$B$27=2,Parameters!V46,IF(Parameters!$B$27=3,Parameters!V47,Parameters!V48)))</f>
        <v>1</v>
      </c>
      <c r="W47" s="35">
        <f>+IF(Parameters!$B$27=1,Parameters!W45,IF(Parameters!$B$27=2,Parameters!W46,IF(Parameters!$B$27=3,Parameters!W47,Parameters!W48)))</f>
        <v>1</v>
      </c>
      <c r="X47" s="35">
        <f>+IF(Parameters!$B$27=1,Parameters!X45,IF(Parameters!$B$27=2,Parameters!X46,IF(Parameters!$B$27=3,Parameters!X47,Parameters!X48)))</f>
        <v>1</v>
      </c>
      <c r="Y47" s="35">
        <f>+IF(Parameters!$B$27=1,Parameters!Y45,IF(Parameters!$B$27=2,Parameters!Y46,IF(Parameters!$B$27=3,Parameters!Y47,Parameters!Y48)))</f>
        <v>1</v>
      </c>
      <c r="Z47" s="35">
        <f>+IF(Parameters!$B$27=1,Parameters!Z45,IF(Parameters!$B$27=2,Parameters!Z46,IF(Parameters!$B$27=3,Parameters!Z47,Parameters!Z48)))</f>
        <v>1</v>
      </c>
      <c r="AA47" s="35">
        <f>+IF(Parameters!$B$27=1,Parameters!AA45,IF(Parameters!$B$27=2,Parameters!AA46,IF(Parameters!$B$27=3,Parameters!AA47,Parameters!AA48)))</f>
        <v>1</v>
      </c>
      <c r="AB47" s="35">
        <f>+IF(Parameters!$B$27=1,Parameters!AB45,IF(Parameters!$B$27=2,Parameters!AB46,IF(Parameters!$B$27=3,Parameters!AB47,Parameters!AB48)))</f>
        <v>1</v>
      </c>
      <c r="AC47" s="35">
        <f>+IF(Parameters!$B$27=1,Parameters!AC45,IF(Parameters!$B$27=2,Parameters!AC46,IF(Parameters!$B$27=3,Parameters!AC47,Parameters!AC48)))</f>
        <v>1</v>
      </c>
      <c r="AD47" s="35">
        <f>+IF(Parameters!$B$27=1,Parameters!AD45,IF(Parameters!$B$27=2,Parameters!AD46,IF(Parameters!$B$27=3,Parameters!AD47,Parameters!AD48)))</f>
        <v>1</v>
      </c>
      <c r="AE47" s="35">
        <f>+IF(Parameters!$B$27=1,Parameters!AE45,IF(Parameters!$B$27=2,Parameters!AE46,IF(Parameters!$B$27=3,Parameters!AE47,Parameters!AE48)))</f>
        <v>1</v>
      </c>
      <c r="AF47" s="35">
        <f>+IF(Parameters!$B$27=1,Parameters!AF45,IF(Parameters!$B$27=2,Parameters!AF46,IF(Parameters!$B$27=3,Parameters!AF47,Parameters!AF48)))</f>
        <v>1</v>
      </c>
      <c r="AG47" s="35">
        <f>+IF(Parameters!$B$27=1,Parameters!AG45,IF(Parameters!$B$27=2,Parameters!AG46,IF(Parameters!$B$27=3,Parameters!AG47,Parameters!AG48)))</f>
        <v>1</v>
      </c>
      <c r="AH47" s="35">
        <f>+IF(Parameters!$B$27=1,Parameters!AH45,IF(Parameters!$B$27=2,Parameters!AH46,IF(Parameters!$B$27=3,Parameters!AH47,Parameters!AH48)))</f>
        <v>1</v>
      </c>
      <c r="AI47" s="35">
        <f>+IF(Parameters!$B$27=1,Parameters!AI45,IF(Parameters!$B$27=2,Parameters!AI46,IF(Parameters!$B$27=3,Parameters!AI47,Parameters!AI48)))</f>
        <v>1</v>
      </c>
      <c r="AJ47" s="35">
        <f>+IF(Parameters!$B$27=1,Parameters!AJ45,IF(Parameters!$B$27=2,Parameters!AJ46,IF(Parameters!$B$27=3,Parameters!AJ47,Parameters!AJ48)))</f>
        <v>1</v>
      </c>
      <c r="AK47" s="35">
        <f>+IF(Parameters!$B$27=1,Parameters!AK45,IF(Parameters!$B$27=2,Parameters!AK46,IF(Parameters!$B$27=3,Parameters!AK47,Parameters!AK48)))</f>
        <v>1</v>
      </c>
      <c r="AL47" s="35">
        <f>+IF(Parameters!$B$27=1,Parameters!AL45,IF(Parameters!$B$27=2,Parameters!AL46,IF(Parameters!$B$27=3,Parameters!AL47,Parameters!AL48)))</f>
        <v>1</v>
      </c>
      <c r="AM47" s="35">
        <f>+IF(Parameters!$B$27=1,Parameters!AM45,IF(Parameters!$B$27=2,Parameters!AM46,IF(Parameters!$B$27=3,Parameters!AM47,Parameters!AM48)))</f>
        <v>1</v>
      </c>
      <c r="AN47" s="35">
        <f>+IF(Parameters!$B$27=1,Parameters!AN45,IF(Parameters!$B$27=2,Parameters!AN46,IF(Parameters!$B$27=3,Parameters!AN47,Parameters!AN48)))</f>
        <v>1</v>
      </c>
      <c r="AO47" s="35">
        <f>+IF(Parameters!$B$27=1,Parameters!AO45,IF(Parameters!$B$27=2,Parameters!AO46,IF(Parameters!$B$27=3,Parameters!AO47,Parameters!AO48)))</f>
        <v>1</v>
      </c>
      <c r="AP47" s="35">
        <f>+IF(Parameters!$B$27=1,Parameters!AP45,IF(Parameters!$B$27=2,Parameters!AP46,IF(Parameters!$B$27=3,Parameters!AP47,Parameters!AP48)))</f>
        <v>1</v>
      </c>
      <c r="AQ47" s="35">
        <f>+IF(Parameters!$B$27=1,Parameters!AQ45,IF(Parameters!$B$27=2,Parameters!AQ46,IF(Parameters!$B$27=3,Parameters!AQ47,Parameters!AQ48)))</f>
        <v>1</v>
      </c>
      <c r="AR47" s="35">
        <f>+IF(Parameters!$B$27=1,Parameters!AR45,IF(Parameters!$B$27=2,Parameters!AR46,IF(Parameters!$B$27=3,Parameters!AR47,Parameters!AR48)))</f>
        <v>1</v>
      </c>
      <c r="AS47" s="35">
        <f>+IF(Parameters!$B$27=1,Parameters!AS45,IF(Parameters!$B$27=2,Parameters!AS46,IF(Parameters!$B$27=3,Parameters!AS47,Parameters!AS48)))</f>
        <v>1</v>
      </c>
      <c r="AT47" s="35">
        <f>+IF(Parameters!$B$27=1,Parameters!AT45,IF(Parameters!$B$27=2,Parameters!AT46,IF(Parameters!$B$27=3,Parameters!AT47,Parameters!AT48)))</f>
        <v>1</v>
      </c>
      <c r="AU47" s="35">
        <f>+IF(Parameters!$B$27=1,Parameters!AU45,IF(Parameters!$B$27=2,Parameters!AU46,IF(Parameters!$B$27=3,Parameters!AU47,Parameters!AU48)))</f>
        <v>1</v>
      </c>
      <c r="AV47" s="35">
        <f>+IF(Parameters!$B$27=1,Parameters!AV45,IF(Parameters!$B$27=2,Parameters!AV46,IF(Parameters!$B$27=3,Parameters!AV47,Parameters!AV48)))</f>
        <v>1</v>
      </c>
      <c r="AW47" s="35">
        <f>+IF(Parameters!$B$27=1,Parameters!AW45,IF(Parameters!$B$27=2,Parameters!AW46,IF(Parameters!$B$27=3,Parameters!AW47,Parameters!AW48)))</f>
        <v>1</v>
      </c>
      <c r="AX47" s="35">
        <f>+IF(Parameters!$B$27=1,Parameters!AX45,IF(Parameters!$B$27=2,Parameters!AX46,IF(Parameters!$B$27=3,Parameters!AX47,Parameters!AX48)))</f>
        <v>1</v>
      </c>
      <c r="AY47" s="35">
        <f>+IF(Parameters!$B$27=1,Parameters!AY45,IF(Parameters!$B$27=2,Parameters!AY46,IF(Parameters!$B$27=3,Parameters!AY47,Parameters!AY48)))</f>
        <v>1</v>
      </c>
      <c r="AZ47" s="35">
        <f>+IF(Parameters!$B$27=1,Parameters!AZ45,IF(Parameters!$B$27=2,Parameters!AZ46,IF(Parameters!$B$27=3,Parameters!AZ47,Parameters!AZ48)))</f>
        <v>1</v>
      </c>
      <c r="BA47" s="35">
        <f>+IF(Parameters!$B$27=1,Parameters!BA45,IF(Parameters!$B$27=2,Parameters!BA46,IF(Parameters!$B$27=3,Parameters!BA47,Parameters!BA48)))</f>
        <v>1</v>
      </c>
      <c r="BB47" s="35">
        <f>+IF(Parameters!$B$27=1,Parameters!BB45,IF(Parameters!$B$27=2,Parameters!BB46,IF(Parameters!$B$27=3,Parameters!BB47,Parameters!BB48)))</f>
        <v>1</v>
      </c>
      <c r="BC47" s="35">
        <f>+IF(Parameters!$B$27=1,Parameters!BC45,IF(Parameters!$B$27=2,Parameters!BC46,IF(Parameters!$B$27=3,Parameters!BC47,Parameters!BC48)))</f>
        <v>1</v>
      </c>
      <c r="BD47" s="35">
        <f>+IF(Parameters!$B$27=1,Parameters!BD45,IF(Parameters!$B$27=2,Parameters!BD46,IF(Parameters!$B$27=3,Parameters!BD47,Parameters!BD48)))</f>
        <v>1</v>
      </c>
      <c r="BE47" s="35">
        <f>+IF(Parameters!$B$27=1,Parameters!BE45,IF(Parameters!$B$27=2,Parameters!BE46,IF(Parameters!$B$27=3,Parameters!BE47,Parameters!BE48)))</f>
        <v>1</v>
      </c>
      <c r="BF47" s="35">
        <f>+IF(Parameters!$B$27=1,Parameters!BF45,IF(Parameters!$B$27=2,Parameters!BF46,IF(Parameters!$B$27=3,Parameters!BF47,Parameters!BF48)))</f>
        <v>1</v>
      </c>
      <c r="BG47" s="35">
        <f>+IF(Parameters!$B$27=1,Parameters!BG45,IF(Parameters!$B$27=2,Parameters!BG46,IF(Parameters!$B$27=3,Parameters!BG47,Parameters!BG48)))</f>
        <v>1</v>
      </c>
      <c r="BH47" s="35">
        <f>+IF(Parameters!$B$27=1,Parameters!BH45,IF(Parameters!$B$27=2,Parameters!BH46,IF(Parameters!$B$27=3,Parameters!BH47,Parameters!BH48)))</f>
        <v>1</v>
      </c>
      <c r="BI47" s="35">
        <f>+IF(Parameters!$B$27=1,Parameters!BI45,IF(Parameters!$B$27=2,Parameters!BI46,IF(Parameters!$B$27=3,Parameters!BI47,Parameters!BI48)))</f>
        <v>1</v>
      </c>
      <c r="BJ47" s="35"/>
      <c r="BK47" s="35"/>
      <c r="BL47" s="35"/>
      <c r="BM47" s="35"/>
      <c r="BN47" s="35"/>
      <c r="BO47" s="35"/>
      <c r="BP47" s="35"/>
      <c r="BQ47" s="35"/>
      <c r="BR47" s="35"/>
      <c r="BS47" s="35"/>
      <c r="BT47" s="35"/>
      <c r="BU47" s="35"/>
      <c r="BV47" s="35"/>
      <c r="BW47" s="35"/>
      <c r="BX47" s="35"/>
      <c r="BY47" s="35"/>
      <c r="BZ47" s="35"/>
      <c r="CA47" s="35"/>
      <c r="CB47" s="35"/>
      <c r="CC47" s="35"/>
      <c r="CD47" s="35"/>
      <c r="CE47" s="35"/>
      <c r="CF47" s="35"/>
      <c r="CG47" s="35"/>
      <c r="CH47" s="35"/>
      <c r="CI47" s="35"/>
      <c r="CJ47" s="35"/>
      <c r="CK47" s="35"/>
      <c r="CL47" s="35"/>
      <c r="CM47" s="35"/>
      <c r="CN47" s="35"/>
      <c r="CO47" s="35"/>
      <c r="CP47" s="35"/>
      <c r="CQ47" s="35"/>
      <c r="CR47" s="35"/>
      <c r="CS47" s="35"/>
      <c r="CT47" s="35"/>
      <c r="CU47" s="35"/>
      <c r="CV47" s="35"/>
      <c r="CW47" s="35"/>
      <c r="CX47" s="35"/>
      <c r="CY47" s="35"/>
      <c r="CZ47" s="35"/>
      <c r="DA47" s="35"/>
      <c r="DB47" s="35"/>
      <c r="DC47" s="35"/>
      <c r="DD47" s="35"/>
      <c r="DE47" s="35"/>
      <c r="DF47" s="35"/>
      <c r="DG47" s="35"/>
      <c r="DH47" s="35"/>
      <c r="DI47" s="35"/>
      <c r="DJ47" s="35"/>
      <c r="DK47" s="35"/>
      <c r="DL47" s="35"/>
      <c r="DM47" s="35"/>
      <c r="DN47" s="35"/>
      <c r="DO47" s="35"/>
      <c r="DP47" s="35"/>
      <c r="DQ47" s="35"/>
      <c r="DR47" s="35"/>
      <c r="DS47" s="35"/>
      <c r="DT47" s="35"/>
    </row>
    <row r="48" spans="1:124" ht="21" customHeight="1" thickBot="1" x14ac:dyDescent="0.4">
      <c r="A48" s="32" t="s">
        <v>98</v>
      </c>
      <c r="D48" s="2">
        <f>+B126</f>
        <v>6.8827315708347028</v>
      </c>
      <c r="E48" s="2">
        <v>7.5267760935020336</v>
      </c>
      <c r="F48" s="8"/>
    </row>
    <row r="49" spans="1:124" ht="21" customHeight="1" thickTop="1" x14ac:dyDescent="0.35">
      <c r="A49" s="13" t="s">
        <v>54</v>
      </c>
      <c r="B49" s="8">
        <v>1.6396699869977365E-2</v>
      </c>
      <c r="C49" s="8"/>
      <c r="D49" s="2">
        <f>+B126^B19/1000</f>
        <v>1.6396577524171035E-2</v>
      </c>
    </row>
    <row r="50" spans="1:124" ht="21" customHeight="1" x14ac:dyDescent="0.35">
      <c r="A50" s="13" t="s">
        <v>55</v>
      </c>
      <c r="B50" s="2">
        <v>-3823.8684027386507</v>
      </c>
      <c r="C50" s="36"/>
      <c r="D50" s="36">
        <f>+B163</f>
        <v>2686.134711202144</v>
      </c>
    </row>
    <row r="51" spans="1:124" ht="21" customHeight="1" thickBot="1" x14ac:dyDescent="0.4">
      <c r="A51" s="32" t="s">
        <v>253</v>
      </c>
      <c r="B51" s="8">
        <v>1</v>
      </c>
      <c r="D51" s="2">
        <f>+D50-B129</f>
        <v>-8.5023245363145179</v>
      </c>
    </row>
    <row r="52" spans="1:124" ht="21" customHeight="1" thickTop="1" thickBot="1" x14ac:dyDescent="0.4">
      <c r="A52" s="32" t="s">
        <v>17</v>
      </c>
      <c r="C52" s="8"/>
      <c r="D52" s="8"/>
      <c r="E52" s="8"/>
      <c r="F52" s="8"/>
      <c r="G52" s="8"/>
      <c r="H52" s="8"/>
      <c r="I52" s="8"/>
      <c r="J52" s="8"/>
      <c r="K52" s="8"/>
      <c r="L52" s="8"/>
      <c r="M52" s="8"/>
      <c r="N52" s="8"/>
      <c r="O52" s="8"/>
      <c r="P52" s="8"/>
      <c r="Q52" s="8"/>
      <c r="R52" s="8"/>
      <c r="S52" s="8"/>
      <c r="T52" s="8"/>
      <c r="U52" s="8"/>
      <c r="V52" s="8"/>
      <c r="W52" s="8"/>
      <c r="X52" s="8"/>
      <c r="Y52" s="8"/>
      <c r="Z52" s="8"/>
      <c r="AA52" s="8"/>
      <c r="AB52" s="8"/>
      <c r="AC52" s="8"/>
      <c r="AD52" s="8"/>
      <c r="AE52" s="8"/>
      <c r="AF52" s="8"/>
      <c r="AG52" s="8"/>
      <c r="AH52" s="8"/>
      <c r="AI52" s="8"/>
      <c r="AJ52" s="8"/>
      <c r="AK52" s="8"/>
      <c r="AL52" s="8"/>
      <c r="AM52" s="8"/>
      <c r="AN52" s="8"/>
      <c r="AO52" s="8"/>
      <c r="AP52" s="8"/>
      <c r="AQ52" s="8"/>
      <c r="AR52" s="8"/>
      <c r="AS52" s="8"/>
      <c r="AT52" s="8"/>
      <c r="AU52" s="8"/>
      <c r="AV52" s="8"/>
      <c r="AW52" s="8"/>
      <c r="AX52" s="8"/>
      <c r="AY52" s="8"/>
      <c r="AZ52" s="8"/>
      <c r="BA52" s="8"/>
      <c r="BB52" s="8"/>
      <c r="BC52" s="8"/>
      <c r="BD52" s="8"/>
      <c r="BE52" s="8"/>
      <c r="BF52" s="8"/>
      <c r="BG52" s="8"/>
      <c r="BH52" s="8"/>
      <c r="BI52" s="8"/>
      <c r="BJ52" s="8"/>
      <c r="BK52" s="8"/>
      <c r="BL52" s="8"/>
      <c r="BM52" s="8"/>
      <c r="BN52" s="8"/>
      <c r="BO52" s="8"/>
      <c r="BP52" s="8"/>
      <c r="BQ52" s="8"/>
      <c r="BR52" s="8"/>
      <c r="BS52" s="8"/>
      <c r="BT52" s="8"/>
      <c r="BU52" s="8"/>
      <c r="BV52" s="8"/>
      <c r="BW52" s="8"/>
      <c r="BX52" s="8"/>
      <c r="BY52" s="8"/>
      <c r="BZ52" s="8"/>
      <c r="CA52" s="8"/>
      <c r="CB52" s="8"/>
      <c r="CC52" s="8"/>
      <c r="CD52" s="8"/>
      <c r="CE52" s="8"/>
      <c r="CF52" s="8"/>
      <c r="CG52" s="8"/>
      <c r="CH52" s="8"/>
      <c r="CI52" s="8"/>
      <c r="CJ52" s="8"/>
      <c r="CK52" s="8"/>
      <c r="CL52" s="8"/>
      <c r="CM52" s="8"/>
      <c r="CN52" s="8"/>
      <c r="CO52" s="8"/>
      <c r="CP52" s="8"/>
      <c r="CQ52" s="8"/>
      <c r="CR52" s="8"/>
      <c r="CS52" s="8"/>
      <c r="CT52" s="8"/>
      <c r="CU52" s="8"/>
      <c r="CV52" s="8"/>
      <c r="CW52" s="8"/>
      <c r="CX52" s="8"/>
      <c r="CY52" s="8"/>
      <c r="CZ52" s="8"/>
      <c r="DA52" s="8"/>
      <c r="DB52" s="8"/>
      <c r="DC52" s="8"/>
      <c r="DD52" s="8"/>
      <c r="DE52" s="8"/>
      <c r="DF52" s="8"/>
      <c r="DG52" s="8"/>
      <c r="DH52" s="8"/>
      <c r="DI52" s="8"/>
      <c r="DJ52" s="8"/>
      <c r="DK52" s="8"/>
      <c r="DL52" s="8"/>
      <c r="DM52" s="8"/>
      <c r="DN52" s="8"/>
      <c r="DO52" s="8"/>
      <c r="DP52" s="8"/>
      <c r="DQ52" s="8"/>
      <c r="DR52" s="8"/>
      <c r="DS52" s="8"/>
      <c r="DT52" s="8"/>
    </row>
    <row r="53" spans="1:124" ht="21" customHeight="1" thickTop="1" x14ac:dyDescent="0.35">
      <c r="A53" s="13" t="s">
        <v>18</v>
      </c>
      <c r="B53" s="8">
        <f>+Parameters!B35</f>
        <v>6838</v>
      </c>
      <c r="C53" s="8">
        <f>+B53*(Parameters!$B$91/Base!B53)^Parameters!$B$92</f>
        <v>7244.0131682715773</v>
      </c>
      <c r="D53" s="8">
        <f>+C53*(Parameters!$B$91/Base!C53)^Parameters!$B$92</f>
        <v>7614.8328217481658</v>
      </c>
      <c r="E53" s="8">
        <f>+D53*(Parameters!$B$91/Base!D53)^Parameters!$B$92</f>
        <v>7951.0707590505608</v>
      </c>
      <c r="F53" s="8">
        <f>+E53*(Parameters!$B$91/Base!E53)^Parameters!$B$92</f>
        <v>8254.0505790007173</v>
      </c>
      <c r="G53" s="8">
        <f>+F53*(Parameters!$B$91/Base!F53)^Parameters!$B$92</f>
        <v>8525.5874386257801</v>
      </c>
      <c r="H53" s="8">
        <f>+G53*(Parameters!$B$91/Base!G53)^Parameters!$B$92</f>
        <v>8767.8063434235337</v>
      </c>
      <c r="I53" s="8">
        <f>+H53*(Parameters!$B$91/Base!H53)^Parameters!$B$92</f>
        <v>8982.9978140746662</v>
      </c>
      <c r="J53" s="8">
        <f>+I53*(Parameters!$B$91/Base!I53)^Parameters!$B$92</f>
        <v>9173.5073444878253</v>
      </c>
      <c r="K53" s="8">
        <f>+J53*(Parameters!$B$91/Base!J53)^Parameters!$B$92</f>
        <v>9341.6539239806625</v>
      </c>
      <c r="L53" s="8">
        <f>+K53*(Parameters!$B$91/Base!K53)^Parameters!$B$92</f>
        <v>9489.6726076231553</v>
      </c>
      <c r="M53" s="8">
        <f>+L53*(Parameters!$B$91/Base!L53)^Parameters!$B$92</f>
        <v>9619.6763483350842</v>
      </c>
      <c r="N53" s="8">
        <f>+M53*(Parameters!$B$91/Base!M53)^Parameters!$B$92</f>
        <v>9733.6328118544734</v>
      </c>
      <c r="O53" s="8">
        <f>+N53*(Parameters!$B$91/Base!N53)^Parameters!$B$92</f>
        <v>9833.3525197035178</v>
      </c>
      <c r="P53" s="8">
        <f>+O53*(Parameters!$B$91/Base!O53)^Parameters!$B$92</f>
        <v>9920.4853046792614</v>
      </c>
      <c r="Q53" s="8">
        <f>+P53*(Parameters!$B$91/Base!P53)^Parameters!$B$92</f>
        <v>9996.5226603527044</v>
      </c>
      <c r="R53" s="8">
        <f>+Q53*(Parameters!$B$91/Base!Q53)^Parameters!$B$92</f>
        <v>10062.804091979313</v>
      </c>
      <c r="S53" s="8">
        <f>+R53*(Parameters!$B$91/Base!R53)^Parameters!$B$92</f>
        <v>10120.526021146155</v>
      </c>
      <c r="T53" s="8">
        <f>+S53*(Parameters!$B$91/Base!S53)^Parameters!$B$92</f>
        <v>10170.75216151042</v>
      </c>
      <c r="U53" s="8">
        <f>+T53*(Parameters!$B$91/Base!T53)^Parameters!$B$92</f>
        <v>10214.424575159541</v>
      </c>
      <c r="V53" s="8">
        <f>+U53*(Parameters!$B$91/Base!U53)^Parameters!$B$92</f>
        <v>10252.374848116402</v>
      </c>
      <c r="W53" s="8">
        <f>+V53*(Parameters!$B$91/Base!V53)^Parameters!$B$92</f>
        <v>10285.334999620252</v>
      </c>
      <c r="X53" s="8">
        <f>+W53*(Parameters!$B$91/Base!W53)^Parameters!$B$92</f>
        <v>10313.947872827168</v>
      </c>
      <c r="Y53" s="8">
        <f>+X53*(Parameters!$B$91/Base!X53)^Parameters!$B$92</f>
        <v>10338.776853219713</v>
      </c>
      <c r="Z53" s="8">
        <f>+Y53*(Parameters!$B$91/Base!Y53)^Parameters!$B$92</f>
        <v>10360.314832745784</v>
      </c>
      <c r="AA53" s="8">
        <f>+Z53*(Parameters!$B$91/Base!Z53)^Parameters!$B$92</f>
        <v>10378.992388692368</v>
      </c>
      <c r="AB53" s="8">
        <f>+AA53*(Parameters!$B$91/Base!AA53)^Parameters!$B$92</f>
        <v>10395.185181534063</v>
      </c>
      <c r="AC53" s="8">
        <f>+AB53*(Parameters!$B$91/Base!AB53)^Parameters!$B$92</f>
        <v>10409.220599442217</v>
      </c>
      <c r="AD53" s="8">
        <f>+AC53*(Parameters!$B$91/Base!AC53)^Parameters!$B$92</f>
        <v>10421.383691897539</v>
      </c>
      <c r="AE53" s="8">
        <f>+AD53*(Parameters!$B$91/Base!AD53)^Parameters!$B$92</f>
        <v>10431.922443305928</v>
      </c>
      <c r="AF53" s="8">
        <f>+AE53*(Parameters!$B$91/Base!AE53)^Parameters!$B$92</f>
        <v>10441.052441493106</v>
      </c>
      <c r="AG53" s="8">
        <f>+AF53*(Parameters!$B$91/Base!AF53)^Parameters!$B$92</f>
        <v>10448.960996817566</v>
      </c>
      <c r="AH53" s="8">
        <f>+AG53*(Parameters!$B$91/Base!AG53)^Parameters!$B$92</f>
        <v>10455.810766410352</v>
      </c>
      <c r="AI53" s="8">
        <f>+AH53*(Parameters!$B$91/Base!AH53)^Parameters!$B$92</f>
        <v>10461.742935471591</v>
      </c>
      <c r="AJ53" s="8">
        <f>+AI53*(Parameters!$B$91/Base!AI53)^Parameters!$B$92</f>
        <v>10466.880004167821</v>
      </c>
      <c r="AK53" s="8">
        <f>+AJ53*(Parameters!$B$91/Base!AJ53)^Parameters!$B$92</f>
        <v>10471.3282248657</v>
      </c>
      <c r="AL53" s="8">
        <f>+AK53*(Parameters!$B$91/Base!AK53)^Parameters!$B$92</f>
        <v>10475.179730475338</v>
      </c>
      <c r="AM53" s="8">
        <f>+AL53*(Parameters!$B$91/Base!AL53)^Parameters!$B$92</f>
        <v>10478.514390742053</v>
      </c>
      <c r="AN53" s="8">
        <f>+AM53*(Parameters!$B$91/Base!AM53)^Parameters!$B$92</f>
        <v>10481.401429538373</v>
      </c>
      <c r="AO53" s="8">
        <f>+AN53*(Parameters!$B$91/Base!AN53)^Parameters!$B$92</f>
        <v>10483.900832641932</v>
      </c>
      <c r="AP53" s="8">
        <f>+AO53*(Parameters!$B$91/Base!AO53)^Parameters!$B$92</f>
        <v>10486.064572180732</v>
      </c>
      <c r="AQ53" s="8">
        <f>+AP53*(Parameters!$B$91/Base!AP53)^Parameters!$B$92</f>
        <v>10487.937670903442</v>
      </c>
      <c r="AR53" s="8">
        <f>+AQ53*(Parameters!$B$91/Base!AQ53)^Parameters!$B$92</f>
        <v>10489.559126691636</v>
      </c>
      <c r="AS53" s="8">
        <f>+AR53*(Parameters!$B$91/Base!AR53)^Parameters!$B$92</f>
        <v>10490.962715265843</v>
      </c>
      <c r="AT53" s="8">
        <f>+AS53*(Parameters!$B$91/Base!AS53)^Parameters!$B$92</f>
        <v>10492.177686833749</v>
      </c>
      <c r="AU53" s="8">
        <f>+AT53*(Parameters!$B$91/Base!AT53)^Parameters!$B$92</f>
        <v>10493.229370469204</v>
      </c>
      <c r="AV53" s="8">
        <f>+AU53*(Parameters!$B$91/Base!AU53)^Parameters!$B$92</f>
        <v>10494.139698275025</v>
      </c>
      <c r="AW53" s="8">
        <f>+AV53*(Parameters!$B$91/Base!AV53)^Parameters!$B$92</f>
        <v>10494.927659850739</v>
      </c>
      <c r="AX53" s="8">
        <f>+AW53*(Parameters!$B$91/Base!AW53)^Parameters!$B$92</f>
        <v>10495.609696238218</v>
      </c>
      <c r="AY53" s="8">
        <f>+AX53*(Parameters!$B$91/Base!AX53)^Parameters!$B$92</f>
        <v>10496.200041334723</v>
      </c>
      <c r="AZ53" s="8">
        <f>+AY53*(Parameters!$B$91/Base!AY53)^Parameters!$B$92</f>
        <v>10496.711017725867</v>
      </c>
      <c r="BA53" s="8">
        <f>+AZ53*(Parameters!$B$91/Base!AZ53)^Parameters!$B$92</f>
        <v>10497.153292984229</v>
      </c>
      <c r="BB53" s="8">
        <f>+BA53*(Parameters!$B$91/Base!BA53)^Parameters!$B$92</f>
        <v>10497.536101687356</v>
      </c>
      <c r="BC53" s="8">
        <f>+BB53*(Parameters!$B$91/Base!BB53)^Parameters!$B$92</f>
        <v>10497.867437718181</v>
      </c>
      <c r="BD53" s="8">
        <f>+BC53*(Parameters!$B$91/Base!BC53)^Parameters!$B$92</f>
        <v>10498.154220809072</v>
      </c>
      <c r="BE53" s="8">
        <f>+BD53*(Parameters!$B$91/Base!BD53)^Parameters!$B$92</f>
        <v>10498.402440766844</v>
      </c>
      <c r="BF53" s="8">
        <f>+BE53*(Parameters!$B$91/Base!BE53)^Parameters!$B$92</f>
        <v>10498.617282360547</v>
      </c>
      <c r="BG53" s="8">
        <f>+BF53*(Parameters!$B$91/Base!BF53)^Parameters!$B$92</f>
        <v>10498.803233457693</v>
      </c>
      <c r="BH53" s="8">
        <f>+BG53*(Parameters!$B$91/Base!BG53)^Parameters!$B$92</f>
        <v>10498.964178650702</v>
      </c>
      <c r="BI53" s="8">
        <f>+BH53*(Parameters!$B$91/Base!BH53)^Parameters!$B$92</f>
        <v>10499.103480316548</v>
      </c>
      <c r="BJ53" s="8"/>
      <c r="BK53" s="8"/>
      <c r="BL53" s="8"/>
      <c r="BM53" s="8"/>
      <c r="BN53" s="8"/>
      <c r="BO53" s="8"/>
      <c r="BP53" s="8"/>
      <c r="BQ53" s="8"/>
      <c r="BR53" s="8"/>
      <c r="BS53" s="8"/>
      <c r="BT53" s="8"/>
      <c r="BU53" s="8"/>
      <c r="BV53" s="8"/>
      <c r="BW53" s="8"/>
      <c r="BX53" s="8"/>
      <c r="BY53" s="8"/>
      <c r="BZ53" s="8"/>
      <c r="CA53" s="8"/>
      <c r="CB53" s="8"/>
      <c r="CC53" s="8"/>
      <c r="CD53" s="8"/>
      <c r="CE53" s="8"/>
      <c r="CF53" s="8"/>
      <c r="CG53" s="8"/>
      <c r="CH53" s="8"/>
      <c r="CI53" s="8"/>
      <c r="CJ53" s="8"/>
      <c r="CK53" s="8"/>
      <c r="CL53" s="8"/>
      <c r="CM53" s="8"/>
      <c r="CN53" s="8"/>
      <c r="CO53" s="8"/>
      <c r="CP53" s="8"/>
      <c r="CQ53" s="8"/>
      <c r="CR53" s="8"/>
      <c r="CS53" s="8"/>
      <c r="CT53" s="8"/>
      <c r="CU53" s="8"/>
      <c r="CV53" s="8"/>
      <c r="CW53" s="8"/>
      <c r="CX53" s="8"/>
      <c r="CY53" s="8"/>
      <c r="CZ53" s="8"/>
      <c r="DA53" s="8"/>
      <c r="DB53" s="8"/>
      <c r="DC53" s="8"/>
      <c r="DD53" s="8"/>
      <c r="DE53" s="8"/>
      <c r="DF53" s="8"/>
      <c r="DG53" s="8"/>
      <c r="DH53" s="8"/>
      <c r="DI53" s="8"/>
      <c r="DJ53" s="8"/>
      <c r="DK53" s="8"/>
      <c r="DL53" s="8"/>
      <c r="DM53" s="8"/>
      <c r="DN53" s="8"/>
      <c r="DO53" s="8"/>
      <c r="DP53" s="8"/>
      <c r="DQ53" s="8"/>
      <c r="DR53" s="8"/>
      <c r="DS53" s="8"/>
      <c r="DT53" s="8"/>
    </row>
    <row r="54" spans="1:124" ht="21" customHeight="1" x14ac:dyDescent="0.35">
      <c r="A54" s="13" t="s">
        <v>160</v>
      </c>
      <c r="C54" s="8">
        <f t="shared" ref="C54:BH54" si="11">+C53/B53-1</f>
        <v>5.9376011739043166E-2</v>
      </c>
      <c r="D54" s="8">
        <f t="shared" si="11"/>
        <v>5.1189809414035947E-2</v>
      </c>
      <c r="E54" s="8">
        <f t="shared" si="11"/>
        <v>4.4155655832927909E-2</v>
      </c>
      <c r="F54" s="8">
        <f t="shared" si="11"/>
        <v>3.8105536868135559E-2</v>
      </c>
      <c r="G54" s="8">
        <f t="shared" si="11"/>
        <v>3.2897406797564921E-2</v>
      </c>
      <c r="H54" s="8">
        <f t="shared" si="11"/>
        <v>2.841081703066739E-2</v>
      </c>
      <c r="I54" s="8">
        <f t="shared" si="11"/>
        <v>2.4543364921893129E-2</v>
      </c>
      <c r="J54" s="8">
        <f t="shared" si="11"/>
        <v>2.1207789911143804E-2</v>
      </c>
      <c r="K54" s="8">
        <f t="shared" si="11"/>
        <v>1.8329584659227738E-2</v>
      </c>
      <c r="L54" s="8">
        <f t="shared" si="11"/>
        <v>1.5845018970625624E-2</v>
      </c>
      <c r="M54" s="8">
        <f t="shared" si="11"/>
        <v>1.3699496925478227E-2</v>
      </c>
      <c r="N54" s="8">
        <f t="shared" si="11"/>
        <v>1.1846184777215774E-2</v>
      </c>
      <c r="O54" s="8">
        <f t="shared" si="11"/>
        <v>1.0244860246587217E-2</v>
      </c>
      <c r="P54" s="8">
        <f t="shared" si="11"/>
        <v>8.8609438948874519E-3</v>
      </c>
      <c r="Q54" s="8">
        <f t="shared" si="11"/>
        <v>7.6646810451479475E-3</v>
      </c>
      <c r="R54" s="8">
        <f t="shared" si="11"/>
        <v>6.6304487949082613E-3</v>
      </c>
      <c r="S54" s="8">
        <f t="shared" si="11"/>
        <v>5.736167437946138E-3</v>
      </c>
      <c r="T54" s="8">
        <f t="shared" si="11"/>
        <v>4.9627993900041023E-3</v>
      </c>
      <c r="U54" s="8">
        <f t="shared" si="11"/>
        <v>4.2939217233501914E-3</v>
      </c>
      <c r="V54" s="8">
        <f t="shared" si="11"/>
        <v>3.7153608289548501E-3</v>
      </c>
      <c r="W54" s="8">
        <f t="shared" si="11"/>
        <v>3.2148796734550178E-3</v>
      </c>
      <c r="X54" s="8">
        <f t="shared" si="11"/>
        <v>2.7819097003618509E-3</v>
      </c>
      <c r="Y54" s="8">
        <f t="shared" si="11"/>
        <v>2.4073207174102329E-3</v>
      </c>
      <c r="Z54" s="8">
        <f t="shared" si="11"/>
        <v>2.0832231734804196E-3</v>
      </c>
      <c r="AA54" s="8">
        <f t="shared" si="11"/>
        <v>1.8027981048944763E-3</v>
      </c>
      <c r="AB54" s="8">
        <f t="shared" si="11"/>
        <v>1.56015075792304E-3</v>
      </c>
      <c r="AC54" s="8">
        <f t="shared" si="11"/>
        <v>1.3501845001362422E-3</v>
      </c>
      <c r="AD54" s="8">
        <f t="shared" si="11"/>
        <v>1.1684921401295956E-3</v>
      </c>
      <c r="AE54" s="8">
        <f t="shared" si="11"/>
        <v>1.0112622008708883E-3</v>
      </c>
      <c r="AF54" s="8">
        <f t="shared" si="11"/>
        <v>8.7519805067537426E-4</v>
      </c>
      <c r="AG54" s="8">
        <f t="shared" si="11"/>
        <v>7.5744809910460731E-4</v>
      </c>
      <c r="AH54" s="8">
        <f t="shared" si="11"/>
        <v>6.5554552216928741E-4</v>
      </c>
      <c r="AI54" s="8">
        <f t="shared" si="11"/>
        <v>5.6735619970260665E-4</v>
      </c>
      <c r="AJ54" s="8">
        <f t="shared" si="11"/>
        <v>4.9103373385439575E-4</v>
      </c>
      <c r="AK54" s="8">
        <f t="shared" si="11"/>
        <v>4.249805764571235E-4</v>
      </c>
      <c r="AL54" s="8">
        <f t="shared" si="11"/>
        <v>3.6781442878397463E-4</v>
      </c>
      <c r="AM54" s="8">
        <f t="shared" si="11"/>
        <v>3.1833919345691797E-4</v>
      </c>
      <c r="AN54" s="8">
        <f t="shared" si="11"/>
        <v>2.7551985793627942E-4</v>
      </c>
      <c r="AO54" s="8">
        <f t="shared" si="11"/>
        <v>2.3846077457867487E-4</v>
      </c>
      <c r="AP54" s="8">
        <f t="shared" si="11"/>
        <v>2.0638687577667625E-4</v>
      </c>
      <c r="AQ54" s="8">
        <f t="shared" si="11"/>
        <v>1.7862742593433012E-4</v>
      </c>
      <c r="AR54" s="8">
        <f t="shared" si="11"/>
        <v>1.546019664755427E-4</v>
      </c>
      <c r="AS54" s="8">
        <f t="shared" si="11"/>
        <v>1.3380815697350279E-4</v>
      </c>
      <c r="AT54" s="8">
        <f t="shared" si="11"/>
        <v>1.1581125592385888E-4</v>
      </c>
      <c r="AU54" s="8">
        <f t="shared" si="11"/>
        <v>1.0023501953981828E-4</v>
      </c>
      <c r="AV54" s="8">
        <f t="shared" si="11"/>
        <v>8.6753827032826081E-5</v>
      </c>
      <c r="AW54" s="8">
        <f t="shared" si="11"/>
        <v>7.5085866814150748E-5</v>
      </c>
      <c r="AX54" s="8">
        <f t="shared" si="11"/>
        <v>6.498724046366533E-5</v>
      </c>
      <c r="AY54" s="8">
        <f t="shared" si="11"/>
        <v>5.6246860696163026E-5</v>
      </c>
      <c r="AZ54" s="8">
        <f t="shared" si="11"/>
        <v>4.8682036273284268E-5</v>
      </c>
      <c r="BA54" s="8">
        <f t="shared" si="11"/>
        <v>4.2134651283998181E-5</v>
      </c>
      <c r="BB54" s="8">
        <f t="shared" si="11"/>
        <v>3.6467858708144618E-5</v>
      </c>
      <c r="BC54" s="8">
        <f t="shared" si="11"/>
        <v>3.1563218989338893E-5</v>
      </c>
      <c r="BD54" s="8">
        <f t="shared" si="11"/>
        <v>2.7318223686068066E-5</v>
      </c>
      <c r="BE54" s="8">
        <f t="shared" si="11"/>
        <v>2.3644152348234471E-5</v>
      </c>
      <c r="BF54" s="8">
        <f t="shared" si="11"/>
        <v>2.0464217762139469E-5</v>
      </c>
      <c r="BG54" s="8">
        <f t="shared" si="11"/>
        <v>1.7711960741628729E-5</v>
      </c>
      <c r="BH54" s="8">
        <f t="shared" si="11"/>
        <v>1.5329860883150914E-5</v>
      </c>
      <c r="BI54" s="8">
        <f t="shared" ref="BI54" si="12">+BI53/BH53-1</f>
        <v>1.3268134215538296E-5</v>
      </c>
      <c r="BJ54" s="8"/>
      <c r="BK54" s="8"/>
      <c r="BL54" s="8"/>
      <c r="BM54" s="8"/>
      <c r="BN54" s="8"/>
      <c r="BO54" s="8"/>
      <c r="BP54" s="8"/>
      <c r="BQ54" s="8"/>
      <c r="BR54" s="8"/>
      <c r="BS54" s="8"/>
      <c r="BT54" s="8"/>
      <c r="BU54" s="8"/>
      <c r="BV54" s="8"/>
      <c r="BW54" s="8"/>
      <c r="BX54" s="8"/>
      <c r="BY54" s="8"/>
      <c r="BZ54" s="8"/>
      <c r="CA54" s="8"/>
      <c r="CB54" s="8"/>
      <c r="CC54" s="8"/>
      <c r="CD54" s="8"/>
      <c r="CE54" s="8"/>
      <c r="CF54" s="8"/>
      <c r="CG54" s="8"/>
      <c r="CH54" s="8"/>
      <c r="CI54" s="8"/>
      <c r="CJ54" s="8"/>
      <c r="CK54" s="8"/>
      <c r="CL54" s="8"/>
      <c r="CM54" s="8"/>
      <c r="CN54" s="8"/>
      <c r="CO54" s="8"/>
      <c r="CP54" s="8"/>
      <c r="CQ54" s="8"/>
      <c r="CR54" s="8"/>
      <c r="CS54" s="8"/>
      <c r="CT54" s="8"/>
      <c r="CU54" s="8"/>
      <c r="CV54" s="8"/>
      <c r="CW54" s="8"/>
      <c r="CX54" s="8"/>
      <c r="CY54" s="8"/>
      <c r="CZ54" s="8"/>
      <c r="DA54" s="8"/>
      <c r="DB54" s="8"/>
      <c r="DC54" s="8"/>
      <c r="DD54" s="8"/>
      <c r="DE54" s="8"/>
      <c r="DF54" s="8"/>
      <c r="DG54" s="8"/>
      <c r="DH54" s="8"/>
      <c r="DI54" s="8"/>
      <c r="DJ54" s="8"/>
      <c r="DK54" s="8"/>
      <c r="DL54" s="8"/>
      <c r="DM54" s="8"/>
      <c r="DN54" s="8"/>
      <c r="DO54" s="8"/>
      <c r="DP54" s="8"/>
      <c r="DQ54" s="8"/>
      <c r="DR54" s="8"/>
      <c r="DS54" s="8"/>
      <c r="DT54" s="8"/>
    </row>
    <row r="55" spans="1:124" s="37" customFormat="1" ht="38.4" customHeight="1" thickBot="1" x14ac:dyDescent="0.3">
      <c r="A55" s="31" t="s">
        <v>203</v>
      </c>
    </row>
    <row r="56" spans="1:124" s="10" customFormat="1" ht="21" customHeight="1" thickTop="1" thickBot="1" x14ac:dyDescent="0.35">
      <c r="A56" s="32" t="s">
        <v>8</v>
      </c>
      <c r="B56" s="38"/>
      <c r="C56" s="38"/>
      <c r="D56" s="38"/>
      <c r="E56" s="38"/>
      <c r="F56" s="38"/>
      <c r="G56" s="38"/>
      <c r="H56" s="38"/>
      <c r="I56" s="38"/>
      <c r="J56" s="38"/>
      <c r="K56" s="38"/>
      <c r="L56" s="38"/>
      <c r="M56" s="38"/>
      <c r="N56" s="38"/>
      <c r="O56" s="38"/>
      <c r="P56" s="38"/>
      <c r="Q56" s="38"/>
      <c r="R56" s="38"/>
      <c r="S56" s="38"/>
      <c r="T56" s="38"/>
      <c r="U56" s="38"/>
      <c r="V56" s="38"/>
      <c r="W56" s="38"/>
      <c r="X56" s="38"/>
      <c r="Y56" s="38"/>
      <c r="Z56" s="38"/>
      <c r="AA56" s="38"/>
      <c r="AB56" s="38"/>
      <c r="AC56" s="38"/>
      <c r="AD56" s="38"/>
      <c r="AE56" s="38"/>
      <c r="AF56" s="38"/>
      <c r="AG56" s="38"/>
      <c r="AH56" s="38"/>
      <c r="AI56" s="38"/>
      <c r="AJ56" s="38"/>
      <c r="AK56" s="38"/>
      <c r="AL56" s="38"/>
      <c r="AM56" s="38"/>
      <c r="AN56" s="38"/>
      <c r="AO56" s="38"/>
      <c r="AP56" s="38"/>
      <c r="AQ56" s="38"/>
      <c r="AR56" s="38"/>
      <c r="AS56" s="38"/>
      <c r="AT56" s="38"/>
      <c r="AU56" s="38"/>
      <c r="AV56" s="38"/>
      <c r="AW56" s="38"/>
      <c r="AX56" s="38"/>
      <c r="AY56" s="38"/>
      <c r="AZ56" s="38"/>
      <c r="BA56" s="38"/>
      <c r="BB56" s="38"/>
      <c r="BC56" s="38"/>
      <c r="BD56" s="38"/>
      <c r="BE56" s="38"/>
      <c r="BF56" s="38"/>
      <c r="BG56" s="38"/>
      <c r="BH56" s="38"/>
      <c r="BI56" s="38"/>
    </row>
    <row r="57" spans="1:124" s="10" customFormat="1" ht="21" customHeight="1" thickTop="1" x14ac:dyDescent="0.3">
      <c r="A57" s="13" t="s">
        <v>28</v>
      </c>
      <c r="B57" s="38">
        <f>+Parameters!B13</f>
        <v>6000</v>
      </c>
      <c r="C57" s="38"/>
      <c r="D57" s="38"/>
      <c r="E57" s="38"/>
      <c r="F57" s="38"/>
      <c r="G57" s="38"/>
      <c r="H57" s="38"/>
      <c r="I57" s="38"/>
      <c r="J57" s="38"/>
      <c r="K57" s="38"/>
      <c r="L57" s="38"/>
      <c r="M57" s="38"/>
      <c r="N57" s="38"/>
      <c r="O57" s="38"/>
      <c r="P57" s="38"/>
      <c r="Q57" s="38"/>
      <c r="R57" s="38"/>
      <c r="S57" s="38"/>
      <c r="T57" s="38"/>
      <c r="U57" s="38"/>
      <c r="V57" s="38"/>
      <c r="W57" s="38"/>
      <c r="X57" s="38"/>
      <c r="Y57" s="38"/>
      <c r="Z57" s="38"/>
      <c r="AA57" s="38"/>
      <c r="AB57" s="38"/>
      <c r="AC57" s="38"/>
      <c r="AD57" s="38"/>
      <c r="AE57" s="38"/>
      <c r="AF57" s="38"/>
      <c r="AG57" s="38"/>
      <c r="AH57" s="38"/>
      <c r="AI57" s="38"/>
      <c r="AJ57" s="38"/>
      <c r="AK57" s="38"/>
      <c r="AL57" s="38"/>
      <c r="AM57" s="38"/>
      <c r="AN57" s="38"/>
      <c r="AO57" s="38"/>
      <c r="AP57" s="38"/>
      <c r="AQ57" s="38"/>
      <c r="AR57" s="38"/>
      <c r="AS57" s="38"/>
      <c r="AT57" s="38"/>
      <c r="AU57" s="38"/>
      <c r="AV57" s="38"/>
      <c r="AW57" s="38"/>
      <c r="AX57" s="38"/>
      <c r="AY57" s="38"/>
      <c r="AZ57" s="38"/>
      <c r="BA57" s="38"/>
      <c r="BB57" s="38"/>
      <c r="BC57" s="38"/>
      <c r="BD57" s="38"/>
      <c r="BE57" s="38"/>
      <c r="BF57" s="38"/>
      <c r="BG57" s="38"/>
      <c r="BH57" s="38"/>
      <c r="BI57" s="38"/>
    </row>
    <row r="58" spans="1:124" s="10" customFormat="1" ht="21" customHeight="1" thickBot="1" x14ac:dyDescent="0.35">
      <c r="A58" s="32" t="s">
        <v>216</v>
      </c>
      <c r="B58" s="38"/>
      <c r="C58" s="38"/>
      <c r="D58" s="38"/>
      <c r="E58" s="38"/>
      <c r="F58" s="38"/>
      <c r="G58" s="38"/>
      <c r="H58" s="38"/>
      <c r="I58" s="38"/>
      <c r="J58" s="38"/>
      <c r="K58" s="38"/>
      <c r="L58" s="38"/>
      <c r="M58" s="38"/>
      <c r="N58" s="38"/>
      <c r="O58" s="38"/>
      <c r="P58" s="38"/>
      <c r="Q58" s="38"/>
      <c r="R58" s="38"/>
      <c r="S58" s="38"/>
      <c r="T58" s="38"/>
      <c r="U58" s="38"/>
      <c r="V58" s="38"/>
      <c r="W58" s="38"/>
      <c r="X58" s="38"/>
      <c r="Y58" s="38"/>
      <c r="Z58" s="38"/>
      <c r="AA58" s="38"/>
      <c r="AB58" s="38"/>
      <c r="AC58" s="38"/>
      <c r="AD58" s="38"/>
      <c r="AE58" s="38"/>
      <c r="AF58" s="38"/>
      <c r="AG58" s="38"/>
      <c r="AH58" s="38"/>
      <c r="AI58" s="38"/>
      <c r="AJ58" s="38"/>
      <c r="AK58" s="38"/>
      <c r="AL58" s="38"/>
      <c r="AM58" s="38"/>
      <c r="AN58" s="38"/>
      <c r="AO58" s="38"/>
      <c r="AP58" s="38"/>
      <c r="AQ58" s="38"/>
      <c r="AR58" s="38"/>
      <c r="AS58" s="38"/>
      <c r="AT58" s="38"/>
      <c r="AU58" s="38"/>
      <c r="AV58" s="38"/>
      <c r="AW58" s="38"/>
      <c r="AX58" s="38"/>
      <c r="AY58" s="38"/>
      <c r="AZ58" s="38"/>
      <c r="BA58" s="38"/>
      <c r="BB58" s="38"/>
      <c r="BC58" s="38"/>
      <c r="BD58" s="38"/>
      <c r="BE58" s="38"/>
      <c r="BF58" s="38"/>
      <c r="BG58" s="38"/>
      <c r="BH58" s="38"/>
      <c r="BI58" s="38"/>
    </row>
    <row r="59" spans="1:124" s="10" customFormat="1" ht="21" customHeight="1" thickTop="1" x14ac:dyDescent="0.3">
      <c r="A59" s="13" t="s">
        <v>46</v>
      </c>
      <c r="D59" s="38"/>
      <c r="E59" s="38"/>
      <c r="F59" s="38"/>
      <c r="G59" s="38"/>
      <c r="H59" s="38"/>
      <c r="I59" s="38"/>
      <c r="J59" s="38"/>
      <c r="K59" s="38"/>
      <c r="L59" s="38"/>
      <c r="M59" s="38"/>
      <c r="N59" s="38"/>
      <c r="O59" s="38"/>
      <c r="P59" s="38"/>
      <c r="Q59" s="38"/>
      <c r="R59" s="38"/>
      <c r="S59" s="38"/>
      <c r="T59" s="38"/>
      <c r="U59" s="38"/>
      <c r="V59" s="38"/>
      <c r="W59" s="38"/>
      <c r="X59" s="38"/>
      <c r="Y59" s="38"/>
      <c r="Z59" s="38"/>
      <c r="AA59" s="38"/>
      <c r="AB59" s="38"/>
      <c r="AC59" s="38"/>
      <c r="AD59" s="38"/>
      <c r="AE59" s="38"/>
      <c r="AF59" s="38"/>
      <c r="AG59" s="38"/>
      <c r="AH59" s="38"/>
      <c r="AI59" s="38"/>
      <c r="AJ59" s="38"/>
      <c r="AK59" s="38"/>
      <c r="AL59" s="38"/>
      <c r="AM59" s="38"/>
      <c r="AN59" s="38"/>
      <c r="AO59" s="38"/>
      <c r="AP59" s="38"/>
      <c r="AQ59" s="38"/>
      <c r="AR59" s="38"/>
      <c r="AS59" s="38"/>
      <c r="AT59" s="38"/>
      <c r="AU59" s="38"/>
      <c r="AV59" s="38"/>
      <c r="AW59" s="38"/>
      <c r="AX59" s="38"/>
      <c r="AY59" s="38"/>
      <c r="AZ59" s="38"/>
      <c r="BA59" s="38"/>
      <c r="BB59" s="38"/>
      <c r="BC59" s="38"/>
      <c r="BD59" s="38"/>
      <c r="BE59" s="38"/>
      <c r="BF59" s="38"/>
      <c r="BG59" s="38"/>
      <c r="BH59" s="38"/>
      <c r="BI59" s="38"/>
    </row>
    <row r="60" spans="1:124" s="10" customFormat="1" ht="21" customHeight="1" x14ac:dyDescent="0.3">
      <c r="A60" s="13" t="s">
        <v>271</v>
      </c>
      <c r="B60" s="38">
        <f>+Parameters!C59</f>
        <v>818.98500000000001</v>
      </c>
      <c r="C60" s="38"/>
      <c r="D60" s="38"/>
      <c r="E60" s="38"/>
      <c r="F60" s="38"/>
      <c r="G60" s="38"/>
      <c r="H60" s="38"/>
      <c r="I60" s="38"/>
      <c r="J60" s="38"/>
      <c r="K60" s="38"/>
      <c r="L60" s="38"/>
      <c r="M60" s="38"/>
      <c r="N60" s="38"/>
      <c r="O60" s="38"/>
      <c r="P60" s="38"/>
      <c r="Q60" s="38"/>
      <c r="R60" s="38"/>
      <c r="S60" s="38"/>
      <c r="T60" s="38"/>
      <c r="U60" s="38"/>
      <c r="V60" s="38"/>
      <c r="W60" s="38"/>
      <c r="X60" s="38"/>
      <c r="Y60" s="38"/>
      <c r="Z60" s="38"/>
      <c r="AA60" s="38"/>
      <c r="AB60" s="38"/>
      <c r="AC60" s="38"/>
      <c r="AD60" s="38"/>
      <c r="AE60" s="38"/>
      <c r="AF60" s="38"/>
      <c r="AG60" s="38"/>
      <c r="AH60" s="38"/>
      <c r="AI60" s="38"/>
      <c r="AJ60" s="38"/>
      <c r="AK60" s="38"/>
      <c r="AL60" s="38"/>
      <c r="AM60" s="38"/>
      <c r="AN60" s="38"/>
      <c r="AO60" s="38"/>
      <c r="AP60" s="38"/>
      <c r="AQ60" s="38"/>
      <c r="AR60" s="38"/>
      <c r="AS60" s="38"/>
      <c r="AT60" s="38"/>
      <c r="AU60" s="38"/>
      <c r="AV60" s="38"/>
      <c r="AW60" s="38"/>
      <c r="AX60" s="38"/>
      <c r="AY60" s="38"/>
      <c r="AZ60" s="38"/>
      <c r="BA60" s="38"/>
      <c r="BB60" s="38"/>
      <c r="BC60" s="38"/>
      <c r="BD60" s="38"/>
      <c r="BE60" s="38"/>
      <c r="BF60" s="38"/>
      <c r="BG60" s="38"/>
      <c r="BH60" s="38"/>
      <c r="BI60" s="38"/>
    </row>
    <row r="61" spans="1:124" s="10" customFormat="1" ht="21" customHeight="1" x14ac:dyDescent="0.3">
      <c r="A61" s="13" t="s">
        <v>272</v>
      </c>
      <c r="B61" s="38">
        <f>+Parameters!C60</f>
        <v>839.64599999999996</v>
      </c>
      <c r="C61" s="38"/>
      <c r="D61" s="38"/>
      <c r="E61" s="38"/>
      <c r="F61" s="38"/>
      <c r="G61" s="38"/>
      <c r="H61" s="38"/>
      <c r="I61" s="38"/>
      <c r="J61" s="38"/>
      <c r="K61" s="38"/>
      <c r="L61" s="38"/>
      <c r="M61" s="38"/>
      <c r="N61" s="38"/>
      <c r="O61" s="38"/>
      <c r="P61" s="38"/>
      <c r="Q61" s="38"/>
      <c r="R61" s="38"/>
      <c r="S61" s="38"/>
      <c r="T61" s="38"/>
      <c r="U61" s="38"/>
      <c r="V61" s="38"/>
      <c r="W61" s="38"/>
      <c r="X61" s="38"/>
      <c r="Y61" s="38"/>
      <c r="Z61" s="38"/>
      <c r="AA61" s="38"/>
      <c r="AB61" s="38"/>
      <c r="AC61" s="38"/>
      <c r="AD61" s="38"/>
      <c r="AE61" s="38"/>
      <c r="AF61" s="38"/>
      <c r="AG61" s="38"/>
      <c r="AH61" s="38"/>
      <c r="AI61" s="38"/>
      <c r="AJ61" s="38"/>
      <c r="AK61" s="38"/>
      <c r="AL61" s="38"/>
      <c r="AM61" s="38"/>
      <c r="AN61" s="38"/>
      <c r="AO61" s="38"/>
      <c r="AP61" s="38"/>
      <c r="AQ61" s="38"/>
      <c r="AR61" s="38"/>
      <c r="AS61" s="38"/>
      <c r="AT61" s="38"/>
      <c r="AU61" s="38"/>
      <c r="AV61" s="38"/>
      <c r="AW61" s="38"/>
      <c r="AX61" s="38"/>
      <c r="AY61" s="38"/>
      <c r="AZ61" s="38"/>
      <c r="BA61" s="38"/>
      <c r="BB61" s="38"/>
      <c r="BC61" s="38"/>
      <c r="BD61" s="38"/>
      <c r="BE61" s="38"/>
      <c r="BF61" s="38"/>
      <c r="BG61" s="38"/>
      <c r="BH61" s="38"/>
      <c r="BI61" s="38"/>
    </row>
    <row r="62" spans="1:124" s="10" customFormat="1" ht="21" customHeight="1" x14ac:dyDescent="0.3">
      <c r="A62" s="13" t="s">
        <v>214</v>
      </c>
      <c r="B62" s="38">
        <f>+Parameters!B61</f>
        <v>1527</v>
      </c>
      <c r="C62" s="38"/>
      <c r="D62" s="38"/>
      <c r="E62" s="38"/>
      <c r="F62" s="38"/>
      <c r="G62" s="38"/>
      <c r="H62" s="38"/>
      <c r="I62" s="38"/>
      <c r="J62" s="38"/>
      <c r="K62" s="38"/>
      <c r="L62" s="38"/>
      <c r="M62" s="38"/>
      <c r="N62" s="38"/>
      <c r="O62" s="38"/>
      <c r="P62" s="38"/>
      <c r="Q62" s="38"/>
      <c r="R62" s="38"/>
      <c r="S62" s="38"/>
      <c r="T62" s="38"/>
      <c r="U62" s="38"/>
      <c r="V62" s="38"/>
      <c r="W62" s="38"/>
      <c r="X62" s="38"/>
      <c r="Y62" s="38"/>
      <c r="Z62" s="38"/>
      <c r="AA62" s="38"/>
      <c r="AB62" s="38"/>
      <c r="AC62" s="38"/>
      <c r="AD62" s="38"/>
      <c r="AE62" s="38"/>
      <c r="AF62" s="38"/>
      <c r="AG62" s="38"/>
      <c r="AH62" s="38"/>
      <c r="AI62" s="38"/>
      <c r="AJ62" s="38"/>
      <c r="AK62" s="38"/>
      <c r="AL62" s="38"/>
      <c r="AM62" s="38"/>
      <c r="AN62" s="38"/>
      <c r="AO62" s="38"/>
      <c r="AP62" s="38"/>
      <c r="AQ62" s="38"/>
      <c r="AR62" s="38"/>
      <c r="AS62" s="38"/>
      <c r="AT62" s="38"/>
      <c r="AU62" s="38"/>
      <c r="AV62" s="38"/>
      <c r="AW62" s="38"/>
      <c r="AX62" s="38"/>
      <c r="AY62" s="38"/>
      <c r="AZ62" s="38"/>
      <c r="BA62" s="38"/>
      <c r="BB62" s="38"/>
      <c r="BC62" s="38"/>
      <c r="BD62" s="38"/>
      <c r="BE62" s="38"/>
      <c r="BF62" s="38"/>
      <c r="BG62" s="38"/>
      <c r="BH62" s="38"/>
      <c r="BI62" s="38"/>
    </row>
    <row r="63" spans="1:124" s="10" customFormat="1" ht="21" customHeight="1" x14ac:dyDescent="0.3">
      <c r="A63" s="13" t="s">
        <v>215</v>
      </c>
      <c r="B63" s="38">
        <f>+Parameters!B62</f>
        <v>10010</v>
      </c>
      <c r="C63" s="38"/>
      <c r="D63" s="38"/>
      <c r="E63" s="38"/>
      <c r="F63" s="38"/>
      <c r="G63" s="38"/>
      <c r="H63" s="38"/>
      <c r="I63" s="38"/>
      <c r="J63" s="38"/>
      <c r="K63" s="38"/>
      <c r="L63" s="38"/>
      <c r="M63" s="38"/>
      <c r="N63" s="38"/>
      <c r="O63" s="38"/>
      <c r="P63" s="38"/>
      <c r="Q63" s="38"/>
      <c r="R63" s="38"/>
      <c r="S63" s="38"/>
      <c r="T63" s="38"/>
      <c r="U63" s="38"/>
      <c r="V63" s="38"/>
      <c r="W63" s="38"/>
      <c r="X63" s="38"/>
      <c r="Y63" s="38"/>
      <c r="Z63" s="38"/>
      <c r="AA63" s="38"/>
      <c r="AB63" s="38"/>
      <c r="AC63" s="38"/>
      <c r="AD63" s="38"/>
      <c r="AE63" s="38"/>
      <c r="AF63" s="38"/>
      <c r="AG63" s="38"/>
      <c r="AH63" s="38"/>
      <c r="AI63" s="38"/>
      <c r="AJ63" s="38"/>
      <c r="AK63" s="38"/>
      <c r="AL63" s="38"/>
      <c r="AM63" s="38"/>
      <c r="AN63" s="38"/>
      <c r="AO63" s="38"/>
      <c r="AP63" s="38"/>
      <c r="AQ63" s="38"/>
      <c r="AR63" s="38"/>
      <c r="AS63" s="38"/>
      <c r="AT63" s="38"/>
      <c r="AU63" s="38"/>
      <c r="AV63" s="38"/>
      <c r="AW63" s="38"/>
      <c r="AX63" s="38"/>
      <c r="AY63" s="38"/>
      <c r="AZ63" s="38"/>
      <c r="BA63" s="38"/>
      <c r="BB63" s="38"/>
      <c r="BC63" s="38"/>
      <c r="BD63" s="38"/>
      <c r="BE63" s="38"/>
      <c r="BF63" s="38"/>
      <c r="BG63" s="38"/>
      <c r="BH63" s="38"/>
      <c r="BI63" s="38"/>
    </row>
    <row r="64" spans="1:124" s="10" customFormat="1" ht="21" customHeight="1" thickBot="1" x14ac:dyDescent="0.35">
      <c r="A64" s="32" t="s">
        <v>217</v>
      </c>
      <c r="B64" s="38"/>
      <c r="C64" s="38"/>
      <c r="D64" s="38"/>
      <c r="E64" s="38"/>
      <c r="F64" s="38"/>
      <c r="G64" s="38"/>
      <c r="H64" s="38"/>
      <c r="I64" s="38"/>
      <c r="J64" s="38"/>
      <c r="K64" s="38"/>
      <c r="L64" s="38"/>
      <c r="M64" s="38"/>
      <c r="N64" s="38"/>
      <c r="O64" s="38"/>
      <c r="P64" s="38"/>
      <c r="Q64" s="38"/>
      <c r="R64" s="38"/>
      <c r="S64" s="38"/>
      <c r="T64" s="38"/>
      <c r="U64" s="38"/>
      <c r="V64" s="38"/>
      <c r="W64" s="38"/>
      <c r="X64" s="38"/>
      <c r="Y64" s="38"/>
      <c r="Z64" s="38"/>
      <c r="AA64" s="38"/>
      <c r="AB64" s="38"/>
      <c r="AC64" s="38"/>
      <c r="AD64" s="38"/>
      <c r="AE64" s="38"/>
      <c r="AF64" s="38"/>
      <c r="AG64" s="38"/>
      <c r="AH64" s="38"/>
      <c r="AI64" s="38"/>
      <c r="AJ64" s="38"/>
      <c r="AK64" s="38"/>
      <c r="AL64" s="38"/>
      <c r="AM64" s="38"/>
      <c r="AN64" s="38"/>
      <c r="AO64" s="38"/>
      <c r="AP64" s="38"/>
      <c r="AQ64" s="38"/>
      <c r="AR64" s="38"/>
      <c r="AS64" s="38"/>
      <c r="AT64" s="38"/>
      <c r="AU64" s="38"/>
      <c r="AV64" s="38"/>
      <c r="AW64" s="38"/>
      <c r="AX64" s="38"/>
      <c r="AY64" s="38"/>
      <c r="AZ64" s="38"/>
      <c r="BA64" s="38"/>
      <c r="BB64" s="38"/>
      <c r="BC64" s="38"/>
      <c r="BD64" s="38"/>
      <c r="BE64" s="38"/>
      <c r="BF64" s="38"/>
      <c r="BG64" s="38"/>
      <c r="BH64" s="38"/>
      <c r="BI64" s="38"/>
    </row>
    <row r="65" spans="1:124" s="10" customFormat="1" ht="21" customHeight="1" thickTop="1" x14ac:dyDescent="0.3">
      <c r="A65" s="13" t="s">
        <v>218</v>
      </c>
      <c r="B65" s="38">
        <f>+Parameters!B64</f>
        <v>91.2</v>
      </c>
      <c r="C65" s="38"/>
      <c r="D65" s="38"/>
      <c r="E65" s="38"/>
      <c r="F65" s="38"/>
      <c r="G65" s="38"/>
      <c r="H65" s="38"/>
      <c r="I65" s="38"/>
      <c r="J65" s="38"/>
      <c r="K65" s="38"/>
      <c r="L65" s="38"/>
      <c r="M65" s="38"/>
      <c r="N65" s="38"/>
      <c r="O65" s="38"/>
      <c r="P65" s="38"/>
      <c r="Q65" s="38"/>
      <c r="R65" s="38"/>
      <c r="S65" s="38"/>
      <c r="T65" s="38"/>
      <c r="U65" s="38"/>
      <c r="V65" s="38"/>
      <c r="W65" s="38"/>
      <c r="X65" s="38"/>
      <c r="Y65" s="38"/>
      <c r="Z65" s="38"/>
      <c r="AA65" s="38"/>
      <c r="AB65" s="38"/>
      <c r="AC65" s="38"/>
      <c r="AD65" s="38"/>
      <c r="AE65" s="38"/>
      <c r="AF65" s="38"/>
      <c r="AG65" s="38"/>
      <c r="AH65" s="38"/>
      <c r="AI65" s="38"/>
      <c r="AJ65" s="38"/>
      <c r="AK65" s="38"/>
      <c r="AL65" s="38"/>
      <c r="AM65" s="38"/>
      <c r="AN65" s="38"/>
      <c r="AO65" s="38"/>
      <c r="AP65" s="38"/>
      <c r="AQ65" s="38"/>
      <c r="AR65" s="38"/>
      <c r="AS65" s="38"/>
      <c r="AT65" s="38"/>
      <c r="AU65" s="38"/>
      <c r="AV65" s="38"/>
      <c r="AW65" s="38"/>
      <c r="AX65" s="38"/>
      <c r="AY65" s="38"/>
      <c r="AZ65" s="38"/>
      <c r="BA65" s="38"/>
      <c r="BB65" s="38"/>
      <c r="BC65" s="38"/>
      <c r="BD65" s="38"/>
      <c r="BE65" s="38"/>
      <c r="BF65" s="38"/>
      <c r="BG65" s="38"/>
      <c r="BH65" s="38"/>
      <c r="BI65" s="38"/>
    </row>
    <row r="66" spans="1:124" s="10" customFormat="1" ht="21" customHeight="1" x14ac:dyDescent="0.3">
      <c r="A66" s="13" t="s">
        <v>219</v>
      </c>
      <c r="B66" s="38">
        <f>+Parameters!B65</f>
        <v>3.8328888888888892</v>
      </c>
      <c r="C66" s="38"/>
      <c r="D66" s="38"/>
      <c r="E66" s="38"/>
      <c r="F66" s="38"/>
      <c r="G66" s="38"/>
      <c r="H66" s="38"/>
      <c r="I66" s="38"/>
      <c r="J66" s="38"/>
      <c r="K66" s="38"/>
      <c r="L66" s="38"/>
      <c r="M66" s="38"/>
      <c r="N66" s="38"/>
      <c r="O66" s="38"/>
      <c r="P66" s="38"/>
      <c r="Q66" s="38"/>
      <c r="R66" s="38"/>
      <c r="S66" s="38"/>
      <c r="T66" s="38"/>
      <c r="U66" s="38"/>
      <c r="V66" s="38"/>
      <c r="W66" s="38"/>
      <c r="X66" s="38"/>
      <c r="Y66" s="38"/>
      <c r="Z66" s="38"/>
      <c r="AA66" s="38"/>
      <c r="AB66" s="38"/>
      <c r="AC66" s="38"/>
      <c r="AD66" s="38"/>
      <c r="AE66" s="38"/>
      <c r="AF66" s="38"/>
      <c r="AG66" s="38"/>
      <c r="AH66" s="38"/>
      <c r="AI66" s="38"/>
      <c r="AJ66" s="38"/>
      <c r="AK66" s="38"/>
      <c r="AL66" s="38"/>
      <c r="AM66" s="38"/>
      <c r="AN66" s="38"/>
      <c r="AO66" s="38"/>
      <c r="AP66" s="38"/>
      <c r="AQ66" s="38"/>
      <c r="AR66" s="38"/>
      <c r="AS66" s="38"/>
      <c r="AT66" s="38"/>
      <c r="AU66" s="38"/>
      <c r="AV66" s="38"/>
      <c r="AW66" s="38"/>
      <c r="AX66" s="38"/>
      <c r="AY66" s="38"/>
      <c r="AZ66" s="38"/>
      <c r="BA66" s="38"/>
      <c r="BB66" s="38"/>
      <c r="BC66" s="38"/>
      <c r="BD66" s="38"/>
      <c r="BE66" s="38"/>
      <c r="BF66" s="38"/>
      <c r="BG66" s="38"/>
      <c r="BH66" s="38"/>
      <c r="BI66" s="38"/>
    </row>
    <row r="67" spans="1:124" s="10" customFormat="1" ht="21" customHeight="1" x14ac:dyDescent="0.3">
      <c r="A67" s="13" t="s">
        <v>220</v>
      </c>
      <c r="B67" s="38">
        <f>+Parameters!B16</f>
        <v>8.8000000000000007</v>
      </c>
      <c r="C67" s="38"/>
      <c r="D67" s="38"/>
      <c r="E67" s="38"/>
      <c r="F67" s="38"/>
      <c r="G67" s="38"/>
      <c r="H67" s="38"/>
      <c r="I67" s="38"/>
      <c r="J67" s="38"/>
      <c r="K67" s="38"/>
      <c r="L67" s="38"/>
      <c r="M67" s="38"/>
      <c r="N67" s="38"/>
      <c r="O67" s="38"/>
      <c r="P67" s="38"/>
      <c r="Q67" s="38"/>
      <c r="R67" s="38"/>
      <c r="S67" s="38"/>
      <c r="T67" s="38"/>
      <c r="U67" s="38"/>
      <c r="V67" s="38"/>
      <c r="W67" s="38"/>
      <c r="X67" s="38"/>
      <c r="Y67" s="38"/>
      <c r="Z67" s="38"/>
      <c r="AA67" s="38"/>
      <c r="AB67" s="38"/>
      <c r="AC67" s="38"/>
      <c r="AD67" s="38"/>
      <c r="AE67" s="38"/>
      <c r="AF67" s="38"/>
      <c r="AG67" s="38"/>
      <c r="AH67" s="38"/>
      <c r="AI67" s="38"/>
      <c r="AJ67" s="38"/>
      <c r="AK67" s="38"/>
      <c r="AL67" s="38"/>
      <c r="AM67" s="38"/>
      <c r="AN67" s="38"/>
      <c r="AO67" s="38"/>
      <c r="AP67" s="38"/>
      <c r="AQ67" s="38"/>
      <c r="AR67" s="38"/>
      <c r="AS67" s="38"/>
      <c r="AT67" s="38"/>
      <c r="AU67" s="38"/>
      <c r="AV67" s="38"/>
      <c r="AW67" s="38"/>
      <c r="AX67" s="38"/>
      <c r="AY67" s="38"/>
      <c r="AZ67" s="38"/>
      <c r="BA67" s="38"/>
      <c r="BB67" s="38"/>
      <c r="BC67" s="38"/>
      <c r="BD67" s="38"/>
      <c r="BE67" s="38"/>
      <c r="BF67" s="38"/>
      <c r="BG67" s="38"/>
      <c r="BH67" s="38"/>
      <c r="BI67" s="38"/>
    </row>
    <row r="68" spans="1:124" s="10" customFormat="1" ht="21" customHeight="1" x14ac:dyDescent="0.3">
      <c r="A68" s="13" t="s">
        <v>224</v>
      </c>
      <c r="B68" s="38">
        <f>+Parameters!B67</f>
        <v>95.917111111111112</v>
      </c>
      <c r="C68" s="38"/>
      <c r="D68" s="38"/>
      <c r="E68" s="38"/>
      <c r="F68" s="38"/>
      <c r="G68" s="38"/>
      <c r="H68" s="38"/>
      <c r="I68" s="38"/>
      <c r="J68" s="38"/>
      <c r="K68" s="38"/>
      <c r="L68" s="38"/>
      <c r="M68" s="38"/>
      <c r="N68" s="38"/>
      <c r="O68" s="38"/>
      <c r="P68" s="38"/>
      <c r="Q68" s="38"/>
      <c r="R68" s="38"/>
      <c r="S68" s="38"/>
      <c r="T68" s="38"/>
      <c r="U68" s="38"/>
      <c r="V68" s="38"/>
      <c r="W68" s="38"/>
      <c r="X68" s="38"/>
      <c r="Y68" s="38"/>
      <c r="Z68" s="38"/>
      <c r="AA68" s="38"/>
      <c r="AB68" s="38"/>
      <c r="AC68" s="38"/>
      <c r="AD68" s="38"/>
      <c r="AE68" s="38"/>
      <c r="AF68" s="38"/>
      <c r="AG68" s="38"/>
      <c r="AH68" s="38"/>
      <c r="AI68" s="38"/>
      <c r="AJ68" s="38"/>
      <c r="AK68" s="38"/>
      <c r="AL68" s="38"/>
      <c r="AM68" s="38"/>
      <c r="AN68" s="38"/>
      <c r="AO68" s="38"/>
      <c r="AP68" s="38"/>
      <c r="AQ68" s="38"/>
      <c r="AR68" s="38"/>
      <c r="AS68" s="38"/>
      <c r="AT68" s="38"/>
      <c r="AU68" s="38"/>
      <c r="AV68" s="38"/>
      <c r="AW68" s="38"/>
      <c r="AX68" s="38"/>
      <c r="AY68" s="38"/>
      <c r="AZ68" s="38"/>
      <c r="BA68" s="38"/>
      <c r="BB68" s="38"/>
      <c r="BC68" s="38"/>
      <c r="BD68" s="38"/>
      <c r="BE68" s="38"/>
      <c r="BF68" s="38"/>
      <c r="BG68" s="38"/>
      <c r="BH68" s="38"/>
      <c r="BI68" s="38"/>
    </row>
    <row r="69" spans="1:124" s="10" customFormat="1" ht="21" customHeight="1" x14ac:dyDescent="0.3">
      <c r="A69" s="13" t="s">
        <v>221</v>
      </c>
      <c r="B69" s="38">
        <f>+Parameters!B68</f>
        <v>3.3750000000000002E-2</v>
      </c>
      <c r="C69" s="38"/>
      <c r="D69" s="38"/>
      <c r="E69" s="38"/>
      <c r="F69" s="38"/>
      <c r="G69" s="38"/>
      <c r="H69" s="38"/>
      <c r="I69" s="38"/>
      <c r="J69" s="38"/>
      <c r="K69" s="38"/>
      <c r="L69" s="38"/>
      <c r="M69" s="38"/>
      <c r="N69" s="38"/>
      <c r="O69" s="38"/>
      <c r="P69" s="38"/>
      <c r="Q69" s="38"/>
      <c r="R69" s="38"/>
      <c r="S69" s="38"/>
      <c r="T69" s="38"/>
      <c r="U69" s="38"/>
      <c r="V69" s="38"/>
      <c r="W69" s="38"/>
      <c r="X69" s="38"/>
      <c r="Y69" s="38"/>
      <c r="Z69" s="38"/>
      <c r="AA69" s="38"/>
      <c r="AB69" s="38"/>
      <c r="AC69" s="38"/>
      <c r="AD69" s="38"/>
      <c r="AE69" s="38"/>
      <c r="AF69" s="38"/>
      <c r="AG69" s="38"/>
      <c r="AH69" s="38"/>
      <c r="AI69" s="38"/>
      <c r="AJ69" s="38"/>
      <c r="AK69" s="38"/>
      <c r="AL69" s="38"/>
      <c r="AM69" s="38"/>
      <c r="AN69" s="38"/>
      <c r="AO69" s="38"/>
      <c r="AP69" s="38"/>
      <c r="AQ69" s="38"/>
      <c r="AR69" s="38"/>
      <c r="AS69" s="38"/>
      <c r="AT69" s="38"/>
      <c r="AU69" s="38"/>
      <c r="AV69" s="38"/>
      <c r="AW69" s="38"/>
      <c r="AX69" s="38"/>
      <c r="AY69" s="38"/>
      <c r="AZ69" s="38"/>
      <c r="BA69" s="38"/>
      <c r="BB69" s="38"/>
      <c r="BC69" s="38"/>
      <c r="BD69" s="38"/>
      <c r="BE69" s="38"/>
      <c r="BF69" s="38"/>
      <c r="BG69" s="38"/>
      <c r="BH69" s="38"/>
      <c r="BI69" s="38"/>
    </row>
    <row r="70" spans="1:124" s="10" customFormat="1" ht="21" customHeight="1" x14ac:dyDescent="0.3">
      <c r="A70" s="13" t="s">
        <v>222</v>
      </c>
      <c r="B70" s="38">
        <f>+Parameters!B69</f>
        <v>0.25</v>
      </c>
      <c r="C70" s="38"/>
      <c r="D70" s="38"/>
      <c r="E70" s="38"/>
      <c r="F70" s="38"/>
      <c r="G70" s="38"/>
      <c r="H70" s="38"/>
      <c r="I70" s="38"/>
      <c r="J70" s="38"/>
      <c r="K70" s="38"/>
      <c r="L70" s="38"/>
      <c r="M70" s="38"/>
      <c r="N70" s="38"/>
      <c r="O70" s="38"/>
      <c r="P70" s="38"/>
      <c r="Q70" s="38"/>
      <c r="R70" s="38"/>
      <c r="S70" s="38"/>
      <c r="T70" s="38"/>
      <c r="U70" s="38"/>
      <c r="V70" s="38"/>
      <c r="W70" s="38"/>
      <c r="X70" s="38"/>
      <c r="Y70" s="38"/>
      <c r="Z70" s="38"/>
      <c r="AA70" s="38"/>
      <c r="AB70" s="38"/>
      <c r="AC70" s="38"/>
      <c r="AD70" s="38"/>
      <c r="AE70" s="38"/>
      <c r="AF70" s="38"/>
      <c r="AG70" s="38"/>
      <c r="AH70" s="38"/>
      <c r="AI70" s="38"/>
      <c r="AJ70" s="38"/>
      <c r="AK70" s="38"/>
      <c r="AL70" s="38"/>
      <c r="AM70" s="38"/>
      <c r="AN70" s="38"/>
      <c r="AO70" s="38"/>
      <c r="AP70" s="38"/>
      <c r="AQ70" s="38"/>
      <c r="AR70" s="38"/>
      <c r="AS70" s="38"/>
      <c r="AT70" s="38"/>
      <c r="AU70" s="38"/>
      <c r="AV70" s="38"/>
      <c r="AW70" s="38"/>
      <c r="AX70" s="38"/>
      <c r="AY70" s="38"/>
      <c r="AZ70" s="38"/>
      <c r="BA70" s="38"/>
      <c r="BB70" s="38"/>
      <c r="BC70" s="38"/>
      <c r="BD70" s="38"/>
      <c r="BE70" s="38"/>
      <c r="BF70" s="38"/>
      <c r="BG70" s="38"/>
      <c r="BH70" s="38"/>
      <c r="BI70" s="38"/>
    </row>
    <row r="71" spans="1:124" s="10" customFormat="1" ht="21" customHeight="1" x14ac:dyDescent="0.3">
      <c r="A71" s="13" t="s">
        <v>223</v>
      </c>
      <c r="B71" s="38">
        <f>+Parameters!B70</f>
        <v>99.966250000000002</v>
      </c>
      <c r="C71" s="38"/>
      <c r="D71" s="38"/>
      <c r="E71" s="38"/>
      <c r="F71" s="38"/>
      <c r="G71" s="38"/>
      <c r="H71" s="38"/>
      <c r="I71" s="38"/>
      <c r="J71" s="38"/>
      <c r="K71" s="38"/>
      <c r="L71" s="38"/>
      <c r="M71" s="38"/>
      <c r="N71" s="38"/>
      <c r="O71" s="38"/>
      <c r="P71" s="38"/>
      <c r="Q71" s="38"/>
      <c r="R71" s="38"/>
      <c r="S71" s="38"/>
      <c r="T71" s="38"/>
      <c r="U71" s="38"/>
      <c r="V71" s="38"/>
      <c r="W71" s="38"/>
      <c r="X71" s="38"/>
      <c r="Y71" s="38"/>
      <c r="Z71" s="38"/>
      <c r="AA71" s="38"/>
      <c r="AB71" s="38"/>
      <c r="AC71" s="38"/>
      <c r="AD71" s="38"/>
      <c r="AE71" s="38"/>
      <c r="AF71" s="38"/>
      <c r="AG71" s="38"/>
      <c r="AH71" s="38"/>
      <c r="AI71" s="38"/>
      <c r="AJ71" s="38"/>
      <c r="AK71" s="38"/>
      <c r="AL71" s="38"/>
      <c r="AM71" s="38"/>
      <c r="AN71" s="38"/>
      <c r="AO71" s="38"/>
      <c r="AP71" s="38"/>
      <c r="AQ71" s="38"/>
      <c r="AR71" s="38"/>
      <c r="AS71" s="38"/>
      <c r="AT71" s="38"/>
      <c r="AU71" s="38"/>
      <c r="AV71" s="38"/>
      <c r="AW71" s="38"/>
      <c r="AX71" s="38"/>
      <c r="AY71" s="38"/>
      <c r="AZ71" s="38"/>
      <c r="BA71" s="38"/>
      <c r="BB71" s="38"/>
      <c r="BC71" s="38"/>
      <c r="BD71" s="38"/>
      <c r="BE71" s="38"/>
      <c r="BF71" s="38"/>
      <c r="BG71" s="38"/>
      <c r="BH71" s="38"/>
      <c r="BI71" s="38"/>
    </row>
    <row r="72" spans="1:124" s="10" customFormat="1" ht="21" customHeight="1" thickBot="1" x14ac:dyDescent="0.35">
      <c r="A72" s="32" t="s">
        <v>225</v>
      </c>
      <c r="B72" s="38"/>
      <c r="C72" s="38"/>
      <c r="D72" s="38"/>
      <c r="E72" s="38"/>
      <c r="F72" s="38"/>
      <c r="G72" s="38"/>
      <c r="H72" s="38"/>
      <c r="I72" s="38"/>
      <c r="J72" s="38"/>
      <c r="K72" s="38"/>
      <c r="L72" s="38"/>
      <c r="M72" s="38"/>
      <c r="N72" s="38"/>
      <c r="O72" s="38"/>
      <c r="P72" s="38"/>
      <c r="Q72" s="38"/>
      <c r="R72" s="38"/>
      <c r="S72" s="38"/>
      <c r="T72" s="38"/>
      <c r="U72" s="38"/>
      <c r="V72" s="38"/>
      <c r="W72" s="38"/>
      <c r="X72" s="38"/>
      <c r="Y72" s="38"/>
      <c r="Z72" s="38"/>
      <c r="AA72" s="38"/>
      <c r="AB72" s="38"/>
      <c r="AC72" s="38"/>
      <c r="AD72" s="38"/>
      <c r="AE72" s="38"/>
      <c r="AF72" s="38"/>
      <c r="AG72" s="38"/>
      <c r="AH72" s="38"/>
      <c r="AI72" s="38"/>
      <c r="AJ72" s="38"/>
      <c r="AK72" s="38"/>
      <c r="AL72" s="38"/>
      <c r="AM72" s="38"/>
      <c r="AN72" s="38"/>
      <c r="AO72" s="38"/>
      <c r="AP72" s="38"/>
      <c r="AQ72" s="38"/>
      <c r="AR72" s="38"/>
      <c r="AS72" s="38"/>
      <c r="AT72" s="38"/>
      <c r="AU72" s="38"/>
      <c r="AV72" s="38"/>
      <c r="AW72" s="38"/>
      <c r="AX72" s="38"/>
      <c r="AY72" s="38"/>
      <c r="AZ72" s="38"/>
      <c r="BA72" s="38"/>
      <c r="BB72" s="38"/>
      <c r="BC72" s="38"/>
      <c r="BD72" s="38"/>
      <c r="BE72" s="38"/>
      <c r="BF72" s="38"/>
      <c r="BG72" s="38"/>
      <c r="BH72" s="38"/>
      <c r="BI72" s="38"/>
    </row>
    <row r="73" spans="1:124" s="10" customFormat="1" ht="21" customHeight="1" thickTop="1" x14ac:dyDescent="0.3">
      <c r="A73" s="13" t="s">
        <v>42</v>
      </c>
      <c r="B73" s="38">
        <f t="shared" ref="B73:S73" si="13">+$B$74+0.05*($B$75-$B$74)*(2+B1-1)</f>
        <v>7.9999999999999932E-3</v>
      </c>
      <c r="C73" s="38">
        <f t="shared" si="13"/>
        <v>4.1999999999999982E-2</v>
      </c>
      <c r="D73" s="38">
        <f t="shared" si="13"/>
        <v>7.5999999999999984E-2</v>
      </c>
      <c r="E73" s="38">
        <f t="shared" si="13"/>
        <v>0.10999999999999999</v>
      </c>
      <c r="F73" s="38">
        <f t="shared" si="13"/>
        <v>0.14399999999999996</v>
      </c>
      <c r="G73" s="38">
        <f t="shared" si="13"/>
        <v>0.17799999999999996</v>
      </c>
      <c r="H73" s="38">
        <f t="shared" si="13"/>
        <v>0.21199999999999997</v>
      </c>
      <c r="I73" s="38">
        <f t="shared" si="13"/>
        <v>0.24599999999999994</v>
      </c>
      <c r="J73" s="38">
        <f t="shared" si="13"/>
        <v>0.27999999999999997</v>
      </c>
      <c r="K73" s="38">
        <f t="shared" si="13"/>
        <v>0.31399999999999995</v>
      </c>
      <c r="L73" s="38">
        <f t="shared" si="13"/>
        <v>0.34799999999999992</v>
      </c>
      <c r="M73" s="38">
        <f t="shared" si="13"/>
        <v>0.38199999999999995</v>
      </c>
      <c r="N73" s="38">
        <f>+$B$74+0.05*($B$75-$B$74)*(2+N1-1)</f>
        <v>0.41599999999999993</v>
      </c>
      <c r="O73" s="38">
        <f t="shared" si="13"/>
        <v>0.4499999999999999</v>
      </c>
      <c r="P73" s="38">
        <f t="shared" si="13"/>
        <v>0.48399999999999993</v>
      </c>
      <c r="Q73" s="38">
        <f t="shared" si="13"/>
        <v>0.51800000000000002</v>
      </c>
      <c r="R73" s="38">
        <f t="shared" si="13"/>
        <v>0.55199999999999982</v>
      </c>
      <c r="S73" s="38">
        <f t="shared" si="13"/>
        <v>0.58599999999999985</v>
      </c>
      <c r="T73" s="38">
        <f>+B75</f>
        <v>0.62</v>
      </c>
      <c r="U73" s="38">
        <f>+T73</f>
        <v>0.62</v>
      </c>
      <c r="V73" s="38">
        <f t="shared" ref="V73:BI73" si="14">+U73</f>
        <v>0.62</v>
      </c>
      <c r="W73" s="38">
        <f t="shared" si="14"/>
        <v>0.62</v>
      </c>
      <c r="X73" s="38">
        <f t="shared" si="14"/>
        <v>0.62</v>
      </c>
      <c r="Y73" s="38">
        <f t="shared" si="14"/>
        <v>0.62</v>
      </c>
      <c r="Z73" s="38">
        <f t="shared" si="14"/>
        <v>0.62</v>
      </c>
      <c r="AA73" s="38">
        <f t="shared" si="14"/>
        <v>0.62</v>
      </c>
      <c r="AB73" s="38">
        <f t="shared" si="14"/>
        <v>0.62</v>
      </c>
      <c r="AC73" s="38">
        <f t="shared" si="14"/>
        <v>0.62</v>
      </c>
      <c r="AD73" s="38">
        <f t="shared" si="14"/>
        <v>0.62</v>
      </c>
      <c r="AE73" s="38">
        <f t="shared" si="14"/>
        <v>0.62</v>
      </c>
      <c r="AF73" s="38">
        <f t="shared" si="14"/>
        <v>0.62</v>
      </c>
      <c r="AG73" s="38">
        <f t="shared" si="14"/>
        <v>0.62</v>
      </c>
      <c r="AH73" s="38">
        <f t="shared" si="14"/>
        <v>0.62</v>
      </c>
      <c r="AI73" s="38">
        <f t="shared" si="14"/>
        <v>0.62</v>
      </c>
      <c r="AJ73" s="38">
        <f t="shared" si="14"/>
        <v>0.62</v>
      </c>
      <c r="AK73" s="38">
        <f t="shared" si="14"/>
        <v>0.62</v>
      </c>
      <c r="AL73" s="38">
        <f t="shared" si="14"/>
        <v>0.62</v>
      </c>
      <c r="AM73" s="38">
        <f t="shared" si="14"/>
        <v>0.62</v>
      </c>
      <c r="AN73" s="38">
        <f t="shared" si="14"/>
        <v>0.62</v>
      </c>
      <c r="AO73" s="38">
        <f t="shared" si="14"/>
        <v>0.62</v>
      </c>
      <c r="AP73" s="38">
        <f t="shared" si="14"/>
        <v>0.62</v>
      </c>
      <c r="AQ73" s="38">
        <f t="shared" si="14"/>
        <v>0.62</v>
      </c>
      <c r="AR73" s="38">
        <f t="shared" si="14"/>
        <v>0.62</v>
      </c>
      <c r="AS73" s="38">
        <f t="shared" si="14"/>
        <v>0.62</v>
      </c>
      <c r="AT73" s="38">
        <f t="shared" si="14"/>
        <v>0.62</v>
      </c>
      <c r="AU73" s="38">
        <f t="shared" si="14"/>
        <v>0.62</v>
      </c>
      <c r="AV73" s="38">
        <f t="shared" si="14"/>
        <v>0.62</v>
      </c>
      <c r="AW73" s="38">
        <f t="shared" si="14"/>
        <v>0.62</v>
      </c>
      <c r="AX73" s="38">
        <f t="shared" si="14"/>
        <v>0.62</v>
      </c>
      <c r="AY73" s="38">
        <f t="shared" si="14"/>
        <v>0.62</v>
      </c>
      <c r="AZ73" s="38">
        <f t="shared" si="14"/>
        <v>0.62</v>
      </c>
      <c r="BA73" s="38">
        <f t="shared" si="14"/>
        <v>0.62</v>
      </c>
      <c r="BB73" s="38">
        <f t="shared" si="14"/>
        <v>0.62</v>
      </c>
      <c r="BC73" s="38">
        <f t="shared" si="14"/>
        <v>0.62</v>
      </c>
      <c r="BD73" s="38">
        <f t="shared" si="14"/>
        <v>0.62</v>
      </c>
      <c r="BE73" s="38">
        <f t="shared" si="14"/>
        <v>0.62</v>
      </c>
      <c r="BF73" s="38">
        <f t="shared" si="14"/>
        <v>0.62</v>
      </c>
      <c r="BG73" s="38">
        <f t="shared" si="14"/>
        <v>0.62</v>
      </c>
      <c r="BH73" s="38">
        <f t="shared" si="14"/>
        <v>0.62</v>
      </c>
      <c r="BI73" s="38">
        <f t="shared" si="14"/>
        <v>0.62</v>
      </c>
      <c r="BJ73" s="38"/>
      <c r="BK73" s="38"/>
      <c r="BL73" s="38"/>
      <c r="BM73" s="38"/>
      <c r="BN73" s="38"/>
      <c r="BO73" s="38"/>
      <c r="BP73" s="38"/>
      <c r="BQ73" s="38"/>
      <c r="BR73" s="38"/>
      <c r="BS73" s="38"/>
      <c r="BT73" s="38"/>
      <c r="BU73" s="38"/>
      <c r="BV73" s="38"/>
      <c r="BW73" s="38"/>
      <c r="BX73" s="38"/>
      <c r="BY73" s="38"/>
      <c r="BZ73" s="38"/>
      <c r="CA73" s="38"/>
      <c r="CB73" s="38"/>
      <c r="CC73" s="38"/>
      <c r="CD73" s="38"/>
      <c r="CE73" s="38"/>
      <c r="CF73" s="38"/>
      <c r="CG73" s="38"/>
      <c r="CH73" s="38"/>
      <c r="CI73" s="38"/>
      <c r="CJ73" s="38"/>
      <c r="CK73" s="38"/>
      <c r="CL73" s="38"/>
      <c r="CM73" s="38"/>
      <c r="CN73" s="38"/>
      <c r="CO73" s="38"/>
      <c r="CP73" s="38"/>
      <c r="CQ73" s="38"/>
      <c r="CR73" s="38"/>
      <c r="CS73" s="38"/>
      <c r="CT73" s="38"/>
      <c r="CU73" s="38"/>
      <c r="CV73" s="38"/>
      <c r="CW73" s="38"/>
      <c r="CX73" s="38"/>
      <c r="CY73" s="38"/>
      <c r="CZ73" s="38"/>
      <c r="DA73" s="38"/>
      <c r="DB73" s="38"/>
      <c r="DC73" s="38"/>
      <c r="DD73" s="38"/>
      <c r="DE73" s="38"/>
      <c r="DF73" s="38"/>
      <c r="DG73" s="38"/>
      <c r="DH73" s="38"/>
      <c r="DI73" s="38"/>
      <c r="DJ73" s="38"/>
      <c r="DK73" s="38"/>
      <c r="DL73" s="38"/>
      <c r="DM73" s="38"/>
      <c r="DN73" s="38"/>
      <c r="DO73" s="38"/>
      <c r="DP73" s="38"/>
      <c r="DQ73" s="38"/>
      <c r="DR73" s="38"/>
      <c r="DS73" s="38"/>
      <c r="DT73" s="38"/>
    </row>
    <row r="74" spans="1:124" s="10" customFormat="1" ht="21" customHeight="1" x14ac:dyDescent="0.3">
      <c r="A74" s="13" t="s">
        <v>186</v>
      </c>
      <c r="B74" s="38">
        <f>+Parameters!B76</f>
        <v>-0.06</v>
      </c>
      <c r="C74" s="38"/>
      <c r="D74" s="38"/>
      <c r="E74" s="38"/>
      <c r="F74" s="38"/>
      <c r="G74" s="38"/>
      <c r="H74" s="38"/>
      <c r="I74" s="38"/>
      <c r="J74" s="38"/>
      <c r="K74" s="38"/>
      <c r="L74" s="38"/>
      <c r="M74" s="38"/>
      <c r="N74" s="38"/>
      <c r="O74" s="38"/>
      <c r="P74" s="38"/>
      <c r="Q74" s="38"/>
      <c r="R74" s="38"/>
      <c r="S74" s="38"/>
      <c r="T74" s="38"/>
      <c r="U74" s="38"/>
      <c r="V74" s="38"/>
      <c r="W74" s="38"/>
      <c r="X74" s="38"/>
      <c r="Y74" s="38"/>
      <c r="Z74" s="38"/>
      <c r="AA74" s="38"/>
      <c r="AB74" s="38"/>
      <c r="AC74" s="38"/>
      <c r="AD74" s="38"/>
      <c r="AE74" s="38"/>
      <c r="AF74" s="38"/>
      <c r="AG74" s="38"/>
      <c r="AH74" s="38"/>
      <c r="AI74" s="38"/>
      <c r="AJ74" s="38"/>
      <c r="AK74" s="38"/>
      <c r="AL74" s="38"/>
      <c r="AM74" s="38"/>
      <c r="AN74" s="38"/>
      <c r="AO74" s="38"/>
      <c r="AP74" s="38"/>
      <c r="AQ74" s="38"/>
      <c r="AR74" s="38"/>
      <c r="AS74" s="38"/>
      <c r="AT74" s="38"/>
      <c r="AU74" s="38"/>
      <c r="AV74" s="38"/>
      <c r="AW74" s="38"/>
      <c r="AX74" s="38"/>
      <c r="AY74" s="38"/>
      <c r="AZ74" s="38"/>
      <c r="BA74" s="38"/>
      <c r="BB74" s="38"/>
      <c r="BC74" s="38"/>
      <c r="BD74" s="38"/>
      <c r="BE74" s="38"/>
      <c r="BF74" s="38"/>
      <c r="BG74" s="38"/>
      <c r="BH74" s="38"/>
      <c r="BI74" s="38"/>
    </row>
    <row r="75" spans="1:124" s="10" customFormat="1" ht="21" customHeight="1" x14ac:dyDescent="0.3">
      <c r="A75" s="13" t="s">
        <v>187</v>
      </c>
      <c r="B75" s="38">
        <f>+Parameters!B77</f>
        <v>0.62</v>
      </c>
      <c r="C75" s="38"/>
      <c r="D75" s="38"/>
      <c r="E75" s="38"/>
      <c r="F75" s="38"/>
      <c r="G75" s="38"/>
      <c r="H75" s="38"/>
      <c r="I75" s="38"/>
      <c r="J75" s="38"/>
      <c r="K75" s="38"/>
      <c r="L75" s="38"/>
      <c r="M75" s="38"/>
      <c r="N75" s="38"/>
      <c r="O75" s="38"/>
      <c r="P75" s="38"/>
      <c r="Q75" s="38"/>
      <c r="R75" s="38"/>
      <c r="S75" s="38"/>
      <c r="T75" s="38"/>
      <c r="U75" s="38"/>
      <c r="V75" s="38"/>
      <c r="W75" s="38"/>
      <c r="X75" s="38"/>
      <c r="Y75" s="38"/>
      <c r="Z75" s="38"/>
      <c r="AA75" s="38"/>
      <c r="AB75" s="38"/>
      <c r="AC75" s="38"/>
      <c r="AD75" s="38"/>
      <c r="AE75" s="38"/>
      <c r="AF75" s="38"/>
      <c r="AG75" s="38"/>
      <c r="AH75" s="38"/>
      <c r="AI75" s="38"/>
      <c r="AJ75" s="38"/>
      <c r="AK75" s="38"/>
      <c r="AL75" s="38"/>
      <c r="AM75" s="38"/>
      <c r="AN75" s="38"/>
      <c r="AO75" s="38"/>
      <c r="AP75" s="38"/>
      <c r="AQ75" s="38"/>
      <c r="AR75" s="38"/>
      <c r="AS75" s="38"/>
      <c r="AT75" s="38"/>
      <c r="AU75" s="38"/>
      <c r="AV75" s="38"/>
      <c r="AW75" s="38"/>
      <c r="AX75" s="38"/>
      <c r="AY75" s="38"/>
      <c r="AZ75" s="38"/>
      <c r="BA75" s="38"/>
      <c r="BB75" s="38"/>
      <c r="BC75" s="38"/>
      <c r="BD75" s="38"/>
      <c r="BE75" s="38"/>
      <c r="BF75" s="38"/>
      <c r="BG75" s="38"/>
      <c r="BH75" s="38"/>
      <c r="BI75" s="38"/>
    </row>
    <row r="76" spans="1:124" s="10" customFormat="1" ht="21" customHeight="1" x14ac:dyDescent="0.3">
      <c r="A76" s="13" t="s">
        <v>188</v>
      </c>
      <c r="B76" s="38">
        <f>+Parameters!B78</f>
        <v>0.83</v>
      </c>
      <c r="C76" s="38"/>
      <c r="D76" s="38"/>
      <c r="E76" s="38"/>
      <c r="F76" s="38"/>
      <c r="G76" s="38"/>
      <c r="H76" s="38"/>
      <c r="I76" s="38"/>
      <c r="J76" s="38"/>
      <c r="K76" s="38"/>
      <c r="L76" s="38"/>
      <c r="M76" s="38"/>
      <c r="N76" s="38"/>
      <c r="O76" s="38"/>
      <c r="P76" s="38"/>
      <c r="Q76" s="38"/>
      <c r="R76" s="38"/>
      <c r="S76" s="38"/>
      <c r="T76" s="38"/>
      <c r="U76" s="38"/>
      <c r="V76" s="38"/>
      <c r="W76" s="38"/>
      <c r="X76" s="38"/>
      <c r="Y76" s="38"/>
      <c r="Z76" s="38"/>
      <c r="AA76" s="38"/>
      <c r="AB76" s="38"/>
      <c r="AC76" s="38"/>
      <c r="AD76" s="38"/>
      <c r="AE76" s="38"/>
      <c r="AF76" s="38"/>
      <c r="AG76" s="38"/>
      <c r="AH76" s="38"/>
      <c r="AI76" s="38"/>
      <c r="AJ76" s="38"/>
      <c r="AK76" s="38"/>
      <c r="AL76" s="38"/>
      <c r="AM76" s="38"/>
      <c r="AN76" s="38"/>
      <c r="AO76" s="38"/>
      <c r="AP76" s="38"/>
      <c r="AQ76" s="38"/>
      <c r="AR76" s="38"/>
      <c r="AS76" s="38"/>
      <c r="AT76" s="38"/>
      <c r="AU76" s="38"/>
      <c r="AV76" s="38"/>
      <c r="AW76" s="38"/>
      <c r="AX76" s="38"/>
      <c r="AY76" s="38"/>
      <c r="AZ76" s="38"/>
      <c r="BA76" s="38"/>
      <c r="BB76" s="38"/>
      <c r="BC76" s="38"/>
      <c r="BD76" s="38"/>
      <c r="BE76" s="38"/>
      <c r="BF76" s="38"/>
      <c r="BG76" s="38"/>
      <c r="BH76" s="38"/>
      <c r="BI76" s="38"/>
    </row>
    <row r="77" spans="1:124" s="10" customFormat="1" ht="21" customHeight="1" x14ac:dyDescent="0.3">
      <c r="A77" s="13" t="s">
        <v>5</v>
      </c>
      <c r="B77" s="38">
        <f>+Parameters!B79</f>
        <v>6.7999999999999996E-3</v>
      </c>
      <c r="C77" s="38"/>
      <c r="D77" s="38"/>
      <c r="E77" s="38"/>
      <c r="F77" s="38"/>
      <c r="G77" s="38"/>
      <c r="H77" s="38"/>
      <c r="I77" s="38"/>
      <c r="J77" s="38"/>
      <c r="K77" s="38"/>
      <c r="L77" s="38"/>
      <c r="M77" s="38"/>
      <c r="N77" s="38"/>
      <c r="O77" s="38"/>
      <c r="P77" s="38"/>
      <c r="Q77" s="38"/>
      <c r="R77" s="38"/>
      <c r="S77" s="38"/>
      <c r="T77" s="38"/>
      <c r="U77" s="38"/>
      <c r="V77" s="38"/>
      <c r="W77" s="38"/>
      <c r="X77" s="38"/>
      <c r="Y77" s="38"/>
      <c r="Z77" s="38"/>
      <c r="AA77" s="38"/>
      <c r="AB77" s="38"/>
      <c r="AC77" s="38"/>
      <c r="AD77" s="38"/>
      <c r="AE77" s="38"/>
      <c r="AF77" s="38"/>
      <c r="AG77" s="38"/>
      <c r="AH77" s="38"/>
      <c r="AI77" s="38"/>
      <c r="AJ77" s="38"/>
      <c r="AK77" s="38"/>
      <c r="AL77" s="38"/>
      <c r="AM77" s="38"/>
      <c r="AN77" s="38"/>
      <c r="AO77" s="38"/>
      <c r="AP77" s="38"/>
      <c r="AQ77" s="38"/>
      <c r="AR77" s="38"/>
      <c r="AS77" s="38"/>
      <c r="AT77" s="38"/>
      <c r="AU77" s="38"/>
      <c r="AV77" s="38"/>
      <c r="AW77" s="38"/>
      <c r="AX77" s="38"/>
      <c r="AY77" s="38"/>
      <c r="AZ77" s="38"/>
      <c r="BA77" s="38"/>
      <c r="BB77" s="38"/>
      <c r="BC77" s="38"/>
      <c r="BD77" s="38"/>
      <c r="BE77" s="38"/>
      <c r="BF77" s="38"/>
      <c r="BG77" s="38"/>
      <c r="BH77" s="38"/>
      <c r="BI77" s="38"/>
    </row>
    <row r="78" spans="1:124" s="10" customFormat="1" ht="21" customHeight="1" thickBot="1" x14ac:dyDescent="0.35">
      <c r="A78" s="32" t="s">
        <v>227</v>
      </c>
      <c r="B78" s="38"/>
      <c r="C78" s="38"/>
      <c r="D78" s="38"/>
      <c r="E78" s="38"/>
      <c r="F78" s="38"/>
      <c r="G78" s="38"/>
      <c r="H78" s="38"/>
      <c r="I78" s="38"/>
      <c r="J78" s="38"/>
      <c r="K78" s="38"/>
      <c r="L78" s="38"/>
      <c r="M78" s="38"/>
      <c r="N78" s="38"/>
      <c r="O78" s="38"/>
      <c r="P78" s="38"/>
      <c r="Q78" s="38"/>
      <c r="R78" s="38"/>
      <c r="S78" s="38"/>
      <c r="T78" s="38"/>
      <c r="U78" s="38"/>
      <c r="V78" s="38"/>
      <c r="W78" s="38"/>
      <c r="X78" s="38"/>
      <c r="Y78" s="38"/>
      <c r="Z78" s="38"/>
      <c r="AA78" s="38"/>
      <c r="AB78" s="38"/>
      <c r="AC78" s="38"/>
      <c r="AD78" s="38"/>
      <c r="AE78" s="38"/>
      <c r="AF78" s="38"/>
      <c r="AG78" s="38"/>
      <c r="AH78" s="38"/>
      <c r="AI78" s="38"/>
      <c r="AJ78" s="38"/>
      <c r="AK78" s="38"/>
      <c r="AL78" s="38"/>
      <c r="AM78" s="38"/>
      <c r="AN78" s="38"/>
      <c r="AO78" s="38"/>
      <c r="AP78" s="38"/>
      <c r="AQ78" s="38"/>
      <c r="AR78" s="38"/>
      <c r="AS78" s="38"/>
      <c r="AT78" s="38"/>
      <c r="AU78" s="38"/>
      <c r="AV78" s="38"/>
      <c r="AW78" s="38"/>
      <c r="AX78" s="38"/>
      <c r="AY78" s="38"/>
      <c r="AZ78" s="38"/>
      <c r="BA78" s="38"/>
      <c r="BB78" s="38"/>
      <c r="BC78" s="38"/>
      <c r="BD78" s="38"/>
      <c r="BE78" s="38"/>
      <c r="BF78" s="38"/>
      <c r="BG78" s="38"/>
      <c r="BH78" s="38"/>
      <c r="BI78" s="38"/>
    </row>
    <row r="79" spans="1:124" s="10" customFormat="1" ht="21" customHeight="1" thickTop="1" x14ac:dyDescent="0.3">
      <c r="A79" s="13" t="s">
        <v>72</v>
      </c>
      <c r="B79" s="38">
        <f>+Parameters!B80</f>
        <v>3.2</v>
      </c>
      <c r="C79" s="38"/>
      <c r="D79" s="38"/>
      <c r="E79" s="38"/>
      <c r="F79" s="38"/>
      <c r="G79" s="38"/>
      <c r="H79" s="38"/>
      <c r="I79" s="38"/>
      <c r="J79" s="38"/>
      <c r="K79" s="38"/>
      <c r="L79" s="38"/>
      <c r="M79" s="38"/>
      <c r="N79" s="38"/>
      <c r="O79" s="38"/>
      <c r="P79" s="38"/>
      <c r="Q79" s="38"/>
      <c r="R79" s="38"/>
      <c r="S79" s="38"/>
      <c r="T79" s="38"/>
      <c r="U79" s="38"/>
      <c r="V79" s="38"/>
      <c r="W79" s="38"/>
      <c r="X79" s="38"/>
      <c r="Y79" s="38"/>
      <c r="Z79" s="38"/>
      <c r="AA79" s="38"/>
      <c r="AB79" s="38"/>
      <c r="AC79" s="38"/>
      <c r="AD79" s="38"/>
      <c r="AE79" s="38"/>
      <c r="AF79" s="38"/>
      <c r="AG79" s="38"/>
      <c r="AH79" s="38"/>
      <c r="AI79" s="38"/>
      <c r="AJ79" s="38"/>
      <c r="AK79" s="38"/>
      <c r="AL79" s="38"/>
      <c r="AM79" s="38"/>
      <c r="AN79" s="38"/>
      <c r="AO79" s="38"/>
      <c r="AP79" s="38"/>
      <c r="AQ79" s="38"/>
      <c r="AR79" s="38"/>
      <c r="AS79" s="38"/>
      <c r="AT79" s="38"/>
      <c r="AU79" s="38"/>
      <c r="AV79" s="38"/>
      <c r="AW79" s="38"/>
      <c r="AX79" s="38"/>
      <c r="AY79" s="38"/>
      <c r="AZ79" s="38"/>
      <c r="BA79" s="38"/>
      <c r="BB79" s="38"/>
      <c r="BC79" s="38"/>
      <c r="BD79" s="38"/>
      <c r="BE79" s="38"/>
      <c r="BF79" s="38"/>
      <c r="BG79" s="38"/>
      <c r="BH79" s="38"/>
      <c r="BI79" s="38"/>
    </row>
    <row r="80" spans="1:124" s="10" customFormat="1" ht="21" customHeight="1" x14ac:dyDescent="0.3">
      <c r="A80" s="13" t="s">
        <v>226</v>
      </c>
      <c r="B80" s="38">
        <f>+Parameters!B81</f>
        <v>3.8</v>
      </c>
      <c r="C80" s="38"/>
      <c r="D80" s="38"/>
      <c r="E80" s="38"/>
      <c r="F80" s="38"/>
      <c r="G80" s="38"/>
      <c r="H80" s="38"/>
      <c r="I80" s="38"/>
      <c r="J80" s="38"/>
      <c r="K80" s="38"/>
      <c r="L80" s="38"/>
      <c r="M80" s="38"/>
      <c r="N80" s="38"/>
      <c r="O80" s="38"/>
      <c r="P80" s="38"/>
      <c r="Q80" s="38"/>
      <c r="R80" s="38"/>
      <c r="S80" s="38"/>
      <c r="T80" s="38"/>
      <c r="U80" s="38"/>
      <c r="V80" s="38"/>
      <c r="W80" s="38"/>
      <c r="X80" s="38"/>
      <c r="Y80" s="38"/>
      <c r="Z80" s="38"/>
      <c r="AA80" s="38"/>
      <c r="AB80" s="38"/>
      <c r="AC80" s="38"/>
      <c r="AD80" s="38"/>
      <c r="AE80" s="38"/>
      <c r="AF80" s="38"/>
      <c r="AG80" s="38"/>
      <c r="AH80" s="38"/>
      <c r="AI80" s="38"/>
      <c r="AJ80" s="38"/>
      <c r="AK80" s="38"/>
      <c r="AL80" s="38"/>
      <c r="AM80" s="38"/>
      <c r="AN80" s="38"/>
      <c r="AO80" s="38"/>
      <c r="AP80" s="38"/>
      <c r="AQ80" s="38"/>
      <c r="AR80" s="38"/>
      <c r="AS80" s="38"/>
      <c r="AT80" s="38"/>
      <c r="AU80" s="38"/>
      <c r="AV80" s="38"/>
      <c r="AW80" s="38"/>
      <c r="AX80" s="38"/>
      <c r="AY80" s="38"/>
      <c r="AZ80" s="38"/>
      <c r="BA80" s="38"/>
      <c r="BB80" s="38"/>
      <c r="BC80" s="38"/>
      <c r="BD80" s="38"/>
      <c r="BE80" s="38"/>
      <c r="BF80" s="38"/>
      <c r="BG80" s="38"/>
      <c r="BH80" s="38"/>
      <c r="BI80" s="38"/>
    </row>
    <row r="81" spans="1:61" s="10" customFormat="1" ht="21" customHeight="1" thickBot="1" x14ac:dyDescent="0.35">
      <c r="A81" s="32" t="s">
        <v>228</v>
      </c>
      <c r="B81" s="38"/>
      <c r="C81" s="38"/>
      <c r="D81" s="38"/>
      <c r="E81" s="38"/>
      <c r="F81" s="38"/>
      <c r="G81" s="38"/>
      <c r="H81" s="38"/>
      <c r="I81" s="38"/>
      <c r="J81" s="38"/>
      <c r="K81" s="38"/>
      <c r="L81" s="38"/>
      <c r="M81" s="38"/>
      <c r="N81" s="38"/>
      <c r="O81" s="38"/>
      <c r="P81" s="38"/>
      <c r="Q81" s="38"/>
      <c r="R81" s="38"/>
      <c r="S81" s="38"/>
      <c r="T81" s="38"/>
      <c r="U81" s="38"/>
      <c r="V81" s="38"/>
      <c r="W81" s="38"/>
      <c r="X81" s="38"/>
      <c r="Y81" s="38"/>
      <c r="Z81" s="38"/>
      <c r="AA81" s="38"/>
      <c r="AB81" s="38"/>
      <c r="AC81" s="38"/>
      <c r="AD81" s="38"/>
      <c r="AE81" s="38"/>
      <c r="AF81" s="38"/>
      <c r="AG81" s="38"/>
      <c r="AH81" s="38"/>
      <c r="AI81" s="38"/>
      <c r="AJ81" s="38"/>
      <c r="AK81" s="38"/>
      <c r="AL81" s="38"/>
      <c r="AM81" s="38"/>
      <c r="AN81" s="38"/>
      <c r="AO81" s="38"/>
      <c r="AP81" s="38"/>
      <c r="AQ81" s="38"/>
      <c r="AR81" s="38"/>
      <c r="AS81" s="38"/>
      <c r="AT81" s="38"/>
      <c r="AU81" s="38"/>
      <c r="AV81" s="38"/>
      <c r="AW81" s="38"/>
      <c r="AX81" s="38"/>
      <c r="AY81" s="38"/>
      <c r="AZ81" s="38"/>
      <c r="BA81" s="38"/>
      <c r="BB81" s="38"/>
      <c r="BC81" s="38"/>
      <c r="BD81" s="38"/>
      <c r="BE81" s="38"/>
      <c r="BF81" s="38"/>
      <c r="BG81" s="38"/>
      <c r="BH81" s="38"/>
      <c r="BI81" s="38"/>
    </row>
    <row r="82" spans="1:61" s="10" customFormat="1" ht="21" customHeight="1" thickTop="1" x14ac:dyDescent="0.3">
      <c r="A82" s="13" t="s">
        <v>39</v>
      </c>
      <c r="B82" s="38">
        <f>+Parameters!B83</f>
        <v>0.104</v>
      </c>
      <c r="C82" s="38"/>
      <c r="D82" s="38"/>
      <c r="E82" s="38"/>
      <c r="F82" s="38"/>
      <c r="G82" s="38"/>
      <c r="H82" s="38"/>
      <c r="I82" s="38"/>
      <c r="J82" s="38"/>
      <c r="K82" s="38"/>
      <c r="L82" s="38"/>
      <c r="M82" s="38"/>
      <c r="N82" s="38"/>
      <c r="O82" s="38"/>
      <c r="P82" s="38"/>
      <c r="Q82" s="38"/>
      <c r="R82" s="38"/>
      <c r="S82" s="38"/>
      <c r="T82" s="38"/>
      <c r="U82" s="38"/>
      <c r="V82" s="38"/>
      <c r="W82" s="38"/>
      <c r="X82" s="38"/>
      <c r="Y82" s="38"/>
      <c r="Z82" s="38"/>
      <c r="AA82" s="38"/>
      <c r="AB82" s="38"/>
      <c r="AC82" s="38"/>
      <c r="AD82" s="38"/>
      <c r="AE82" s="38"/>
      <c r="AF82" s="38"/>
      <c r="AG82" s="38"/>
      <c r="AH82" s="38"/>
      <c r="AI82" s="38"/>
      <c r="AJ82" s="38"/>
      <c r="AK82" s="38"/>
      <c r="AL82" s="38"/>
      <c r="AM82" s="38"/>
      <c r="AN82" s="38"/>
      <c r="AO82" s="38"/>
      <c r="AP82" s="38"/>
      <c r="AQ82" s="38"/>
      <c r="AR82" s="38"/>
      <c r="AS82" s="38"/>
      <c r="AT82" s="38"/>
      <c r="AU82" s="38"/>
      <c r="AV82" s="38"/>
      <c r="AW82" s="38"/>
      <c r="AX82" s="38"/>
      <c r="AY82" s="38"/>
      <c r="AZ82" s="38"/>
      <c r="BA82" s="38"/>
      <c r="BB82" s="38"/>
      <c r="BC82" s="38"/>
      <c r="BD82" s="38"/>
      <c r="BE82" s="38"/>
      <c r="BF82" s="38"/>
      <c r="BG82" s="38"/>
      <c r="BH82" s="38"/>
      <c r="BI82" s="38"/>
    </row>
    <row r="83" spans="1:61" s="10" customFormat="1" ht="21" customHeight="1" x14ac:dyDescent="0.3">
      <c r="A83" s="13" t="s">
        <v>73</v>
      </c>
      <c r="B83" s="38">
        <v>8.7999999999999995E-2</v>
      </c>
      <c r="C83" s="38"/>
      <c r="D83" s="38"/>
      <c r="E83" s="38"/>
      <c r="F83" s="38"/>
      <c r="G83" s="38"/>
      <c r="H83" s="38"/>
      <c r="I83" s="38"/>
      <c r="J83" s="38"/>
      <c r="K83" s="38"/>
      <c r="L83" s="38"/>
      <c r="M83" s="38"/>
      <c r="N83" s="38"/>
      <c r="O83" s="38"/>
      <c r="P83" s="38"/>
      <c r="Q83" s="38"/>
      <c r="R83" s="38"/>
      <c r="S83" s="38"/>
      <c r="T83" s="38"/>
      <c r="U83" s="38"/>
      <c r="V83" s="38"/>
      <c r="W83" s="38"/>
      <c r="X83" s="38"/>
      <c r="Y83" s="38"/>
      <c r="Z83" s="38"/>
      <c r="AA83" s="38"/>
      <c r="AB83" s="38"/>
      <c r="AC83" s="38"/>
      <c r="AD83" s="38"/>
      <c r="AE83" s="38"/>
      <c r="AF83" s="38"/>
      <c r="AG83" s="38"/>
      <c r="AH83" s="38"/>
      <c r="AI83" s="38"/>
      <c r="AJ83" s="38"/>
      <c r="AK83" s="38"/>
      <c r="AL83" s="38"/>
      <c r="AM83" s="38"/>
      <c r="AN83" s="38"/>
      <c r="AO83" s="38"/>
      <c r="AP83" s="38"/>
      <c r="AQ83" s="38"/>
      <c r="AR83" s="38"/>
      <c r="AS83" s="38"/>
      <c r="AT83" s="38"/>
      <c r="AU83" s="38"/>
      <c r="AV83" s="38"/>
      <c r="AW83" s="38"/>
      <c r="AX83" s="38"/>
      <c r="AY83" s="38"/>
      <c r="AZ83" s="38"/>
      <c r="BA83" s="38"/>
      <c r="BB83" s="38"/>
      <c r="BC83" s="38"/>
      <c r="BD83" s="38"/>
      <c r="BE83" s="38"/>
      <c r="BF83" s="38"/>
      <c r="BG83" s="38"/>
      <c r="BH83" s="38"/>
      <c r="BI83" s="38"/>
    </row>
    <row r="84" spans="1:61" s="10" customFormat="1" ht="21" customHeight="1" x14ac:dyDescent="0.3">
      <c r="A84" s="13" t="s">
        <v>16</v>
      </c>
      <c r="B84" s="38">
        <f>+Parameters!B85</f>
        <v>2.5000000000000001E-2</v>
      </c>
      <c r="C84" s="38"/>
      <c r="D84" s="38"/>
      <c r="E84" s="38"/>
      <c r="F84" s="38"/>
      <c r="G84" s="38"/>
      <c r="H84" s="38"/>
      <c r="I84" s="38"/>
      <c r="J84" s="38"/>
      <c r="K84" s="38"/>
      <c r="L84" s="38"/>
      <c r="M84" s="38"/>
      <c r="N84" s="38"/>
      <c r="O84" s="38"/>
      <c r="P84" s="38"/>
      <c r="Q84" s="38"/>
      <c r="R84" s="38"/>
      <c r="S84" s="38"/>
      <c r="T84" s="38"/>
      <c r="U84" s="38"/>
      <c r="V84" s="38"/>
      <c r="W84" s="38"/>
      <c r="X84" s="38"/>
      <c r="Y84" s="38"/>
      <c r="Z84" s="38"/>
      <c r="AA84" s="38"/>
      <c r="AB84" s="38"/>
      <c r="AC84" s="38"/>
      <c r="AD84" s="38"/>
      <c r="AE84" s="38"/>
      <c r="AF84" s="38"/>
      <c r="AG84" s="38"/>
      <c r="AH84" s="38"/>
      <c r="AI84" s="38"/>
      <c r="AJ84" s="38"/>
      <c r="AK84" s="38"/>
      <c r="AL84" s="38"/>
      <c r="AM84" s="38"/>
      <c r="AN84" s="38"/>
      <c r="AO84" s="38"/>
      <c r="AP84" s="38"/>
      <c r="AQ84" s="38"/>
      <c r="AR84" s="38"/>
      <c r="AS84" s="38"/>
      <c r="AT84" s="38"/>
      <c r="AU84" s="38"/>
      <c r="AV84" s="38"/>
      <c r="AW84" s="38"/>
      <c r="AX84" s="38"/>
      <c r="AY84" s="38"/>
      <c r="AZ84" s="38"/>
      <c r="BA84" s="38"/>
      <c r="BB84" s="38"/>
      <c r="BC84" s="38"/>
      <c r="BD84" s="38"/>
      <c r="BE84" s="38"/>
      <c r="BF84" s="38"/>
      <c r="BG84" s="38"/>
      <c r="BH84" s="38"/>
      <c r="BI84" s="38"/>
    </row>
    <row r="85" spans="1:61" s="37" customFormat="1" ht="29.4" customHeight="1" thickBot="1" x14ac:dyDescent="0.3">
      <c r="A85" s="31" t="s">
        <v>204</v>
      </c>
      <c r="B85" s="39"/>
    </row>
    <row r="86" spans="1:61" s="10" customFormat="1" ht="21" customHeight="1" thickTop="1" thickBot="1" x14ac:dyDescent="0.35">
      <c r="A86" s="40" t="s">
        <v>153</v>
      </c>
    </row>
    <row r="87" spans="1:61" s="10" customFormat="1" ht="21" customHeight="1" thickTop="1" x14ac:dyDescent="0.3">
      <c r="A87" s="13" t="s">
        <v>140</v>
      </c>
      <c r="B87" s="10">
        <f>+Base!B60</f>
        <v>818.98500000000001</v>
      </c>
      <c r="C87" s="10">
        <f>Base!$B65*B87/100+Base!$B66*B89/100+B112*5/3.666</f>
        <v>848.26809978372523</v>
      </c>
      <c r="D87" s="10">
        <f>Base!$B65*C87/100+Base!$B66*C89/100+C112*5/3.666</f>
        <v>880.41337243794737</v>
      </c>
      <c r="E87" s="10">
        <f>Base!$B65*D87/100+Base!$B66*D89/100+D112*5/3.666</f>
        <v>915.51097107235864</v>
      </c>
      <c r="F87" s="10">
        <f>Base!$B65*E87/100+Base!$B66*E89/100+E112*5/3.666</f>
        <v>953.56449667488391</v>
      </c>
      <c r="G87" s="10">
        <f>Base!$B65*F87/100+Base!$B66*F89/100+F112*5/3.666</f>
        <v>994.50836872526372</v>
      </c>
      <c r="H87" s="10">
        <f>Base!$B65*G87/100+Base!$B66*G89/100+G112*5/3.666</f>
        <v>1038.222087765228</v>
      </c>
      <c r="I87" s="10">
        <f>Base!$B65*H87/100+Base!$B66*H89/100+H112*5/3.666</f>
        <v>1084.5419501753452</v>
      </c>
      <c r="J87" s="10">
        <f>Base!$B65*I87/100+Base!$B66*I89/100+I112*5/3.666</f>
        <v>1133.2706601870159</v>
      </c>
      <c r="K87" s="10">
        <f>Base!$B65*J87/100+Base!$B66*J89/100+J112*5/3.666</f>
        <v>1184.185194552012</v>
      </c>
      <c r="L87" s="10">
        <f>Base!$B65*K87/100+Base!$B66*K89/100+K112*5/3.666</f>
        <v>1237.0432373081605</v>
      </c>
      <c r="M87" s="10">
        <f>Base!$B65*L87/100+Base!$B66*L89/100+L112*5/3.666</f>
        <v>1291.5884573577371</v>
      </c>
      <c r="N87" s="10">
        <f>Base!$B65*M87/100+Base!$B66*M89/100+M112*5/3.666</f>
        <v>1347.5548555172984</v>
      </c>
      <c r="O87" s="10">
        <f>Base!$B65*N87/100+Base!$B66*N89/100+N112*5/3.666</f>
        <v>1404.6703540686713</v>
      </c>
      <c r="P87" s="10">
        <f>Base!$B65*O87/100+Base!$B66*O89/100+O112*5/3.666</f>
        <v>1462.6597595782707</v>
      </c>
      <c r="Q87" s="10">
        <f>Base!$B65*P87/100+Base!$B66*P89/100+P112*5/3.666</f>
        <v>1521.2471827738957</v>
      </c>
      <c r="R87" s="10">
        <f>Base!$B65*Q87/100+Base!$B66*Q89/100+Q112*5/3.666</f>
        <v>1580.1579900357146</v>
      </c>
      <c r="S87" s="10">
        <f>Base!$B65*R87/100+Base!$B66*R89/100+R112*5/3.666</f>
        <v>1639.1203330518661</v>
      </c>
      <c r="T87" s="10">
        <f>Base!$B65*S87/100+Base!$B66*S89/100+S112*5/3.666</f>
        <v>1697.8662967144883</v>
      </c>
      <c r="U87" s="10">
        <f>Base!$B65*T87/100+Base!$B66*T89/100+T112*5/3.666</f>
        <v>1756.1326695959235</v>
      </c>
      <c r="V87" s="10">
        <f>Base!$B65*U87/100+Base!$B66*U89/100+U112*5/3.666</f>
        <v>1813.6613017128718</v>
      </c>
      <c r="W87" s="10">
        <f>Base!$B65*V87/100+Base!$B66*V89/100+V112*5/3.666</f>
        <v>1870.2032715571331</v>
      </c>
      <c r="X87" s="10">
        <f>Base!$B65*W87/100+Base!$B66*W89/100+W112*5/3.666</f>
        <v>1925.5182214287606</v>
      </c>
      <c r="Y87" s="10">
        <f>Base!$B65*X87/100+Base!$B66*X89/100+X112*5/3.666</f>
        <v>1979.3739520765816</v>
      </c>
      <c r="Z87" s="10">
        <f>Base!$B65*Y87/100+Base!$B66*Y89/100+Y112*5/3.666</f>
        <v>2031.546132637277</v>
      </c>
      <c r="AA87" s="10">
        <f>Base!$B65*Z87/100+Base!$B66*Z89/100+Z112*5/3.666</f>
        <v>2081.8180476892339</v>
      </c>
      <c r="AB87" s="10">
        <f>Base!$B65*AA87/100+Base!$B66*AA89/100+AA112*5/3.666</f>
        <v>2129.9803236251628</v>
      </c>
      <c r="AC87" s="10">
        <f>Base!$B65*AB87/100+Base!$B66*AB89/100+AB112*5/3.666</f>
        <v>2175.8306168553895</v>
      </c>
      <c r="AD87" s="10">
        <f>Base!$B65*AC87/100+Base!$B66*AC89/100+AC112*5/3.666</f>
        <v>2219.1732476477314</v>
      </c>
      <c r="AE87" s="10">
        <f>Base!$B65*AD87/100+Base!$B66*AD89/100+AD112*5/3.666</f>
        <v>2259.8187845834532</v>
      </c>
      <c r="AF87" s="10">
        <f>Base!$B65*AE87/100+Base!$B66*AE89/100+AE112*5/3.666</f>
        <v>2297.5835850561693</v>
      </c>
      <c r="AG87" s="10">
        <f>Base!$B65*AF87/100+Base!$B66*AF89/100+AF112*5/3.666</f>
        <v>2332.2602873352798</v>
      </c>
      <c r="AH87" s="10">
        <f>Base!$B65*AG87/100+Base!$B66*AG89/100+AG112*5/3.666</f>
        <v>2363.677003596511</v>
      </c>
      <c r="AI87" s="10">
        <f>Base!$B65*AH87/100+Base!$B66*AH89/100+AH112*5/3.666</f>
        <v>2391.6637240862096</v>
      </c>
      <c r="AJ87" s="10">
        <f>Base!$B65*AI87/100+Base!$B66*AI89/100+AI112*5/3.666</f>
        <v>2416.0521926826918</v>
      </c>
      <c r="AK87" s="10">
        <f>Base!$B65*AJ87/100+Base!$B66*AJ89/100+AJ112*5/3.666</f>
        <v>2436.67558670067</v>
      </c>
      <c r="AL87" s="10">
        <f>Base!$B65*AK87/100+Base!$B66*AK89/100+AK112*5/3.666</f>
        <v>2453.3680622801025</v>
      </c>
      <c r="AM87" s="10">
        <f>Base!$B65*AL87/100+Base!$B66*AL89/100+AL112*5/3.666</f>
        <v>2465.9642098266881</v>
      </c>
      <c r="AN87" s="10">
        <f>Base!$B65*AM87/100+Base!$B66*AM89/100+AM112*5/3.666</f>
        <v>2474.2984567889703</v>
      </c>
      <c r="AO87" s="10">
        <f>Base!$B65*AN87/100+Base!$B66*AN89/100+AN112*5/3.666</f>
        <v>2478.2044441212606</v>
      </c>
      <c r="AP87" s="10">
        <f>Base!$B65*AO87/100+Base!$B66*AO89/100+AO112*5/3.666</f>
        <v>2477.5144033932474</v>
      </c>
      <c r="AQ87" s="10">
        <f>Base!$B65*AP87/100+Base!$B66*AP89/100+AP112*5/3.666</f>
        <v>2472.0585346003359</v>
      </c>
      <c r="AR87" s="10">
        <f>Base!$B65*AQ87/100+Base!$B66*AQ89/100+AQ112*5/3.666</f>
        <v>2461.6643625136253</v>
      </c>
      <c r="AS87" s="10">
        <f>Base!$B65*AR87/100+Base!$B66*AR89/100+AR112*5/3.666</f>
        <v>2446.1559559211469</v>
      </c>
      <c r="AT87" s="10">
        <f>Base!$B65*AS87/100+Base!$B66*AS89/100+AS112*5/3.666</f>
        <v>2425.3527158968641</v>
      </c>
      <c r="AU87" s="10">
        <f>Base!$B65*AT87/100+Base!$B66*AT89/100+AT112*5/3.666</f>
        <v>2399.0670361160223</v>
      </c>
      <c r="AV87" s="10">
        <f>Base!$B65*AU87/100+Base!$B66*AU89/100+AU112*5/3.666</f>
        <v>2345.7660309703638</v>
      </c>
      <c r="AW87" s="10">
        <f>Base!$B65*AV87/100+Base!$B66*AV89/100+AV112*5/3.666</f>
        <v>2298.935202108089</v>
      </c>
      <c r="AX87" s="10">
        <f>Base!$B65*AW87/100+Base!$B66*AW89/100+AW112*5/3.666</f>
        <v>2257.7528218928051</v>
      </c>
      <c r="AY87" s="10">
        <f>Base!$B65*AX87/100+Base!$B66*AX89/100+AX112*5/3.666</f>
        <v>2221.5016023969793</v>
      </c>
      <c r="AZ87" s="10">
        <f>Base!$B65*AY87/100+Base!$B66*AY89/100+AY112*5/3.666</f>
        <v>2189.5554212334227</v>
      </c>
      <c r="BA87" s="10">
        <f>Base!$B65*AZ87/100+Base!$B66*AZ89/100+AZ112*5/3.666</f>
        <v>2161.3677345103033</v>
      </c>
      <c r="BB87" s="10">
        <f>Base!$B65*BA87/100+Base!$B66*BA89/100+BA112*5/3.666</f>
        <v>2136.4614624809592</v>
      </c>
      <c r="BC87" s="10">
        <f>Base!$B65*BB87/100+Base!$B66*BB89/100+BB112*5/3.666</f>
        <v>2114.4201607127452</v>
      </c>
      <c r="BD87" s="10">
        <f>Base!$B65*BC87/100+Base!$B66*BC89/100+BC112*5/3.666</f>
        <v>2094.8803133884226</v>
      </c>
      <c r="BE87" s="10">
        <f>Base!$B65*BD87/100+Base!$B66*BD89/100+BD112*5/3.666</f>
        <v>2077.5246061194389</v>
      </c>
      <c r="BF87" s="10">
        <f>Base!$B65*BE87/100+Base!$B66*BE89/100+BE112*5/3.666</f>
        <v>2062.0760537770443</v>
      </c>
      <c r="BG87" s="10">
        <f>Base!$B65*BF87/100+Base!$B66*BF89/100+BF112*5/3.666</f>
        <v>2048.2928746699999</v>
      </c>
      <c r="BH87" s="10">
        <f>Base!$B65*BG87/100+Base!$B66*BG89/100+BG112*5/3.666</f>
        <v>2035.964016209454</v>
      </c>
      <c r="BI87" s="10">
        <f>Base!$B65*BH87/100+Base!$B66*BH89/100+BH112*5/3.666</f>
        <v>2024.9052492579333</v>
      </c>
    </row>
    <row r="88" spans="1:61" s="10" customFormat="1" ht="21" customHeight="1" x14ac:dyDescent="0.3">
      <c r="A88" s="13" t="s">
        <v>60</v>
      </c>
      <c r="B88" s="10">
        <f t="shared" ref="B88:AG88" si="15">+B87/2.13</f>
        <v>384.5</v>
      </c>
      <c r="C88" s="10">
        <f t="shared" si="15"/>
        <v>398.24793417076302</v>
      </c>
      <c r="D88" s="10">
        <f t="shared" si="15"/>
        <v>413.33961147321475</v>
      </c>
      <c r="E88" s="10">
        <f t="shared" si="15"/>
        <v>429.81735731096654</v>
      </c>
      <c r="F88" s="10">
        <f t="shared" si="15"/>
        <v>447.68286228867794</v>
      </c>
      <c r="G88" s="10">
        <f t="shared" si="15"/>
        <v>466.90533742970132</v>
      </c>
      <c r="H88" s="10">
        <f t="shared" si="15"/>
        <v>487.42821021841695</v>
      </c>
      <c r="I88" s="10">
        <f t="shared" si="15"/>
        <v>509.17462449546724</v>
      </c>
      <c r="J88" s="10">
        <f t="shared" si="15"/>
        <v>532.05195313944409</v>
      </c>
      <c r="K88" s="10">
        <f t="shared" si="15"/>
        <v>555.95549040000571</v>
      </c>
      <c r="L88" s="10">
        <f t="shared" si="15"/>
        <v>580.77147291462938</v>
      </c>
      <c r="M88" s="10">
        <f t="shared" si="15"/>
        <v>606.37955744494707</v>
      </c>
      <c r="N88" s="10">
        <f t="shared" si="15"/>
        <v>632.6548617452105</v>
      </c>
      <c r="O88" s="10">
        <f t="shared" si="15"/>
        <v>659.46964979749828</v>
      </c>
      <c r="P88" s="10">
        <f t="shared" si="15"/>
        <v>686.69472280669993</v>
      </c>
      <c r="Q88" s="10">
        <f t="shared" si="15"/>
        <v>714.2005552929088</v>
      </c>
      <c r="R88" s="10">
        <f t="shared" si="15"/>
        <v>741.85821128437306</v>
      </c>
      <c r="S88" s="10">
        <f t="shared" si="15"/>
        <v>769.54006246566485</v>
      </c>
      <c r="T88" s="10">
        <f t="shared" si="15"/>
        <v>797.12032709600396</v>
      </c>
      <c r="U88" s="10">
        <f t="shared" si="15"/>
        <v>824.47543173517545</v>
      </c>
      <c r="V88" s="10">
        <f t="shared" si="15"/>
        <v>851.4841792079211</v>
      </c>
      <c r="W88" s="10">
        <f t="shared" si="15"/>
        <v>878.02970495640056</v>
      </c>
      <c r="X88" s="10">
        <f t="shared" si="15"/>
        <v>903.99916499002848</v>
      </c>
      <c r="Y88" s="10">
        <f t="shared" si="15"/>
        <v>929.28354557585999</v>
      </c>
      <c r="Z88" s="10">
        <f t="shared" si="15"/>
        <v>953.77752705975445</v>
      </c>
      <c r="AA88" s="10">
        <f t="shared" si="15"/>
        <v>977.37936511231646</v>
      </c>
      <c r="AB88" s="10">
        <f t="shared" si="15"/>
        <v>999.99076226533464</v>
      </c>
      <c r="AC88" s="10">
        <f t="shared" si="15"/>
        <v>1021.5167215283519</v>
      </c>
      <c r="AD88" s="10">
        <f t="shared" si="15"/>
        <v>1041.8653744825031</v>
      </c>
      <c r="AE88" s="10">
        <f t="shared" si="15"/>
        <v>1060.9477861894147</v>
      </c>
      <c r="AF88" s="10">
        <f t="shared" si="15"/>
        <v>1078.6777394629903</v>
      </c>
      <c r="AG88" s="10">
        <f t="shared" si="15"/>
        <v>1094.9578813780656</v>
      </c>
      <c r="AH88" s="10">
        <f t="shared" ref="AH88:BI88" si="16">+AH87/2.13</f>
        <v>1109.707513425592</v>
      </c>
      <c r="AI88" s="10">
        <f t="shared" si="16"/>
        <v>1122.8468188198167</v>
      </c>
      <c r="AJ88" s="10">
        <f t="shared" si="16"/>
        <v>1134.2968040763812</v>
      </c>
      <c r="AK88" s="10">
        <f t="shared" si="16"/>
        <v>1143.9791486857607</v>
      </c>
      <c r="AL88" s="10">
        <f t="shared" si="16"/>
        <v>1151.8159916807995</v>
      </c>
      <c r="AM88" s="10">
        <f t="shared" si="16"/>
        <v>1157.7296759749711</v>
      </c>
      <c r="AN88" s="10">
        <f t="shared" si="16"/>
        <v>1161.6424679760423</v>
      </c>
      <c r="AO88" s="10">
        <f t="shared" si="16"/>
        <v>1163.4762648456624</v>
      </c>
      <c r="AP88" s="10">
        <f t="shared" si="16"/>
        <v>1163.1523020625575</v>
      </c>
      <c r="AQ88" s="10">
        <f t="shared" si="16"/>
        <v>1160.5908613147117</v>
      </c>
      <c r="AR88" s="10">
        <f t="shared" si="16"/>
        <v>1155.710968316256</v>
      </c>
      <c r="AS88" s="10">
        <f t="shared" si="16"/>
        <v>1148.4300262540596</v>
      </c>
      <c r="AT88" s="10">
        <f t="shared" si="16"/>
        <v>1138.6632468999362</v>
      </c>
      <c r="AU88" s="10">
        <f t="shared" si="16"/>
        <v>1126.3225521671468</v>
      </c>
      <c r="AV88" s="10">
        <f t="shared" si="16"/>
        <v>1101.2986060893727</v>
      </c>
      <c r="AW88" s="10">
        <f t="shared" si="16"/>
        <v>1079.3123014591968</v>
      </c>
      <c r="AX88" s="10">
        <f t="shared" si="16"/>
        <v>1059.9778506538992</v>
      </c>
      <c r="AY88" s="10">
        <f t="shared" si="16"/>
        <v>1042.9584987779247</v>
      </c>
      <c r="AZ88" s="10">
        <f t="shared" si="16"/>
        <v>1027.960291658884</v>
      </c>
      <c r="BA88" s="10">
        <f t="shared" si="16"/>
        <v>1014.7266359203303</v>
      </c>
      <c r="BB88" s="10">
        <f t="shared" si="16"/>
        <v>1003.0335504605442</v>
      </c>
      <c r="BC88" s="10">
        <f t="shared" si="16"/>
        <v>992.68552146138279</v>
      </c>
      <c r="BD88" s="10">
        <f t="shared" si="16"/>
        <v>983.51188421991674</v>
      </c>
      <c r="BE88" s="10">
        <f t="shared" si="16"/>
        <v>975.36366484480709</v>
      </c>
      <c r="BF88" s="10">
        <f t="shared" si="16"/>
        <v>968.11082336950437</v>
      </c>
      <c r="BG88" s="10">
        <f t="shared" si="16"/>
        <v>961.63984726291085</v>
      </c>
      <c r="BH88" s="10">
        <f t="shared" si="16"/>
        <v>955.85165080256058</v>
      </c>
      <c r="BI88" s="10">
        <f t="shared" si="16"/>
        <v>950.65974143564949</v>
      </c>
    </row>
    <row r="89" spans="1:61" s="10" customFormat="1" ht="21" customHeight="1" x14ac:dyDescent="0.3">
      <c r="A89" s="13" t="s">
        <v>1</v>
      </c>
      <c r="B89" s="10">
        <f>Base!B62</f>
        <v>1527</v>
      </c>
      <c r="C89" s="10">
        <f>B87* Base!$B67/100+B89* Base!$B68/100+B90* Base!$B69/100</f>
        <v>1540.1033416666669</v>
      </c>
      <c r="D89" s="10">
        <f>C87* Base!$B67/100+C89* Base!$B68/100+C90* Base!$B69/100</f>
        <v>1555.2487494380075</v>
      </c>
      <c r="E89" s="10">
        <f>D87* Base!$B67/100+D89* Base!$B68/100+D90* Base!$B69/100</f>
        <v>1572.6047302424597</v>
      </c>
      <c r="F89" s="10">
        <f>E87* Base!$B67/100+E89* Base!$B68/100+E90* Base!$B69/100</f>
        <v>1592.3408462507343</v>
      </c>
      <c r="G89" s="10">
        <f>F87* Base!$B67/100+F89* Base!$B68/100+F90* Base!$B69/100</f>
        <v>1614.6200553463291</v>
      </c>
      <c r="H89" s="10">
        <f>G87* Base!$B67/100+G89* Base!$B68/100+G90* Base!$B69/100</f>
        <v>1639.5928929409552</v>
      </c>
      <c r="I89" s="10">
        <f>H87* Base!$B67/100+H89* Base!$B68/100+H90* Base!$B69/100</f>
        <v>1667.3931464405337</v>
      </c>
      <c r="J89" s="10">
        <f>I87* Base!$B67/100+I89* Base!$B68/100+I90* Base!$B69/100</f>
        <v>1698.1347372077726</v>
      </c>
      <c r="K89" s="10">
        <f>J87* Base!$B67/100+J89* Base!$B68/100+J90* Base!$B69/100</f>
        <v>1731.9095756736294</v>
      </c>
      <c r="L89" s="10">
        <f>K87* Base!$B67/100+K89* Base!$B68/100+K90* Base!$B69/100</f>
        <v>1768.7861960963078</v>
      </c>
      <c r="M89" s="10">
        <f>L87* Base!$B67/100+L89* Base!$B68/100+L90* Base!$B69/100</f>
        <v>1808.8090133023065</v>
      </c>
      <c r="N89" s="10">
        <f>M87* Base!$B67/100+M89* Base!$B68/100+M90* Base!$B69/100</f>
        <v>1851.9980741810525</v>
      </c>
      <c r="O89" s="10">
        <f>N87* Base!$B67/100+N89* Base!$B68/100+N90* Base!$B69/100</f>
        <v>1898.3492018457471</v>
      </c>
      <c r="P89" s="10">
        <f>O87* Base!$B67/100+O89* Base!$B68/100+O90* Base!$B69/100</f>
        <v>1947.8344497682006</v>
      </c>
      <c r="Q89" s="10">
        <f>P87* Base!$B67/100+P89* Base!$B68/100+P90* Base!$B69/100</f>
        <v>2000.4027980795006</v>
      </c>
      <c r="R89" s="10">
        <f>Q87* Base!$B67/100+Q89* Base!$B68/100+Q90* Base!$B69/100</f>
        <v>2055.9810343706031</v>
      </c>
      <c r="S89" s="10">
        <f>R87* Base!$B67/100+R89* Base!$B68/100+R90* Base!$B69/100</f>
        <v>2114.4747702425602</v>
      </c>
      <c r="T89" s="10">
        <f>S87* Base!$B67/100+S89* Base!$B68/100+S90* Base!$B69/100</f>
        <v>2175.7695509431132</v>
      </c>
      <c r="U89" s="10">
        <f>T87* Base!$B67/100+T89* Base!$B68/100+T90* Base!$B69/100</f>
        <v>2239.7320206950621</v>
      </c>
      <c r="V89" s="10">
        <f>U87* Base!$B67/100+U89* Base!$B68/100+U90* Base!$B69/100</f>
        <v>2306.2111082305769</v>
      </c>
      <c r="W89" s="10">
        <f>V87* Base!$B67/100+V89* Base!$B68/100+V90* Base!$B69/100</f>
        <v>2375.0391953887847</v>
      </c>
      <c r="X89" s="10">
        <f>W87* Base!$B67/100+W89* Base!$B68/100+W90* Base!$B69/100</f>
        <v>2446.0336046846191</v>
      </c>
      <c r="Y89" s="10">
        <f>X87* Base!$B67/100+X89* Base!$B68/100+X90* Base!$B69/100</f>
        <v>2518.9979676372809</v>
      </c>
      <c r="Z89" s="10">
        <f>Y87* Base!$B67/100+Y89* Base!$B68/100+Y90* Base!$B69/100</f>
        <v>2593.7235015470783</v>
      </c>
      <c r="AA89" s="10">
        <f>Z87* Base!$B67/100+Z89* Base!$B68/100+Z90* Base!$B69/100</f>
        <v>2669.9902086060238</v>
      </c>
      <c r="AB89" s="10">
        <f>AA87* Base!$B67/100+AA89* Base!$B68/100+AA90* Base!$B69/100</f>
        <v>2747.5680037804009</v>
      </c>
      <c r="AC89" s="10">
        <f>AB87* Base!$B67/100+AB89* Base!$B68/100+AB90* Base!$B69/100</f>
        <v>2826.2177725545262</v>
      </c>
      <c r="AD89" s="10">
        <f>AC87* Base!$B67/100+AC89* Base!$B68/100+AC90* Base!$B69/100</f>
        <v>2905.69235804145</v>
      </c>
      <c r="AE89" s="10">
        <f>AD87* Base!$B67/100+AD89* Base!$B68/100+AD90* Base!$B69/100</f>
        <v>2985.7374755613769</v>
      </c>
      <c r="AF89" s="10">
        <f>AE87* Base!$B67/100+AE89* Base!$B68/100+AE90* Base!$B69/100</f>
        <v>3066.0925533042764</v>
      </c>
      <c r="AG89" s="10">
        <f>AF87* Base!$B67/100+AF89* Base!$B68/100+AF90* Base!$B69/100</f>
        <v>3146.4914982271325</v>
      </c>
      <c r="AH89" s="10">
        <f>AG87* Base!$B67/100+AG89* Base!$B68/100+AG90* Base!$B69/100</f>
        <v>3226.6608339768059</v>
      </c>
      <c r="AI89" s="10">
        <f>AH87* Base!$B67/100+AH89* Base!$B68/100+AH90* Base!$B69/100</f>
        <v>3306.3231238215453</v>
      </c>
      <c r="AJ89" s="10">
        <f>AI87* Base!$B67/100+AI89* Base!$B68/100+AI90* Base!$B69/100</f>
        <v>3385.1972973883089</v>
      </c>
      <c r="AK89" s="10">
        <f>AJ87* Base!$B67/100+AJ89* Base!$B68/100+AJ90* Base!$B69/100</f>
        <v>3462.9989531058995</v>
      </c>
      <c r="AL89" s="10">
        <f>AK87* Base!$B67/100+AK89* Base!$B68/100+AK90* Base!$B69/100</f>
        <v>3539.4406201194865</v>
      </c>
      <c r="AM89" s="10">
        <f>AL87* Base!$B67/100+AL89* Base!$B68/100+AL90* Base!$B69/100</f>
        <v>3614.2319695029341</v>
      </c>
      <c r="AN89" s="10">
        <f>AM87* Base!$B67/100+AM89* Base!$B68/100+AM90* Base!$B69/100</f>
        <v>3687.0799689238256</v>
      </c>
      <c r="AO89" s="10">
        <f>AN87* Base!$B67/100+AN89* Base!$B68/100+AN90* Base!$B69/100</f>
        <v>3757.688978435735</v>
      </c>
      <c r="AP89" s="10">
        <f>AO87* Base!$B67/100+AO89* Base!$B68/100+AO90* Base!$B69/100</f>
        <v>3825.7607874859473</v>
      </c>
      <c r="AQ89" s="10">
        <f>AP87* Base!$B67/100+AP89* Base!$B68/100+AP90* Base!$B69/100</f>
        <v>3890.9945955957287</v>
      </c>
      <c r="AR89" s="10">
        <f>AQ87* Base!$B67/100+AQ89* Base!$B68/100+AQ90* Base!$B69/100</f>
        <v>3953.0869390746175</v>
      </c>
      <c r="AS89" s="10">
        <f>AR87* Base!$B67/100+AR89* Base!$B68/100+AR90* Base!$B69/100</f>
        <v>4011.7315640835905</v>
      </c>
      <c r="AT89" s="10">
        <f>AS87* Base!$B67/100+AS89* Base!$B68/100+AS90* Base!$B69/100</f>
        <v>4066.6192361719854</v>
      </c>
      <c r="AU89" s="10">
        <f>AT87* Base!$B67/100+AT89* Base!$B68/100+AT90* Base!$B69/100</f>
        <v>4117.437450956224</v>
      </c>
      <c r="AV89" s="10">
        <f>AU87* Base!$B67/100+AU89* Base!$B68/100+AU90* Base!$B69/100</f>
        <v>4163.8699507165247</v>
      </c>
      <c r="AW89" s="10">
        <f>AV87* Base!$B67/100+AV89* Base!$B68/100+AV90* Base!$B69/100</f>
        <v>4203.7184928018996</v>
      </c>
      <c r="AX89" s="10">
        <f>AW87* Base!$B67/100+AW89* Base!$B68/100+AW90* Base!$B69/100</f>
        <v>4237.821306796689</v>
      </c>
      <c r="AY89" s="10">
        <f>AX87* Base!$B67/100+AX89* Base!$B68/100+AX90* Base!$B69/100</f>
        <v>4266.9100807024988</v>
      </c>
      <c r="AZ89" s="10">
        <f>AY87* Base!$B67/100+AY89* Base!$B68/100+AY90* Base!$B69/100</f>
        <v>4291.6235023161535</v>
      </c>
      <c r="BA89" s="10">
        <f>AZ87* Base!$B67/100+AZ89* Base!$B68/100+AZ90* Base!$B69/100</f>
        <v>4312.5190795112803</v>
      </c>
      <c r="BB89" s="10">
        <f>BA87* Base!$B67/100+BA89* Base!$B68/100+BA90* Base!$B69/100</f>
        <v>4330.0834581722847</v>
      </c>
      <c r="BC89" s="10">
        <f>BB87* Base!$B67/100+BB89* Base!$B68/100+BB90* Base!$B69/100</f>
        <v>4344.7414287270585</v>
      </c>
      <c r="BD89" s="10">
        <f>BC87* Base!$B67/100+BC89* Base!$B68/100+BC90* Base!$B69/100</f>
        <v>4356.8637879558701</v>
      </c>
      <c r="BE89" s="10">
        <f>BD87* Base!$B67/100+BD89* Base!$B68/100+BD90* Base!$B69/100</f>
        <v>4366.7742015695285</v>
      </c>
      <c r="BF89" s="10">
        <f>BE87* Base!$B67/100+BE89* Base!$B68/100+BE90* Base!$B69/100</f>
        <v>4374.7551945579935</v>
      </c>
      <c r="BG89" s="10">
        <f>BF87* Base!$B67/100+BF89* Base!$B68/100+BF90* Base!$B69/100</f>
        <v>4381.0533801689753</v>
      </c>
      <c r="BH89" s="10">
        <f>BG87* Base!$B67/100+BG89* Base!$B68/100+BG90* Base!$B69/100</f>
        <v>4385.8840242859815</v>
      </c>
      <c r="BI89" s="10">
        <f>BH87* Base!$B67/100+BH89* Base!$B68/100+BH90* Base!$B69/100</f>
        <v>4389.4350296760076</v>
      </c>
    </row>
    <row r="90" spans="1:61" s="10" customFormat="1" ht="21" customHeight="1" x14ac:dyDescent="0.3">
      <c r="A90" s="13" t="s">
        <v>2</v>
      </c>
      <c r="B90" s="10">
        <f xml:space="preserve"> Base!B63</f>
        <v>10010</v>
      </c>
      <c r="C90" s="10">
        <f>( Base!$B70/100)*B89+( Base!$B71/100)*B90</f>
        <v>10010.439124999999</v>
      </c>
      <c r="D90" s="10">
        <f>( Base!$B70/100)*C89+( Base!$B71/100)*C90</f>
        <v>10010.910860149479</v>
      </c>
      <c r="E90" s="10">
        <f>( Base!$B70/100)*D89+( Base!$B71/100)*D90</f>
        <v>10011.420299607773</v>
      </c>
      <c r="F90" s="10">
        <f>( Base!$B70/100)*E89+( Base!$B71/100)*E90</f>
        <v>10011.97295708226</v>
      </c>
      <c r="G90" s="10">
        <f>( Base!$B70/100)*F89+( Base!$B71/100)*F90</f>
        <v>10012.574768324872</v>
      </c>
      <c r="H90" s="10">
        <f>( Base!$B70/100)*G89+( Base!$B71/100)*G90</f>
        <v>10013.232074478929</v>
      </c>
      <c r="I90" s="10">
        <f>( Base!$B70/100)*H89+( Base!$B71/100)*H90</f>
        <v>10013.951590886143</v>
      </c>
      <c r="J90" s="10">
        <f>( Base!$B70/100)*I89+( Base!$B71/100)*I90</f>
        <v>10014.740365090322</v>
      </c>
      <c r="K90" s="10">
        <f>( Base!$B70/100)*J89+( Base!$B71/100)*J90</f>
        <v>10015.605727060123</v>
      </c>
      <c r="L90" s="10">
        <f>( Base!$B70/100)*K89+( Base!$B71/100)*K90</f>
        <v>10016.555234066424</v>
      </c>
      <c r="M90" s="10">
        <f>( Base!$B70/100)*L89+( Base!$B71/100)*L90</f>
        <v>10017.596612165167</v>
      </c>
      <c r="N90" s="10">
        <f>( Base!$B70/100)*M89+( Base!$B71/100)*M90</f>
        <v>10018.737695841817</v>
      </c>
      <c r="O90" s="10">
        <f>( Base!$B70/100)*N89+( Base!$B71/100)*N90</f>
        <v>10019.986367054924</v>
      </c>
      <c r="P90" s="10">
        <f>( Base!$B70/100)*O89+( Base!$B71/100)*O90</f>
        <v>10021.350494660657</v>
      </c>
      <c r="Q90" s="10">
        <f>( Base!$B70/100)*P89+( Base!$B71/100)*P90</f>
        <v>10022.837874993131</v>
      </c>
      <c r="R90" s="10">
        <f>( Base!$B70/100)*Q89+( Base!$B71/100)*Q90</f>
        <v>10024.456174205519</v>
      </c>
      <c r="S90" s="10">
        <f>( Base!$B70/100)*R89+( Base!$B71/100)*R90</f>
        <v>10026.212872832652</v>
      </c>
      <c r="T90" s="10">
        <f>( Base!$B70/100)*S89+( Base!$B71/100)*S90</f>
        <v>10028.115212913677</v>
      </c>
      <c r="U90" s="10">
        <f>( Base!$B70/100)*T89+( Base!$B71/100)*T90</f>
        <v>10030.170147906678</v>
      </c>
      <c r="V90" s="10">
        <f>( Base!$B70/100)*U89+( Base!$B71/100)*U90</f>
        <v>10032.384295533499</v>
      </c>
      <c r="W90" s="10">
        <f>( Base!$B70/100)*V89+( Base!$B71/100)*V90</f>
        <v>10034.763893604333</v>
      </c>
      <c r="X90" s="10">
        <f>( Base!$B70/100)*W89+( Base!$B71/100)*W90</f>
        <v>10037.314758778713</v>
      </c>
      <c r="Y90" s="10">
        <f>( Base!$B70/100)*X89+( Base!$B71/100)*X90</f>
        <v>10040.042249059337</v>
      </c>
      <c r="Z90" s="10">
        <f>( Base!$B70/100)*Y89+( Base!$B71/100)*Y90</f>
        <v>10042.951229719374</v>
      </c>
      <c r="AA90" s="10">
        <f>( Base!$B70/100)*Z89+( Base!$B71/100)*Z90</f>
        <v>10046.046042433212</v>
      </c>
      <c r="AB90" s="10">
        <f>( Base!$B70/100)*AA89+( Base!$B71/100)*AA90</f>
        <v>10049.330477415406</v>
      </c>
      <c r="AC90" s="10">
        <f>( Base!$B70/100)*AB89+( Base!$B71/100)*AB90</f>
        <v>10052.807748388728</v>
      </c>
      <c r="AD90" s="10">
        <f>( Base!$B70/100)*AC89+( Base!$B71/100)*AC90</f>
        <v>10056.480470205033</v>
      </c>
      <c r="AE90" s="10">
        <f>( Base!$B70/100)*AD89+( Base!$B71/100)*AD90</f>
        <v>10060.350638941443</v>
      </c>
      <c r="AF90" s="10">
        <f>( Base!$B70/100)*AE89+( Base!$B71/100)*AE90</f>
        <v>10064.419614289704</v>
      </c>
      <c r="AG90" s="10">
        <f>( Base!$B70/100)*AF89+( Base!$B71/100)*AF90</f>
        <v>10068.688104053141</v>
      </c>
      <c r="AH90" s="10">
        <f>( Base!$B70/100)*AG89+( Base!$B71/100)*AG90</f>
        <v>10073.156150563591</v>
      </c>
      <c r="AI90" s="10">
        <f>( Base!$B70/100)*AH89+( Base!$B71/100)*AH90</f>
        <v>10077.823112447719</v>
      </c>
      <c r="AJ90" s="10">
        <f>( Base!$B70/100)*AI89+( Base!$B71/100)*AI90</f>
        <v>10082.687654956822</v>
      </c>
      <c r="AK90" s="10">
        <f>( Base!$B70/100)*AJ89+( Base!$B71/100)*AJ90</f>
        <v>10087.747741116746</v>
      </c>
      <c r="AL90" s="10">
        <f>( Base!$B70/100)*AK89+( Base!$B71/100)*AK90</f>
        <v>10093.000623636883</v>
      </c>
      <c r="AM90" s="10">
        <f>( Base!$B70/100)*AL89+( Base!$B71/100)*AL90</f>
        <v>10098.442837476703</v>
      </c>
      <c r="AN90" s="10">
        <f>( Base!$B70/100)*AM89+( Base!$B71/100)*AM90</f>
        <v>10104.070192942812</v>
      </c>
      <c r="AO90" s="10">
        <f>( Base!$B70/100)*AN89+( Base!$B71/100)*AN90</f>
        <v>10109.877769175004</v>
      </c>
      <c r="AP90" s="10">
        <f>( Base!$B70/100)*AO89+( Base!$B71/100)*AO90</f>
        <v>10115.859907873997</v>
      </c>
      <c r="AQ90" s="10">
        <f>( Base!$B70/100)*AP89+( Base!$B71/100)*AP90</f>
        <v>10122.010207123805</v>
      </c>
      <c r="AR90" s="10">
        <f>( Base!$B70/100)*AQ89+( Base!$B71/100)*AQ90</f>
        <v>10128.321515167891</v>
      </c>
      <c r="AS90" s="10">
        <f>( Base!$B70/100)*AR89+( Base!$B71/100)*AR90</f>
        <v>10134.785924004207</v>
      </c>
      <c r="AT90" s="10">
        <f>( Base!$B70/100)*AS89+( Base!$B71/100)*AS90</f>
        <v>10141.394762665064</v>
      </c>
      <c r="AU90" s="10">
        <f>( Base!$B70/100)*AT89+( Base!$B71/100)*AT90</f>
        <v>10148.138590023094</v>
      </c>
      <c r="AV90" s="10">
        <f>( Base!$B70/100)*AU89+( Base!$B71/100)*AU90</f>
        <v>10155.007186876352</v>
      </c>
      <c r="AW90" s="10">
        <f>( Base!$B70/100)*AV89+( Base!$B71/100)*AV90</f>
        <v>10161.989546827572</v>
      </c>
      <c r="AX90" s="10">
        <f>( Base!$B70/100)*AW89+( Base!$B71/100)*AW90</f>
        <v>10169.069171587522</v>
      </c>
      <c r="AY90" s="10">
        <f>( Base!$B70/100)*AX89+( Base!$B71/100)*AX90</f>
        <v>10176.231664009103</v>
      </c>
      <c r="AZ90" s="10">
        <f>( Base!$B70/100)*AY89+( Base!$B71/100)*AY90</f>
        <v>10183.464461024256</v>
      </c>
      <c r="BA90" s="10">
        <f>( Base!$B70/100)*AZ89+( Base!$B71/100)*AZ90</f>
        <v>10190.756600524452</v>
      </c>
      <c r="BB90" s="10">
        <f>( Base!$B70/100)*BA89+( Base!$B71/100)*BA90</f>
        <v>10198.098517870554</v>
      </c>
      <c r="BC90" s="10">
        <f>( Base!$B70/100)*BB89+( Base!$B71/100)*BB90</f>
        <v>10205.481868266203</v>
      </c>
      <c r="BD90" s="10">
        <f>( Base!$B70/100)*BC89+( Base!$B71/100)*BC90</f>
        <v>10212.899371707481</v>
      </c>
      <c r="BE90" s="10">
        <f>( Base!$B70/100)*BD89+( Base!$B71/100)*BD90</f>
        <v>10220.344677639419</v>
      </c>
      <c r="BF90" s="10">
        <f>( Base!$B70/100)*BE89+( Base!$B71/100)*BE90</f>
        <v>10227.812246814639</v>
      </c>
      <c r="BG90" s="10">
        <f>( Base!$B70/100)*BF89+( Base!$B71/100)*BF90</f>
        <v>10235.297248167733</v>
      </c>
      <c r="BH90" s="10">
        <f>( Base!$B70/100)*BG89+( Base!$B71/100)*BG90</f>
        <v>10242.7954687969</v>
      </c>
      <c r="BI90" s="10">
        <f>( Base!$B70/100)*BH89+( Base!$B71/100)*BH90</f>
        <v>10250.303235386895</v>
      </c>
    </row>
    <row r="91" spans="1:61" s="10" customFormat="1" ht="21" customHeight="1" thickBot="1" x14ac:dyDescent="0.35">
      <c r="A91" s="40" t="s">
        <v>234</v>
      </c>
    </row>
    <row r="92" spans="1:61" s="10" customFormat="1" ht="21" customHeight="1" thickTop="1" x14ac:dyDescent="0.3">
      <c r="A92" s="13" t="s">
        <v>6</v>
      </c>
      <c r="B92" s="10">
        <f>+Parameters!B89</f>
        <v>90</v>
      </c>
      <c r="C92" s="10">
        <f>+Parameters!C89+B113*5/3.666+B92</f>
        <v>130.72556645039191</v>
      </c>
      <c r="D92" s="10">
        <f>+Parameters!D89+C113*5/3.666+C92</f>
        <v>176.80798202543369</v>
      </c>
      <c r="E92" s="10">
        <f>+Parameters!E89+D113*5/3.666+D92</f>
        <v>228.42700092259156</v>
      </c>
      <c r="F92" s="10">
        <f>+Parameters!F89+E113*5/3.666+E92</f>
        <v>285.69410000787985</v>
      </c>
      <c r="G92" s="10">
        <f>+Parameters!G89+F113*5/3.666+F92</f>
        <v>348.65883239646564</v>
      </c>
      <c r="H92" s="10">
        <f>+Parameters!H89+G113*5/3.666+G92</f>
        <v>417.31456718511214</v>
      </c>
      <c r="I92" s="10">
        <f>+Parameters!I89+H113*5/3.666+H92</f>
        <v>491.60369710202349</v>
      </c>
      <c r="J92" s="10">
        <f>+Parameters!J89+I113*5/3.666+I92</f>
        <v>571.42237016511058</v>
      </c>
      <c r="K92" s="10">
        <f>+Parameters!K89+J113*5/3.666+J92</f>
        <v>656.62478342976499</v>
      </c>
      <c r="L92" s="10">
        <f>+Parameters!L89+K113*5/3.666+K92</f>
        <v>747.02709638609338</v>
      </c>
      <c r="M92" s="10">
        <f>+Parameters!M89+L113*5/3.666+L92</f>
        <v>842.4110259573722</v>
      </c>
      <c r="N92" s="10">
        <f>+Parameters!N89+M113*5/3.666+M92</f>
        <v>942.52718004589758</v>
      </c>
      <c r="O92" s="10">
        <f>+Parameters!O89+N113*5/3.666+N92</f>
        <v>1047.098166573925</v>
      </c>
      <c r="P92" s="10">
        <f>+Parameters!P89+O113*5/3.666+O92</f>
        <v>1155.8214988907944</v>
      </c>
      <c r="Q92" s="10">
        <f>+Parameters!Q89+P113*5/3.666+P92</f>
        <v>1268.3722917534585</v>
      </c>
      <c r="R92" s="10">
        <f>+Parameters!R89+Q113*5/3.666+Q92</f>
        <v>1384.4057473373821</v>
      </c>
      <c r="S92" s="10">
        <f>+Parameters!S89+R113*5/3.666+R92</f>
        <v>1503.5594151075134</v>
      </c>
      <c r="T92" s="10">
        <f>+Parameters!T89+S113*5/3.666+S92</f>
        <v>1625.4552117556264</v>
      </c>
      <c r="U92" s="10">
        <f>+Parameters!U89+T113*5/3.666+T92</f>
        <v>1749.7011591451403</v>
      </c>
      <c r="V92" s="10">
        <f>+Parameters!V89+U113*5/3.666+U92</f>
        <v>1875.8927622349263</v>
      </c>
      <c r="W92" s="10">
        <f>+Parameters!W89+V113*5/3.666+V92</f>
        <v>2003.618205956632</v>
      </c>
      <c r="X92" s="10">
        <f>+Parameters!X89+W113*5/3.666+W92</f>
        <v>2132.4590612171969</v>
      </c>
      <c r="Y92" s="10">
        <f>+Parameters!Y89+X113*5/3.666+X92</f>
        <v>2261.9911498332817</v>
      </c>
      <c r="Z92" s="10">
        <f>+Parameters!Z89+Y113*5/3.666+Y92</f>
        <v>2391.7854487517925</v>
      </c>
      <c r="AA92" s="10">
        <f>+Parameters!AA89+Z113*5/3.666+Z92</f>
        <v>2521.4089666069176</v>
      </c>
      <c r="AB92" s="10">
        <f>+Parameters!AB89+AA113*5/3.666+AA92</f>
        <v>2650.4255391237261</v>
      </c>
      <c r="AC92" s="10">
        <f>+Parameters!AC89+AB113*5/3.666+AB92</f>
        <v>2778.3965252408493</v>
      </c>
      <c r="AD92" s="10">
        <f>+Parameters!AD89+AC113*5/3.666+AC92</f>
        <v>2904.8813858479771</v>
      </c>
      <c r="AE92" s="10">
        <f>+Parameters!AE89+AD113*5/3.666+AD92</f>
        <v>3029.4381470492808</v>
      </c>
      <c r="AF92" s="10">
        <f>+Parameters!AF89+AE113*5/3.666+AE92</f>
        <v>3151.6237510205533</v>
      </c>
      <c r="AG92" s="10">
        <f>+Parameters!AG89+AF113*5/3.666+AF92</f>
        <v>3270.9652883118742</v>
      </c>
      <c r="AH92" s="10">
        <f>+Parameters!AH89+AG113*5/3.666+AG92</f>
        <v>3387.0173070939627</v>
      </c>
      <c r="AI92" s="10">
        <f>+Parameters!AI89+AH113*5/3.666+AH92</f>
        <v>3499.3316155211151</v>
      </c>
      <c r="AJ92" s="10">
        <f>+Parameters!AJ89+AI113*5/3.666+AI92</f>
        <v>3607.4574691603329</v>
      </c>
      <c r="AK92" s="10">
        <f>+Parameters!AK89+AJ113*5/3.666+AJ92</f>
        <v>3710.9415402293207</v>
      </c>
      <c r="AL92" s="10">
        <f>+Parameters!AL89+AK113*5/3.666+AK92</f>
        <v>3809.3277134812738</v>
      </c>
      <c r="AM92" s="10">
        <f>+Parameters!AM89+AL113*5/3.666+AL92</f>
        <v>3902.1567427621658</v>
      </c>
      <c r="AN92" s="10">
        <f>+Parameters!AN89+AM113*5/3.666+AM92</f>
        <v>3988.965799420278</v>
      </c>
      <c r="AO92" s="10">
        <f>+Parameters!AO89+AN113*5/3.666+AN92</f>
        <v>4069.2879363437319</v>
      </c>
      <c r="AP92" s="10">
        <f>+Parameters!AP89+AO113*5/3.666+AO92</f>
        <v>4142.6514944425753</v>
      </c>
      <c r="AQ92" s="10">
        <f>+Parameters!AQ89+AP113*5/3.666+AP92</f>
        <v>4208.5794538713735</v>
      </c>
      <c r="AR92" s="10">
        <f>+Parameters!AR89+AQ113*5/3.666+AQ92</f>
        <v>4266.5887099973343</v>
      </c>
      <c r="AS92" s="10">
        <f>+Parameters!AS89+AR113*5/3.666+AR92</f>
        <v>4316.1891586019037</v>
      </c>
      <c r="AT92" s="10">
        <f>+Parameters!AT89+AS113*5/3.666+AS92</f>
        <v>4356.8822864082795</v>
      </c>
      <c r="AU92" s="10">
        <f>+Parameters!AU89+AT113*5/3.666+AT92</f>
        <v>4388.1585344348323</v>
      </c>
      <c r="AV92" s="10">
        <f>+Parameters!AV89+AU113*5/3.666+AU92</f>
        <v>4388.1585344348323</v>
      </c>
      <c r="AW92" s="10">
        <f>+Parameters!AW89+AV113*5/3.666+AV92</f>
        <v>4388.1585344348323</v>
      </c>
      <c r="AX92" s="10">
        <f>+Parameters!AX89+AW113*5/3.666+AW92</f>
        <v>4388.1585344348323</v>
      </c>
      <c r="AY92" s="10">
        <f>+Parameters!AY89+AX113*5/3.666+AX92</f>
        <v>4388.1585344348323</v>
      </c>
      <c r="AZ92" s="10">
        <f>+Parameters!AZ89+AY113*5/3.666+AY92</f>
        <v>4388.1585344348323</v>
      </c>
      <c r="BA92" s="10">
        <f>+Parameters!BA89+AZ113*5/3.666+AZ92</f>
        <v>4388.1585344348323</v>
      </c>
      <c r="BB92" s="10">
        <f>+Parameters!BB89+BA113*5/3.666+BA92</f>
        <v>4388.1585344348323</v>
      </c>
      <c r="BC92" s="10">
        <f>+Parameters!BC89+BB113*5/3.666+BB92</f>
        <v>4388.1585344348323</v>
      </c>
      <c r="BD92" s="10">
        <f>+Parameters!BD89+BC113*5/3.666+BC92</f>
        <v>4388.1585344348323</v>
      </c>
      <c r="BE92" s="10">
        <f>+Parameters!BE89+BD113*5/3.666+BD92</f>
        <v>4388.1585344348323</v>
      </c>
      <c r="BF92" s="10">
        <f>+Parameters!BF89+BE113*5/3.666+BE92</f>
        <v>4388.1585344348323</v>
      </c>
      <c r="BG92" s="10">
        <f>+Parameters!BG89+BF113*5/3.666+BF92</f>
        <v>4388.1585344348323</v>
      </c>
      <c r="BH92" s="10">
        <f>+Parameters!BH89+BG113*5/3.666+BG92</f>
        <v>4388.1585344348323</v>
      </c>
      <c r="BI92" s="10">
        <f>+Parameters!BI89+BH113*5/3.666+BH92</f>
        <v>4388.1585344348323</v>
      </c>
    </row>
    <row r="93" spans="1:61" s="10" customFormat="1" ht="21" customHeight="1" x14ac:dyDescent="0.3">
      <c r="A93" s="13" t="s">
        <v>7</v>
      </c>
      <c r="B93" s="10">
        <f>+B92/ Base!$B$57</f>
        <v>1.4999999999999999E-2</v>
      </c>
      <c r="C93" s="10">
        <f>+C92/ Base!$B$57</f>
        <v>2.1787594408398652E-2</v>
      </c>
      <c r="D93" s="10">
        <f>+D92/ Base!$B$57</f>
        <v>2.9467997004238949E-2</v>
      </c>
      <c r="E93" s="10">
        <f>+E92/ Base!$B$57</f>
        <v>3.8071166820431927E-2</v>
      </c>
      <c r="F93" s="10">
        <f>+F92/ Base!$B$57</f>
        <v>4.7615683334646643E-2</v>
      </c>
      <c r="G93" s="10">
        <f>+G92/ Base!$B$57</f>
        <v>5.8109805399410942E-2</v>
      </c>
      <c r="H93" s="10">
        <f>+H92/ Base!$B$57</f>
        <v>6.9552427864185362E-2</v>
      </c>
      <c r="I93" s="10">
        <f>+I92/ Base!$B$57</f>
        <v>8.1933949517003918E-2</v>
      </c>
      <c r="J93" s="10">
        <f>+J92/ Base!$B$57</f>
        <v>9.5237061694185096E-2</v>
      </c>
      <c r="K93" s="10">
        <f>+K92/ Base!$B$57</f>
        <v>0.10943746390496083</v>
      </c>
      <c r="L93" s="10">
        <f>+L92/ Base!$B$57</f>
        <v>0.1245045160643489</v>
      </c>
      <c r="M93" s="10">
        <f>+M92/ Base!$B$57</f>
        <v>0.14040183765956205</v>
      </c>
      <c r="N93" s="10">
        <f>+N92/ Base!$B$57</f>
        <v>0.15708786334098293</v>
      </c>
      <c r="O93" s="10">
        <f>+O92/ Base!$B$57</f>
        <v>0.17451636109565416</v>
      </c>
      <c r="P93" s="10">
        <f>+P92/ Base!$B$57</f>
        <v>0.19263691648179906</v>
      </c>
      <c r="Q93" s="10">
        <f>+Q92/ Base!$B$57</f>
        <v>0.21139538195890975</v>
      </c>
      <c r="R93" s="10">
        <f>+R92/ Base!$B$57</f>
        <v>0.23073429122289701</v>
      </c>
      <c r="S93" s="10">
        <f>+S92/ Base!$B$57</f>
        <v>0.25059323585125221</v>
      </c>
      <c r="T93" s="10">
        <f>+T92/ Base!$B$57</f>
        <v>0.27090920195927104</v>
      </c>
      <c r="U93" s="10">
        <f>+U92/ Base!$B$57</f>
        <v>0.29161685985752339</v>
      </c>
      <c r="V93" s="10">
        <f>+V92/ Base!$B$57</f>
        <v>0.31264879370582105</v>
      </c>
      <c r="W93" s="10">
        <f>+W92/ Base!$B$57</f>
        <v>0.33393636765943868</v>
      </c>
      <c r="X93" s="10">
        <f>+X92/ Base!$B$57</f>
        <v>0.35540984353619948</v>
      </c>
      <c r="Y93" s="10">
        <f>+Y92/ Base!$B$57</f>
        <v>0.37699852497221364</v>
      </c>
      <c r="Z93" s="10">
        <f>+Z92/ Base!$B$57</f>
        <v>0.39863090812529878</v>
      </c>
      <c r="AA93" s="10">
        <f>+AA92/ Base!$B$57</f>
        <v>0.42023482776781962</v>
      </c>
      <c r="AB93" s="10">
        <f>+AB92/ Base!$B$57</f>
        <v>0.44173758985395434</v>
      </c>
      <c r="AC93" s="10">
        <f>+AC92/ Base!$B$57</f>
        <v>0.46306608754014156</v>
      </c>
      <c r="AD93" s="10">
        <f>+AD92/ Base!$B$57</f>
        <v>0.48414689764132951</v>
      </c>
      <c r="AE93" s="10">
        <f>+AE92/ Base!$B$57</f>
        <v>0.5049063578415468</v>
      </c>
      <c r="AF93" s="10">
        <f>+AF92/ Base!$B$57</f>
        <v>0.52527062517009226</v>
      </c>
      <c r="AG93" s="10">
        <f>+AG92/ Base!$B$57</f>
        <v>0.54516088138531238</v>
      </c>
      <c r="AH93" s="10">
        <f>+AH92/ Base!$B$57</f>
        <v>0.56450288451566044</v>
      </c>
      <c r="AI93" s="10">
        <f>+AI92/ Base!$B$57</f>
        <v>0.5832219359201859</v>
      </c>
      <c r="AJ93" s="10">
        <f>+AJ92/ Base!$B$57</f>
        <v>0.60124291152672216</v>
      </c>
      <c r="AK93" s="10">
        <f>+AK92/ Base!$B$57</f>
        <v>0.61849025670488678</v>
      </c>
      <c r="AL93" s="10">
        <f>+AL92/ Base!$B$57</f>
        <v>0.63488795224687899</v>
      </c>
      <c r="AM93" s="10">
        <f>+AM92/ Base!$B$57</f>
        <v>0.65035945712702758</v>
      </c>
      <c r="AN93" s="10">
        <f>+AN92/ Base!$B$57</f>
        <v>0.66482763323671301</v>
      </c>
      <c r="AO93" s="10">
        <f>+AO92/ Base!$B$57</f>
        <v>0.6782146560572887</v>
      </c>
      <c r="AP93" s="10">
        <f>+AP92/ Base!$B$57</f>
        <v>0.69044191574042924</v>
      </c>
      <c r="AQ93" s="10">
        <f>+AQ92/ Base!$B$57</f>
        <v>0.70142990897856228</v>
      </c>
      <c r="AR93" s="10">
        <f>+AR92/ Base!$B$57</f>
        <v>0.71109811833288905</v>
      </c>
      <c r="AS93" s="10">
        <f>+AS92/ Base!$B$57</f>
        <v>0.71936485976698394</v>
      </c>
      <c r="AT93" s="10">
        <f>+AT92/ Base!$B$57</f>
        <v>0.72614704773471328</v>
      </c>
      <c r="AU93" s="10">
        <f>+AU92/ Base!$B$57</f>
        <v>0.73135975573913869</v>
      </c>
      <c r="AV93" s="10">
        <f>+AV92/ Base!$B$57</f>
        <v>0.73135975573913869</v>
      </c>
      <c r="AW93" s="10">
        <f>+AW92/ Base!$B$57</f>
        <v>0.73135975573913869</v>
      </c>
      <c r="AX93" s="10">
        <f>+AX92/ Base!$B$57</f>
        <v>0.73135975573913869</v>
      </c>
      <c r="AY93" s="10">
        <f>+AY92/ Base!$B$57</f>
        <v>0.73135975573913869</v>
      </c>
      <c r="AZ93" s="10">
        <f>+AZ92/ Base!$B$57</f>
        <v>0.73135975573913869</v>
      </c>
      <c r="BA93" s="10">
        <f>+BA92/ Base!$B$57</f>
        <v>0.73135975573913869</v>
      </c>
      <c r="BB93" s="10">
        <f>+BB92/ Base!$B$57</f>
        <v>0.73135975573913869</v>
      </c>
      <c r="BC93" s="10">
        <f>+BC92/ Base!$B$57</f>
        <v>0.73135975573913869</v>
      </c>
      <c r="BD93" s="10">
        <f>+BD92/ Base!$B$57</f>
        <v>0.73135975573913869</v>
      </c>
      <c r="BE93" s="10">
        <f>+BE92/ Base!$B$57</f>
        <v>0.73135975573913869</v>
      </c>
      <c r="BF93" s="10">
        <f>+BF92/ Base!$B$57</f>
        <v>0.73135975573913869</v>
      </c>
      <c r="BG93" s="10">
        <f>+BG92/ Base!$B$57</f>
        <v>0.73135975573913869</v>
      </c>
      <c r="BH93" s="10">
        <f>+BH92/ Base!$B$57</f>
        <v>0.73135975573913869</v>
      </c>
      <c r="BI93" s="10">
        <f>+BI92/ Base!$B$57</f>
        <v>0.73135975573913869</v>
      </c>
    </row>
    <row r="94" spans="1:61" s="10" customFormat="1" ht="21" customHeight="1" x14ac:dyDescent="0.3">
      <c r="A94" s="13" t="s">
        <v>29</v>
      </c>
      <c r="B94" s="10">
        <f>+MAX(B93:BI93)</f>
        <v>0.73135975573913869</v>
      </c>
    </row>
    <row r="95" spans="1:61" s="10" customFormat="1" ht="21" customHeight="1" x14ac:dyDescent="0.3">
      <c r="A95" s="13" t="s">
        <v>109</v>
      </c>
      <c r="B95" s="10">
        <v>0</v>
      </c>
    </row>
    <row r="96" spans="1:61" s="10" customFormat="1" ht="21" customHeight="1" x14ac:dyDescent="0.3">
      <c r="A96" s="13" t="s">
        <v>101</v>
      </c>
      <c r="B96" s="10">
        <v>2.5</v>
      </c>
      <c r="C96" s="10">
        <v>0.04</v>
      </c>
    </row>
    <row r="97" spans="1:309" s="41" customFormat="1" ht="23.4" customHeight="1" x14ac:dyDescent="0.35">
      <c r="A97" s="34" t="s">
        <v>254</v>
      </c>
      <c r="B97">
        <f>+Parameters!B88</f>
        <v>0</v>
      </c>
      <c r="C97" s="41">
        <f>+B97*(1+Parameters!$B$90)^5</f>
        <v>0</v>
      </c>
      <c r="D97" s="41">
        <f>+C97*(1+Parameters!$B$90)^5</f>
        <v>0</v>
      </c>
      <c r="E97" s="41">
        <f>+D97*(1+Parameters!$B$90)^5</f>
        <v>0</v>
      </c>
      <c r="F97" s="41">
        <f>+E97*(1+Parameters!$B$90)^5</f>
        <v>0</v>
      </c>
      <c r="G97" s="41">
        <f>+F97*(1+Parameters!$B$90)^5</f>
        <v>0</v>
      </c>
      <c r="H97" s="41">
        <f>+G97*(1+Parameters!$B$90)^5</f>
        <v>0</v>
      </c>
      <c r="I97" s="41">
        <f>+H97*(1+Parameters!$B$90)^5</f>
        <v>0</v>
      </c>
      <c r="J97" s="41">
        <f>+I97*(1+Parameters!$B$90)^5</f>
        <v>0</v>
      </c>
      <c r="K97" s="41">
        <f>+J97*(1+Parameters!$B$90)^5</f>
        <v>0</v>
      </c>
      <c r="L97" s="41">
        <f>+K97*(1+Parameters!$B$90)^5</f>
        <v>0</v>
      </c>
      <c r="M97" s="41">
        <f>+L97*(1+Parameters!$B$90)^5</f>
        <v>0</v>
      </c>
      <c r="N97" s="41">
        <f>+M97*(1+Parameters!$B$90)^5</f>
        <v>0</v>
      </c>
      <c r="O97" s="41">
        <f>+N97*(1+Parameters!$B$90)^5</f>
        <v>0</v>
      </c>
      <c r="P97" s="41">
        <f>+O97*(1+Parameters!$B$90)^5</f>
        <v>0</v>
      </c>
      <c r="Q97" s="41">
        <f>+P97*(1+Parameters!$B$90)^5</f>
        <v>0</v>
      </c>
      <c r="R97" s="41">
        <f>+Q97*(1+Parameters!$B$90)^5</f>
        <v>0</v>
      </c>
      <c r="S97" s="41">
        <f>+R97*(1+Parameters!$B$90)^5</f>
        <v>0</v>
      </c>
      <c r="T97" s="41">
        <f>+S97*(1+Parameters!$B$90)^5</f>
        <v>0</v>
      </c>
      <c r="U97" s="41">
        <f>+T97*(1+Parameters!$B$90)^5</f>
        <v>0</v>
      </c>
      <c r="V97" s="41">
        <f>+U97*(1+Parameters!$B$90)^5</f>
        <v>0</v>
      </c>
      <c r="W97" s="41">
        <f>+V97*(1+Parameters!$B$90)^5</f>
        <v>0</v>
      </c>
      <c r="X97" s="41">
        <f>+W97*(1+Parameters!$B$90)^5</f>
        <v>0</v>
      </c>
      <c r="Y97" s="41">
        <f>+X97*(1+Parameters!$B$90)^5</f>
        <v>0</v>
      </c>
      <c r="Z97" s="41">
        <f>+Y97*(1+Parameters!$B$90)^5</f>
        <v>0</v>
      </c>
      <c r="AA97" s="41">
        <f>+Z97*(1+Parameters!$B$90)^5</f>
        <v>0</v>
      </c>
      <c r="AB97" s="41">
        <f>+AA97*(1+Parameters!$B$90)^5</f>
        <v>0</v>
      </c>
      <c r="AC97" s="41">
        <f>+AB97*(1+Parameters!$B$90)^5</f>
        <v>0</v>
      </c>
      <c r="AD97" s="41">
        <f>+AC97*(1+Parameters!$B$90)^5</f>
        <v>0</v>
      </c>
      <c r="AE97" s="41">
        <f>+AD97*(1+Parameters!$B$90)^5</f>
        <v>0</v>
      </c>
      <c r="AF97" s="41">
        <f>+AE97*(1+Parameters!$B$90)^5</f>
        <v>0</v>
      </c>
      <c r="AG97" s="41">
        <f>+AF97*(1+Parameters!$B$90)^5</f>
        <v>0</v>
      </c>
      <c r="AH97" s="41">
        <f>+AG97*(1+Parameters!$B$90)^5</f>
        <v>0</v>
      </c>
      <c r="AI97" s="41">
        <f>+AH97*(1+Parameters!$B$90)^5</f>
        <v>0</v>
      </c>
      <c r="AJ97" s="41">
        <f>+AI97*(1+Parameters!$B$90)^5</f>
        <v>0</v>
      </c>
      <c r="AK97" s="41">
        <f>+AJ97*(1+Parameters!$B$90)^5</f>
        <v>0</v>
      </c>
      <c r="AL97" s="41">
        <f>+AK97*(1+Parameters!$B$90)^5</f>
        <v>0</v>
      </c>
      <c r="AM97" s="41">
        <f>+AL97*(1+Parameters!$B$90)^5</f>
        <v>0</v>
      </c>
      <c r="AN97" s="41">
        <f>+AM97*(1+Parameters!$B$90)^5</f>
        <v>0</v>
      </c>
      <c r="AO97" s="41">
        <f>+AN97*(1+Parameters!$B$90)^5</f>
        <v>0</v>
      </c>
      <c r="AP97" s="41">
        <f>+AO97*(1+Parameters!$B$90)^5</f>
        <v>0</v>
      </c>
      <c r="AQ97" s="41">
        <f>+AP97*(1+Parameters!$B$90)^5</f>
        <v>0</v>
      </c>
      <c r="AR97" s="41">
        <f>+AQ97*(1+Parameters!$B$90)^5</f>
        <v>0</v>
      </c>
      <c r="AS97" s="41">
        <f>+AR97</f>
        <v>0</v>
      </c>
      <c r="AT97" s="41">
        <f t="shared" ref="AT97:BI97" si="17">+AS97</f>
        <v>0</v>
      </c>
      <c r="AU97" s="41">
        <f t="shared" si="17"/>
        <v>0</v>
      </c>
      <c r="AV97" s="41">
        <f t="shared" si="17"/>
        <v>0</v>
      </c>
      <c r="AW97" s="41">
        <f t="shared" si="17"/>
        <v>0</v>
      </c>
      <c r="AX97" s="41">
        <f t="shared" si="17"/>
        <v>0</v>
      </c>
      <c r="AY97" s="41">
        <f t="shared" si="17"/>
        <v>0</v>
      </c>
      <c r="AZ97" s="41">
        <f t="shared" si="17"/>
        <v>0</v>
      </c>
      <c r="BA97" s="41">
        <f t="shared" si="17"/>
        <v>0</v>
      </c>
      <c r="BB97" s="41">
        <f t="shared" si="17"/>
        <v>0</v>
      </c>
      <c r="BC97" s="41">
        <f t="shared" si="17"/>
        <v>0</v>
      </c>
      <c r="BD97" s="41">
        <f t="shared" si="17"/>
        <v>0</v>
      </c>
      <c r="BE97" s="41">
        <f t="shared" si="17"/>
        <v>0</v>
      </c>
      <c r="BF97" s="41">
        <f t="shared" si="17"/>
        <v>0</v>
      </c>
      <c r="BG97" s="41">
        <f t="shared" si="17"/>
        <v>0</v>
      </c>
      <c r="BH97" s="41">
        <f t="shared" si="17"/>
        <v>0</v>
      </c>
      <c r="BI97" s="41">
        <f t="shared" si="17"/>
        <v>0</v>
      </c>
      <c r="DS97" s="38"/>
      <c r="DT97" s="38"/>
      <c r="DU97" s="38"/>
      <c r="DV97" s="38"/>
      <c r="DW97" s="38"/>
      <c r="DX97" s="38"/>
      <c r="DY97" s="38"/>
      <c r="DZ97" s="38"/>
      <c r="EA97" s="38"/>
      <c r="EB97" s="38"/>
      <c r="EC97" s="38"/>
      <c r="ED97" s="38"/>
      <c r="EE97" s="38"/>
      <c r="EF97" s="38"/>
      <c r="EG97" s="38"/>
      <c r="EH97" s="38"/>
      <c r="EI97" s="38"/>
      <c r="EJ97" s="38"/>
      <c r="EK97" s="38"/>
      <c r="EL97" s="38"/>
      <c r="EM97" s="38"/>
      <c r="EN97" s="38"/>
      <c r="EO97" s="38"/>
      <c r="EP97" s="38"/>
      <c r="EQ97" s="38"/>
      <c r="ER97" s="38"/>
      <c r="ES97" s="38"/>
      <c r="ET97" s="38"/>
      <c r="EU97" s="38"/>
      <c r="EV97" s="38"/>
      <c r="EW97" s="38"/>
      <c r="EX97" s="38"/>
      <c r="EY97" s="38"/>
      <c r="EZ97" s="38"/>
      <c r="FA97" s="38"/>
      <c r="FB97" s="38"/>
      <c r="FC97" s="38"/>
      <c r="FD97" s="38"/>
      <c r="FE97" s="38"/>
      <c r="FF97" s="38"/>
      <c r="FG97" s="38"/>
      <c r="FH97" s="38"/>
      <c r="FI97" s="38"/>
      <c r="FJ97" s="38"/>
      <c r="FK97" s="38"/>
      <c r="FL97" s="38"/>
      <c r="FM97" s="38"/>
      <c r="FN97" s="38"/>
      <c r="FO97" s="38"/>
      <c r="FP97" s="38"/>
      <c r="FQ97" s="38"/>
      <c r="FR97" s="38"/>
      <c r="FS97" s="38"/>
      <c r="FT97" s="38"/>
      <c r="FU97" s="38"/>
      <c r="FV97" s="38"/>
      <c r="FW97" s="38"/>
      <c r="FX97" s="38"/>
      <c r="FY97" s="38"/>
      <c r="FZ97" s="38"/>
      <c r="GA97" s="38"/>
      <c r="GB97" s="38"/>
      <c r="GC97" s="38"/>
      <c r="GD97" s="38"/>
      <c r="GE97" s="38"/>
      <c r="GF97" s="38"/>
      <c r="GG97" s="38"/>
      <c r="GH97" s="38"/>
      <c r="GI97" s="38"/>
      <c r="GJ97" s="38"/>
      <c r="GK97" s="38"/>
      <c r="GL97" s="38"/>
      <c r="GM97" s="38"/>
      <c r="GN97" s="38"/>
      <c r="GO97" s="38"/>
      <c r="GP97" s="38"/>
      <c r="GQ97" s="38"/>
      <c r="GR97" s="38"/>
      <c r="GS97" s="38"/>
      <c r="GT97" s="38"/>
      <c r="GU97" s="38"/>
      <c r="GV97" s="38"/>
      <c r="GW97" s="38"/>
      <c r="GX97" s="38"/>
      <c r="GY97" s="38"/>
      <c r="GZ97" s="38"/>
      <c r="HA97" s="38"/>
      <c r="HB97" s="38"/>
      <c r="HC97" s="38"/>
      <c r="HD97" s="38"/>
      <c r="HE97" s="38"/>
      <c r="HF97" s="38"/>
      <c r="HG97" s="38"/>
      <c r="HH97" s="38"/>
      <c r="HI97" s="38"/>
      <c r="HJ97" s="38"/>
      <c r="HK97" s="38"/>
      <c r="HL97" s="38"/>
      <c r="HM97" s="38"/>
      <c r="HN97" s="38"/>
      <c r="HO97" s="38"/>
      <c r="HP97" s="38"/>
      <c r="HQ97" s="38"/>
      <c r="HR97" s="38"/>
      <c r="HS97" s="38"/>
      <c r="HT97" s="38"/>
      <c r="HU97" s="38"/>
      <c r="HV97" s="38"/>
      <c r="HW97" s="38"/>
      <c r="HX97" s="38"/>
      <c r="HY97" s="38"/>
      <c r="HZ97" s="38"/>
      <c r="IA97" s="38"/>
      <c r="IB97" s="38"/>
      <c r="IC97" s="38"/>
      <c r="ID97" s="38"/>
      <c r="IE97" s="38"/>
      <c r="IF97" s="38"/>
      <c r="IG97" s="38"/>
      <c r="IH97" s="38"/>
      <c r="II97" s="38"/>
      <c r="IJ97" s="38"/>
      <c r="IK97" s="38"/>
      <c r="IL97" s="38"/>
      <c r="IM97" s="38"/>
      <c r="IN97" s="38"/>
      <c r="IO97" s="38"/>
      <c r="IP97" s="38"/>
      <c r="IQ97" s="38"/>
      <c r="IR97" s="38"/>
      <c r="IS97" s="38"/>
      <c r="IT97" s="38"/>
      <c r="IU97" s="38"/>
      <c r="IV97" s="38"/>
      <c r="IW97" s="38"/>
      <c r="IX97" s="38"/>
      <c r="IY97" s="38"/>
      <c r="IZ97" s="38"/>
      <c r="JA97" s="38"/>
      <c r="JB97" s="38"/>
      <c r="JC97" s="38"/>
      <c r="JD97" s="38"/>
      <c r="JE97" s="38"/>
      <c r="JF97" s="38"/>
      <c r="JG97" s="38"/>
      <c r="JH97" s="38"/>
      <c r="JI97" s="38"/>
      <c r="JJ97" s="38"/>
      <c r="JK97" s="38"/>
      <c r="JL97" s="38"/>
      <c r="JM97" s="38"/>
      <c r="JN97" s="38"/>
      <c r="JO97" s="38"/>
      <c r="JP97" s="38"/>
      <c r="JQ97" s="38"/>
      <c r="JR97" s="38"/>
      <c r="JS97" s="38"/>
      <c r="JT97" s="38"/>
      <c r="JU97" s="38"/>
      <c r="JV97" s="38"/>
      <c r="JW97" s="38"/>
      <c r="JX97" s="38"/>
      <c r="JY97" s="38"/>
      <c r="JZ97" s="38"/>
      <c r="KA97" s="38"/>
      <c r="KB97" s="38"/>
      <c r="KC97" s="38"/>
      <c r="KD97" s="38"/>
      <c r="KE97" s="38"/>
      <c r="KF97" s="38"/>
      <c r="KG97" s="38"/>
      <c r="KH97" s="38"/>
      <c r="KI97" s="38"/>
      <c r="KJ97" s="38"/>
      <c r="KK97" s="38"/>
      <c r="KL97" s="38"/>
      <c r="KM97" s="38"/>
      <c r="KN97" s="38"/>
      <c r="KO97" s="38"/>
      <c r="KP97" s="38"/>
      <c r="KQ97" s="38"/>
      <c r="KR97" s="38"/>
      <c r="KS97" s="38"/>
      <c r="KT97" s="38"/>
      <c r="KU97" s="38"/>
      <c r="KV97" s="38"/>
      <c r="KW97" s="38"/>
    </row>
    <row r="98" spans="1:309" s="10" customFormat="1" ht="26" customHeight="1" thickBot="1" x14ac:dyDescent="0.35">
      <c r="A98" s="40" t="s">
        <v>205</v>
      </c>
    </row>
    <row r="99" spans="1:309" s="10" customFormat="1" ht="30" customHeight="1" thickTop="1" x14ac:dyDescent="0.3">
      <c r="A99" s="13" t="s">
        <v>14</v>
      </c>
      <c r="B99" s="10">
        <f xml:space="preserve"> Base!B76</f>
        <v>0.83</v>
      </c>
      <c r="C99" s="42">
        <f>B99+Base!$B82*(C100-(Base!$B$80/Base!$B79)*B99-Base!$B83*(B99-B101))</f>
        <v>0.93327295505360208</v>
      </c>
      <c r="D99" s="42">
        <f>C99+Base!$B82*(D100-(Base!$B$80/Base!$B79)*C99-Base!$B83*(C99-C101))</f>
        <v>1.0477776225109487</v>
      </c>
      <c r="E99" s="42">
        <f>D99+Base!$B82*(E100-(Base!$B$80/Base!$B79)*D99-Base!$B83*(D99-D101))</f>
        <v>1.173124030372938</v>
      </c>
      <c r="F99" s="42">
        <f>E99+Base!$B82*(F100-(Base!$B$80/Base!$B79)*E99-Base!$B83*(E99-E101))</f>
        <v>1.3088265946692494</v>
      </c>
      <c r="G99" s="42">
        <f>F99+Base!$B82*(G100-(Base!$B$80/Base!$B79)*F99-Base!$B83*(F99-F101))</f>
        <v>1.4542852611489643</v>
      </c>
      <c r="H99" s="42">
        <f>G99+Base!$B82*(H100-(Base!$B$80/Base!$B79)*G99-Base!$B83*(G99-G101))</f>
        <v>1.6087865507060528</v>
      </c>
      <c r="I99" s="42">
        <f>H99+Base!$B82*(I100-(Base!$B$80/Base!$B79)*H99-Base!$B83*(H99-H101))</f>
        <v>1.7715173892165228</v>
      </c>
      <c r="J99" s="42">
        <f>I99+Base!$B82*(J100-(Base!$B$80/Base!$B79)*I99-Base!$B83*(I99-I101))</f>
        <v>1.9415861416265117</v>
      </c>
      <c r="K99" s="42">
        <f>J99+Base!$B82*(K100-(Base!$B$80/Base!$B79)*J99-Base!$B83*(J99-J101))</f>
        <v>2.1180466793333728</v>
      </c>
      <c r="L99" s="42">
        <f>K99+Base!$B82*(L100-(Base!$B$80/Base!$B79)*K99-Base!$B83*(K99-K101))</f>
        <v>2.2999225551644908</v>
      </c>
      <c r="M99" s="42">
        <f>L99+Base!$B82*(M100-(Base!$B$80/Base!$B79)*L99-Base!$B83*(L99-L101))</f>
        <v>2.4862293921277097</v>
      </c>
      <c r="N99" s="42">
        <f>M99+Base!$B82*(N100-(Base!$B$80/Base!$B79)*M99-Base!$B83*(M99-M101))</f>
        <v>2.6759943972373992</v>
      </c>
      <c r="O99" s="42">
        <f>N99+Base!$B82*(O100-(Base!$B$80/Base!$B79)*N99-Base!$B83*(N99-N101))</f>
        <v>2.8682724999759777</v>
      </c>
      <c r="P99" s="42">
        <f>O99+Base!$B82*(P100-(Base!$B$80/Base!$B79)*O99-Base!$B83*(O99-O101))</f>
        <v>3.0621590208313898</v>
      </c>
      <c r="Q99" s="42">
        <f>P99+Base!$B82*(Q100-(Base!$B$80/Base!$B79)*P99-Base!$B83*(P99-P101))</f>
        <v>3.2567990311048653</v>
      </c>
      <c r="R99" s="42">
        <f>Q99+Base!$B82*(R100-(Base!$B$80/Base!$B79)*Q99-Base!$B83*(Q99-Q101))</f>
        <v>3.4513937197337237</v>
      </c>
      <c r="S99" s="42">
        <f>R99+Base!$B82*(S100-(Base!$B$80/Base!$B79)*R99-Base!$B83*(R99-R101))</f>
        <v>3.6452041549499774</v>
      </c>
      <c r="T99" s="42">
        <f>S99+Base!$B82*(T100-(Base!$B$80/Base!$B79)*S99-Base!$B83*(S99-S101))</f>
        <v>3.8375528504260656</v>
      </c>
      <c r="U99" s="42">
        <f>T99+Base!$B82*(U100-(Base!$B$80/Base!$B79)*T99-Base!$B83*(T99-T101))</f>
        <v>4.024287524260636</v>
      </c>
      <c r="V99" s="42">
        <f>U99+Base!$B82*(V100-(Base!$B$80/Base!$B79)*U99-Base!$B83*(U99-U101))</f>
        <v>4.2053204477876092</v>
      </c>
      <c r="W99" s="42">
        <f>V99+Base!$B82*(W100-(Base!$B$80/Base!$B79)*V99-Base!$B83*(V99-V101))</f>
        <v>4.3805587667401493</v>
      </c>
      <c r="X99" s="42">
        <f>W99+Base!$B82*(X100-(Base!$B$80/Base!$B79)*W99-Base!$B83*(W99-W101))</f>
        <v>4.5499100690722534</v>
      </c>
      <c r="Y99" s="42">
        <f>X99+Base!$B82*(Y100-(Base!$B$80/Base!$B79)*X99-Base!$B83*(X99-X101))</f>
        <v>4.7132859903155415</v>
      </c>
      <c r="Z99" s="42">
        <f>Y99+Base!$B82*(Z100-(Base!$B$80/Base!$B79)*Y99-Base!$B83*(Y99-Y101))</f>
        <v>4.8706043542412756</v>
      </c>
      <c r="AA99" s="42">
        <f>Z99+Base!$B82*(AA100-(Base!$B$80/Base!$B79)*Z99-Base!$B83*(Z99-Z101))</f>
        <v>5.0217902170064619</v>
      </c>
      <c r="AB99" s="42">
        <f>AA99+Base!$B82*(AB100-(Base!$B$80/Base!$B79)*AA99-Base!$B83*(AA99-AA101))</f>
        <v>5.166776086925533</v>
      </c>
      <c r="AC99" s="42">
        <f>AB99+Base!$B82*(AC100-(Base!$B$80/Base!$B79)*AB99-Base!$B83*(AB99-AB101))</f>
        <v>5.3055015268572836</v>
      </c>
      <c r="AD99" s="42">
        <f>AC99+Base!$B82*(AD100-(Base!$B$80/Base!$B79)*AC99-Base!$B83*(AC99-AC101))</f>
        <v>5.4379122942059679</v>
      </c>
      <c r="AE99" s="42">
        <f>AD99+Base!$B82*(AE100-(Base!$B$80/Base!$B79)*AD99-Base!$B83*(AD99-AD101))</f>
        <v>5.5639591370888501</v>
      </c>
      <c r="AF99" s="42">
        <f>AE99+Base!$B82*(AF100-(Base!$B$80/Base!$B79)*AE99-Base!$B83*(AE99-AE101))</f>
        <v>5.6835963355696268</v>
      </c>
      <c r="AG99" s="42">
        <f>AF99+Base!$B82*(AG100-(Base!$B$80/Base!$B79)*AF99-Base!$B83*(AF99-AF101))</f>
        <v>5.7967729607918237</v>
      </c>
      <c r="AH99" s="42">
        <f>AG99+Base!$B82*(AH100-(Base!$B$80/Base!$B79)*AG99-Base!$B83*(AG99-AG101))</f>
        <v>5.9034398071405416</v>
      </c>
      <c r="AI99" s="42">
        <f>AH99+Base!$B82*(AI100-(Base!$B$80/Base!$B79)*AH99-Base!$B83*(AH99-AH101))</f>
        <v>6.0035466149732803</v>
      </c>
      <c r="AJ99" s="42">
        <f>AI99+Base!$B82*(AJ100-(Base!$B$80/Base!$B79)*AI99-Base!$B83*(AI99-AI101))</f>
        <v>6.0970394516889828</v>
      </c>
      <c r="AK99" s="42">
        <f>AJ99+Base!$B82*(AK100-(Base!$B$80/Base!$B79)*AJ99-Base!$B83*(AJ99-AJ101))</f>
        <v>6.1838581556099896</v>
      </c>
      <c r="AL99" s="42">
        <f>AK99+Base!$B82*(AL100-(Base!$B$80/Base!$B79)*AK99-Base!$B83*(AK99-AK101))</f>
        <v>6.2639337688997649</v>
      </c>
      <c r="AM99" s="42">
        <f>AL99+Base!$B82*(AM100-(Base!$B$80/Base!$B79)*AL99-Base!$B83*(AL99-AL101))</f>
        <v>6.3371858967807206</v>
      </c>
      <c r="AN99" s="42">
        <f>AM99+Base!$B82*(AN100-(Base!$B$80/Base!$B79)*AM99-Base!$B83*(AM99-AM101))</f>
        <v>6.4035199348596681</v>
      </c>
      <c r="AO99" s="42">
        <f>AN99+Base!$B82*(AO100-(Base!$B$80/Base!$B79)*AN99-Base!$B83*(AN99-AN101))</f>
        <v>6.462824104409755</v>
      </c>
      <c r="AP99" s="42">
        <f>AO99+Base!$B82*(AP100-(Base!$B$80/Base!$B79)*AO99-Base!$B83*(AO99-AO101))</f>
        <v>6.5149662301538696</v>
      </c>
      <c r="AQ99" s="42">
        <f>AP99+Base!$B82*(AQ100-(Base!$B$80/Base!$B79)*AP99-Base!$B83*(AP99-AP101))</f>
        <v>6.5597901797503821</v>
      </c>
      <c r="AR99" s="42">
        <f>AQ99+Base!$B82*(AR100-(Base!$B$80/Base!$B79)*AQ99-Base!$B83*(AQ99-AQ101))</f>
        <v>6.5971118598401182</v>
      </c>
      <c r="AS99" s="42">
        <f>AR99+Base!$B82*(AS100-(Base!$B$80/Base!$B79)*AR99-Base!$B83*(AR99-AR101))</f>
        <v>6.6267146123641734</v>
      </c>
      <c r="AT99" s="42">
        <f>AS99+Base!$B82*(AT100-(Base!$B$80/Base!$B79)*AS99-Base!$B83*(AS99-AS101))</f>
        <v>6.6483437555627152</v>
      </c>
      <c r="AU99" s="42">
        <f>AT99+Base!$B82*(AU100-(Base!$B$80/Base!$B79)*AT99-Base!$B83*(AT99-AT101))</f>
        <v>6.6616998089271897</v>
      </c>
      <c r="AV99" s="42">
        <f>AU99+Base!$B82*(AV100-(Base!$B$80/Base!$B79)*AU99-Base!$B83*(AU99-AU101))</f>
        <v>6.6612677666982041</v>
      </c>
      <c r="AW99" s="42">
        <f>AV99+Base!$B82*(AW100-(Base!$B$80/Base!$B79)*AV99-Base!$B83*(AV99-AV101))</f>
        <v>6.6501723279147491</v>
      </c>
      <c r="AX99" s="42">
        <f>AW99+Base!$B82*(AX100-(Base!$B$80/Base!$B79)*AW99-Base!$B83*(AW99-AW101))</f>
        <v>6.6310000452002811</v>
      </c>
      <c r="AY99" s="42">
        <f>AX99+Base!$B82*(AY100-(Base!$B$80/Base!$B79)*AX99-Base!$B83*(AX99-AX101))</f>
        <v>6.6058781236681465</v>
      </c>
      <c r="AZ99" s="42">
        <f>AY99+Base!$B82*(AZ100-(Base!$B$80/Base!$B79)*AY99-Base!$B83*(AY99-AY101))</f>
        <v>6.5765432849619305</v>
      </c>
      <c r="BA99" s="42">
        <f>AZ99+Base!$B82*(BA100-(Base!$B$80/Base!$B79)*AZ99-Base!$B83*(AZ99-AZ101))</f>
        <v>6.544401745247681</v>
      </c>
      <c r="BB99" s="42">
        <f>BA99+Base!$B82*(BB100-(Base!$B$80/Base!$B79)*BA99-Base!$B83*(BA99-BA101))</f>
        <v>6.5105812627841724</v>
      </c>
      <c r="BC99" s="42">
        <f>BB99+Base!$B82*(BC100-(Base!$B$80/Base!$B79)*BB99-Base!$B83*(BB99-BB101))</f>
        <v>6.4759761294041223</v>
      </c>
      <c r="BD99" s="42">
        <f>BC99+Base!$B82*(BD100-(Base!$B$80/Base!$B79)*BC99-Base!$B83*(BC99-BC101))</f>
        <v>6.4412859066511601</v>
      </c>
      <c r="BE99" s="42">
        <f>BD99+Base!$B82*(BE100-(Base!$B$80/Base!$B79)*BD99-Base!$B83*(BD99-BD101))</f>
        <v>6.4070486388273933</v>
      </c>
      <c r="BF99" s="42">
        <f>BE99+Base!$B82*(BF100-(Base!$B$80/Base!$B79)*BE99-Base!$B83*(BE99-BE101))</f>
        <v>6.3736692103742714</v>
      </c>
      <c r="BG99" s="42">
        <f>BF99+Base!$B82*(BG100-(Base!$B$80/Base!$B79)*BF99-Base!$B83*(BF99-BF101))</f>
        <v>6.3414434531915331</v>
      </c>
      <c r="BH99" s="42">
        <f>BG99+Base!$B82*(BH100-(Base!$B$80/Base!$B79)*BG99-Base!$B83*(BG99-BG101))</f>
        <v>6.3105785505475156</v>
      </c>
      <c r="BI99" s="42">
        <f>BH99+Base!$B82*(BI100-(Base!$B$80/Base!$B79)*BH99-Base!$B83*(BH99-BH101))</f>
        <v>6.2812102282703659</v>
      </c>
      <c r="BJ99" s="42"/>
      <c r="BK99" s="42"/>
      <c r="BL99" s="42"/>
      <c r="BM99" s="42"/>
      <c r="BN99" s="42"/>
      <c r="BO99" s="42"/>
      <c r="BP99" s="42"/>
      <c r="BQ99" s="42"/>
      <c r="BR99" s="42"/>
      <c r="BS99" s="42"/>
      <c r="BT99" s="42"/>
      <c r="BU99" s="42"/>
      <c r="BV99" s="42"/>
      <c r="BW99" s="42"/>
      <c r="BX99" s="42"/>
      <c r="BY99" s="42"/>
      <c r="BZ99" s="42"/>
      <c r="CA99" s="42"/>
      <c r="CB99" s="42"/>
      <c r="CC99" s="42"/>
      <c r="CD99" s="42"/>
      <c r="CE99" s="42"/>
      <c r="CF99" s="42"/>
      <c r="CG99" s="42"/>
      <c r="CH99" s="42"/>
      <c r="CI99" s="42"/>
      <c r="CJ99" s="42"/>
      <c r="CK99" s="42"/>
      <c r="CL99" s="42"/>
      <c r="CM99" s="42"/>
      <c r="CN99" s="42"/>
      <c r="CO99" s="42"/>
      <c r="CP99" s="42"/>
      <c r="CQ99" s="42"/>
      <c r="CR99" s="42"/>
      <c r="CS99" s="42"/>
      <c r="CT99" s="42"/>
      <c r="CU99" s="42"/>
      <c r="CV99" s="42"/>
      <c r="CW99" s="42"/>
      <c r="CX99" s="42"/>
      <c r="CY99" s="42"/>
      <c r="CZ99" s="42"/>
      <c r="DA99" s="42"/>
      <c r="DB99" s="42"/>
      <c r="DC99" s="42"/>
      <c r="DD99" s="42"/>
      <c r="DE99" s="42"/>
      <c r="DF99" s="42"/>
      <c r="DG99" s="42"/>
      <c r="DH99" s="42"/>
      <c r="DI99" s="42"/>
      <c r="DJ99" s="42"/>
      <c r="DK99" s="42"/>
      <c r="DL99" s="42"/>
      <c r="DM99" s="42"/>
      <c r="DN99" s="42"/>
      <c r="DO99" s="42"/>
      <c r="DP99" s="42"/>
      <c r="DQ99" s="42"/>
      <c r="DR99" s="42"/>
      <c r="DS99" s="42"/>
      <c r="DT99" s="42"/>
      <c r="DU99" s="42"/>
      <c r="DV99" s="42"/>
      <c r="DW99" s="42"/>
      <c r="DX99" s="42"/>
    </row>
    <row r="100" spans="1:309" s="10" customFormat="1" ht="30" customHeight="1" x14ac:dyDescent="0.3">
      <c r="A100" s="13" t="s">
        <v>87</v>
      </c>
      <c r="B100" s="10">
        <f>Base!$B$80*(LOG(B87/Parameters!$B$71))/LOG(2)+Base!B73</f>
        <v>1.8244793195909872</v>
      </c>
      <c r="C100" s="10">
        <f>Base!$B$80*(LOG(C87/Parameters!$B$71))/LOG(2)+Base!C73</f>
        <v>2.051075783207712</v>
      </c>
      <c r="D100" s="10">
        <f>Base!$B$80*(LOG(D87/Parameters!$B$71))/LOG(2)+Base!D73</f>
        <v>2.2889866320299714</v>
      </c>
      <c r="E100" s="10">
        <f>Base!$B$80*(LOG(E87/Parameters!$B$71))/LOG(2)+Base!E73</f>
        <v>2.5372918747614936</v>
      </c>
      <c r="F100" s="10">
        <f>Base!$B$80*(LOG(F87/Parameters!$B$71))/LOG(2)+Base!F73</f>
        <v>2.7945545945855637</v>
      </c>
      <c r="G100" s="10">
        <f>Base!$B$80*(LOG(G87/Parameters!$B$71))/LOG(2)+Base!G73</f>
        <v>3.0590359536980585</v>
      </c>
      <c r="H100" s="10">
        <f>Base!$B$80*(LOG(H87/Parameters!$B$71))/LOG(2)+Base!H73</f>
        <v>3.328862697896712</v>
      </c>
      <c r="I100" s="10">
        <f>Base!$B$80*(LOG(I87/Parameters!$B$71))/LOG(2)+Base!I73</f>
        <v>3.602151630434228</v>
      </c>
      <c r="J100" s="10">
        <f>Base!$B$80*(LOG(J87/Parameters!$B$71))/LOG(2)+Base!J73</f>
        <v>3.8770967293625671</v>
      </c>
      <c r="K100" s="10">
        <f>Base!$B$80*(LOG(K87/Parameters!$B$71))/LOG(2)+Base!K73</f>
        <v>4.1520253129652138</v>
      </c>
      <c r="L100" s="10">
        <f>Base!$B$80*(LOG(L87/Parameters!$B$71))/LOG(2)+Base!L73</f>
        <v>4.4254298919400359</v>
      </c>
      <c r="M100" s="10">
        <f>Base!$B$80*(LOG(M87/Parameters!$B$71))/LOG(2)+Base!M73</f>
        <v>4.6959818930172075</v>
      </c>
      <c r="N100" s="10">
        <f>Base!$B$80*(LOG(N87/Parameters!$B$71))/LOG(2)+Base!N73</f>
        <v>4.9625325812347221</v>
      </c>
      <c r="O100" s="10">
        <f>Base!$B$80*(LOG(O87/Parameters!$B$71))/LOG(2)+Base!O73</f>
        <v>5.224105453844583</v>
      </c>
      <c r="P100" s="10">
        <f>Base!$B$80*(LOG(P87/Parameters!$B$71))/LOG(2)+Base!P73</f>
        <v>5.4798833777989175</v>
      </c>
      <c r="Q100" s="10">
        <f>Base!$B$80*(LOG(Q87/Parameters!$B$71))/LOG(2)+Base!Q73</f>
        <v>5.7291928178504499</v>
      </c>
      <c r="R100" s="10">
        <f>Base!$B$80*(LOG(R87/Parameters!$B$71))/LOG(2)+Base!R73</f>
        <v>5.9714868554025919</v>
      </c>
      <c r="S100" s="10">
        <f>Base!$B$80*(LOG(S87/Parameters!$B$71))/LOG(2)+Base!S73</f>
        <v>6.2063281017833756</v>
      </c>
      <c r="T100" s="10">
        <f>Base!$B$80*(LOG(T87/Parameters!$B$71))/LOG(2)+Base!T73</f>
        <v>6.4333722175294188</v>
      </c>
      <c r="U100" s="10">
        <f>Base!$B$80*(LOG(U87/Parameters!$B$71))/LOG(2)+Base!U73</f>
        <v>6.6183523613804764</v>
      </c>
      <c r="V100" s="10">
        <f>Base!$B$80*(LOG(V87/Parameters!$B$71))/LOG(2)+Base!V73</f>
        <v>6.7950645996292405</v>
      </c>
      <c r="W100" s="10">
        <f>Base!$B$80*(LOG(W87/Parameters!$B$71))/LOG(2)+Base!W73</f>
        <v>6.9633666924903972</v>
      </c>
      <c r="X100" s="10">
        <f>Base!$B$80*(LOG(X87/Parameters!$B$71))/LOG(2)+Base!X73</f>
        <v>7.1231631186551914</v>
      </c>
      <c r="Y100" s="10">
        <f>Base!$B$80*(LOG(Y87/Parameters!$B$71))/LOG(2)+Base!Y73</f>
        <v>7.2743933254845379</v>
      </c>
      <c r="Z100" s="10">
        <f>Base!$B$80*(LOG(Z87/Parameters!$B$71))/LOG(2)+Base!Z73</f>
        <v>7.4170222496219784</v>
      </c>
      <c r="AA100" s="10">
        <f>Base!$B$80*(LOG(AA87/Parameters!$B$71))/LOG(2)+Base!AA73</f>
        <v>7.5510325014984581</v>
      </c>
      <c r="AB100" s="10">
        <f>Base!$B$80*(LOG(AB87/Parameters!$B$71))/LOG(2)+Base!AB73</f>
        <v>7.676417763328895</v>
      </c>
      <c r="AC100" s="10">
        <f>Base!$B$80*(LOG(AC87/Parameters!$B$71))/LOG(2)+Base!AC73</f>
        <v>7.7931771237857541</v>
      </c>
      <c r="AD100" s="10">
        <f>Base!$B$80*(LOG(AD87/Parameters!$B$71))/LOG(2)+Base!AD73</f>
        <v>7.9013101153203067</v>
      </c>
      <c r="AE100" s="10">
        <f>Base!$B$80*(LOG(AE87/Parameters!$B$71))/LOG(2)+Base!AE73</f>
        <v>8.000812302749079</v>
      </c>
      <c r="AF100" s="10">
        <f>Base!$B$80*(LOG(AF87/Parameters!$B$71))/LOG(2)+Base!AF73</f>
        <v>8.0916712901844594</v>
      </c>
      <c r="AG100" s="10">
        <f>Base!$B$80*(LOG(AG87/Parameters!$B$71))/LOG(2)+Base!AG73</f>
        <v>8.1737948366997859</v>
      </c>
      <c r="AH100" s="10">
        <f>Base!$B$80*(LOG(AH87/Parameters!$B$71))/LOG(2)+Base!AH73</f>
        <v>8.2471504093603922</v>
      </c>
      <c r="AI100" s="10">
        <f>Base!$B$80*(LOG(AI87/Parameters!$B$71))/LOG(2)+Base!AI73</f>
        <v>8.3116806843286231</v>
      </c>
      <c r="AJ100" s="10">
        <f>Base!$B$80*(LOG(AJ87/Parameters!$B$71))/LOG(2)+Base!AJ73</f>
        <v>8.3673015302584606</v>
      </c>
      <c r="AK100" s="10">
        <f>Base!$B$80*(LOG(AK87/Parameters!$B$71))/LOG(2)+Base!AK73</f>
        <v>8.4138992811648681</v>
      </c>
      <c r="AL100" s="10">
        <f>Base!$B$80*(LOG(AL87/Parameters!$B$71))/LOG(2)+Base!AL73</f>
        <v>8.4513273855435624</v>
      </c>
      <c r="AM100" s="10">
        <f>Base!$B$80*(LOG(AM87/Parameters!$B$71))/LOG(2)+Base!AM73</f>
        <v>8.4794024435298354</v>
      </c>
      <c r="AN100" s="10">
        <f>Base!$B$80*(LOG(AN87/Parameters!$B$71))/LOG(2)+Base!AN73</f>
        <v>8.4978995956546513</v>
      </c>
      <c r="AO100" s="10">
        <f>Base!$B$80*(LOG(AO87/Parameters!$B$71))/LOG(2)+Base!AO73</f>
        <v>8.5065471701735902</v>
      </c>
      <c r="AP100" s="10">
        <f>Base!$B$80*(LOG(AP87/Parameters!$B$71))/LOG(2)+Base!AP73</f>
        <v>8.5050204614078773</v>
      </c>
      <c r="AQ100" s="10">
        <f>Base!$B$80*(LOG(AQ87/Parameters!$B$71))/LOG(2)+Base!AQ73</f>
        <v>8.4929344083589715</v>
      </c>
      <c r="AR100" s="10">
        <f>Base!$B$80*(LOG(AR87/Parameters!$B$71))/LOG(2)+Base!AR73</f>
        <v>8.4698348369058891</v>
      </c>
      <c r="AS100" s="10">
        <f>Base!$B$80*(LOG(AS87/Parameters!$B$71))/LOG(2)+Base!AS73</f>
        <v>8.4351876402506019</v>
      </c>
      <c r="AT100" s="10">
        <f>Base!$B$80*(LOG(AT87/Parameters!$B$71))/LOG(2)+Base!AT73</f>
        <v>8.3883647442699694</v>
      </c>
      <c r="AU100" s="10">
        <f>Base!$B$80*(LOG(AU87/Parameters!$B$71))/LOG(2)+Base!AU73</f>
        <v>8.3286245604242133</v>
      </c>
      <c r="AV100" s="10">
        <f>Base!$B$80*(LOG(AV87/Parameters!$B$71))/LOG(2)+Base!AV73</f>
        <v>8.2054500452295294</v>
      </c>
      <c r="AW100" s="10">
        <f>Base!$B$80*(LOG(AW87/Parameters!$B$71))/LOG(2)+Base!AW73</f>
        <v>8.0948954218306106</v>
      </c>
      <c r="AX100" s="10">
        <f>Base!$B$80*(LOG(AX87/Parameters!$B$71))/LOG(2)+Base!AX73</f>
        <v>7.9957980572807896</v>
      </c>
      <c r="AY100" s="10">
        <f>Base!$B$80*(LOG(AY87/Parameters!$B$71))/LOG(2)+Base!AY73</f>
        <v>7.9070590628705872</v>
      </c>
      <c r="AZ100" s="10">
        <f>Base!$B$80*(LOG(AZ87/Parameters!$B$71))/LOG(2)+Base!AZ73</f>
        <v>7.8276496467996957</v>
      </c>
      <c r="BA100" s="10">
        <f>Base!$B$80*(LOG(BA87/Parameters!$B$71))/LOG(2)+Base!BA73</f>
        <v>7.7566146720439253</v>
      </c>
      <c r="BB100" s="10">
        <f>Base!$B$80*(LOG(BB87/Parameters!$B$71))/LOG(2)+Base!BB73</f>
        <v>7.6930738881661993</v>
      </c>
      <c r="BC100" s="10">
        <f>Base!$B$80*(LOG(BC87/Parameters!$B$71))/LOG(2)+Base!BC73</f>
        <v>7.6362212983714057</v>
      </c>
      <c r="BD100" s="10">
        <f>Base!$B$80*(LOG(BD87/Parameters!$B$71))/LOG(2)+Base!BD73</f>
        <v>7.5853230907996414</v>
      </c>
      <c r="BE100" s="10">
        <f>Base!$B$80*(LOG(BE87/Parameters!$B$71))/LOG(2)+Base!BE73</f>
        <v>7.5397145157534977</v>
      </c>
      <c r="BF100" s="10">
        <f>Base!$B$80*(LOG(BF87/Parameters!$B$71))/LOG(2)+Base!BF73</f>
        <v>7.4987960361334904</v>
      </c>
      <c r="BG100" s="10">
        <f>Base!$B$80*(LOG(BG87/Parameters!$B$71))/LOG(2)+Base!BG73</f>
        <v>7.4620290226173811</v>
      </c>
      <c r="BH100" s="10">
        <f>Base!$B$80*(LOG(BH87/Parameters!$B$71))/LOG(2)+Base!BH73</f>
        <v>7.4289312119978916</v>
      </c>
      <c r="BI100" s="10">
        <f>Base!$B$80*(LOG(BI87/Parameters!$B$71))/LOG(2)+Base!BI73</f>
        <v>7.3990720989764212</v>
      </c>
    </row>
    <row r="101" spans="1:309" s="10" customFormat="1" ht="30" customHeight="1" x14ac:dyDescent="0.3">
      <c r="A101" s="13" t="s">
        <v>44</v>
      </c>
      <c r="B101" s="10">
        <f xml:space="preserve"> Base!B77</f>
        <v>6.7999999999999996E-3</v>
      </c>
      <c r="C101" s="10">
        <f>B101+ Base!$B84*(B99-B101)</f>
        <v>2.7380000000000002E-2</v>
      </c>
      <c r="D101" s="10">
        <f>C101+ Base!$B84*(C99-C101)</f>
        <v>5.0027323876340055E-2</v>
      </c>
      <c r="E101" s="10">
        <f>D101+ Base!$B84*(D99-D101)</f>
        <v>7.4971081342205273E-2</v>
      </c>
      <c r="F101" s="10">
        <f>E101+ Base!$B84*(E99-E101)</f>
        <v>0.1024249050679736</v>
      </c>
      <c r="G101" s="10">
        <f>F101+ Base!$B84*(F99-F101)</f>
        <v>0.13258494730800549</v>
      </c>
      <c r="H101" s="10">
        <f>G101+ Base!$B84*(G99-G101)</f>
        <v>0.16562745515402946</v>
      </c>
      <c r="I101" s="10">
        <f>H101+ Base!$B84*(H99-H101)</f>
        <v>0.20170643254283005</v>
      </c>
      <c r="J101" s="10">
        <f>I101+ Base!$B84*(I99-I101)</f>
        <v>0.24095170645967237</v>
      </c>
      <c r="K101" s="10">
        <f>J101+ Base!$B84*(J99-J101)</f>
        <v>0.28346756733884337</v>
      </c>
      <c r="L101" s="10">
        <f>K101+ Base!$B84*(K99-K101)</f>
        <v>0.32933204513870662</v>
      </c>
      <c r="M101" s="10">
        <f>L101+ Base!$B84*(L99-L101)</f>
        <v>0.37859680788935124</v>
      </c>
      <c r="N101" s="10">
        <f>M101+ Base!$B84*(M99-M101)</f>
        <v>0.43128762249531022</v>
      </c>
      <c r="O101" s="10">
        <f>N101+ Base!$B84*(N99-N101)</f>
        <v>0.48740529186386244</v>
      </c>
      <c r="P101" s="10">
        <f>O101+ Base!$B84*(O99-O101)</f>
        <v>0.5469269720666653</v>
      </c>
      <c r="Q101" s="10">
        <f>P101+ Base!$B84*(P99-P101)</f>
        <v>0.60980777328578339</v>
      </c>
      <c r="R101" s="10">
        <f>Q101+ Base!$B84*(Q99-Q101)</f>
        <v>0.67598255473126045</v>
      </c>
      <c r="S101" s="10">
        <f>R101+ Base!$B84*(R99-R101)</f>
        <v>0.74536783385632199</v>
      </c>
      <c r="T101" s="10">
        <f>S101+ Base!$B84*(S99-S101)</f>
        <v>0.8178637418836634</v>
      </c>
      <c r="U101" s="10">
        <f>T101+ Base!$B84*(T99-T101)</f>
        <v>0.89335596959722352</v>
      </c>
      <c r="V101" s="10">
        <f>U101+ Base!$B84*(U99-U101)</f>
        <v>0.97162925846380888</v>
      </c>
      <c r="W101" s="10">
        <f>V101+ Base!$B84*(V99-V101)</f>
        <v>1.0524715381969039</v>
      </c>
      <c r="X101" s="10">
        <f>W101+ Base!$B84*(W99-W101)</f>
        <v>1.1356737189104851</v>
      </c>
      <c r="Y101" s="10">
        <f>X101+ Base!$B84*(X99-X101)</f>
        <v>1.2210296276645294</v>
      </c>
      <c r="Z101" s="10">
        <f>Y101+ Base!$B84*(Y99-Y101)</f>
        <v>1.3083360367308048</v>
      </c>
      <c r="AA101" s="10">
        <f>Z101+ Base!$B84*(Z99-Z101)</f>
        <v>1.3973927446685666</v>
      </c>
      <c r="AB101" s="10">
        <f>AA101+ Base!$B84*(AA99-AA101)</f>
        <v>1.488002681477014</v>
      </c>
      <c r="AC101" s="10">
        <f>AB101+ Base!$B84*(AB99-AB101)</f>
        <v>1.5799720166132269</v>
      </c>
      <c r="AD101" s="10">
        <f>AC101+ Base!$B84*(AC99-AC101)</f>
        <v>1.6731102543693284</v>
      </c>
      <c r="AE101" s="10">
        <f>AD101+ Base!$B84*(AD99-AD101)</f>
        <v>1.7672303053652443</v>
      </c>
      <c r="AF101" s="10">
        <f>AE101+ Base!$B84*(AE99-AE101)</f>
        <v>1.8621485261583344</v>
      </c>
      <c r="AG101" s="10">
        <f>AF101+ Base!$B84*(AF99-AF101)</f>
        <v>1.9576847213936166</v>
      </c>
      <c r="AH101" s="10">
        <f>AG101+ Base!$B84*(AG99-AG101)</f>
        <v>2.0536619273785717</v>
      </c>
      <c r="AI101" s="10">
        <f>AH101+ Base!$B84*(AH99-AH101)</f>
        <v>2.149906374372621</v>
      </c>
      <c r="AJ101" s="10">
        <f>AI101+ Base!$B84*(AI99-AI101)</f>
        <v>2.2462473803876373</v>
      </c>
      <c r="AK101" s="10">
        <f>AJ101+ Base!$B84*(AJ99-AJ101)</f>
        <v>2.3425171821701709</v>
      </c>
      <c r="AL101" s="10">
        <f>AK101+ Base!$B84*(AK99-AK101)</f>
        <v>2.4385507065061662</v>
      </c>
      <c r="AM101" s="10">
        <f>AL101+ Base!$B84*(AL99-AL101)</f>
        <v>2.5341852830660061</v>
      </c>
      <c r="AN101" s="10">
        <f>AM101+ Base!$B84*(AM99-AM101)</f>
        <v>2.629260298408874</v>
      </c>
      <c r="AO101" s="10">
        <f>AN101+ Base!$B84*(AN99-AN101)</f>
        <v>2.7236167893201437</v>
      </c>
      <c r="AP101" s="10">
        <f>AO101+ Base!$B84*(AO99-AO101)</f>
        <v>2.8170969721973842</v>
      </c>
      <c r="AQ101" s="10">
        <f>AP101+ Base!$B84*(AP99-AP101)</f>
        <v>2.9095437036462961</v>
      </c>
      <c r="AR101" s="10">
        <f>AQ101+ Base!$B84*(AQ99-AQ101)</f>
        <v>3.0007998655488981</v>
      </c>
      <c r="AS101" s="10">
        <f>AR101+ Base!$B84*(AR99-AR101)</f>
        <v>3.0907076654061787</v>
      </c>
      <c r="AT101" s="10">
        <f>AS101+ Base!$B84*(AS99-AS101)</f>
        <v>3.1791078390801286</v>
      </c>
      <c r="AU101" s="10">
        <f>AT101+ Base!$B84*(AT99-AT101)</f>
        <v>3.2658387369921931</v>
      </c>
      <c r="AV101" s="10">
        <f>AU101+ Base!$B84*(AU99-AU101)</f>
        <v>3.3507352637905679</v>
      </c>
      <c r="AW101" s="10">
        <f>AV101+ Base!$B84*(AV99-AV101)</f>
        <v>3.4334985763632586</v>
      </c>
      <c r="AX101" s="10">
        <f>AW101+ Base!$B84*(AW99-AW101)</f>
        <v>3.5139154201520459</v>
      </c>
      <c r="AY101" s="10">
        <f>AX101+ Base!$B84*(AX99-AX101)</f>
        <v>3.5918425357782517</v>
      </c>
      <c r="AZ101" s="10">
        <f>AY101+ Base!$B84*(AY99-AY101)</f>
        <v>3.667193425475499</v>
      </c>
      <c r="BA101" s="10">
        <f>AZ101+ Base!$B84*(AZ99-AZ101)</f>
        <v>3.7399271719626599</v>
      </c>
      <c r="BB101" s="10">
        <f>BA101+ Base!$B84*(BA99-BA101)</f>
        <v>3.8100390362947856</v>
      </c>
      <c r="BC101" s="10">
        <f>BB101+ Base!$B84*(BB99-BB101)</f>
        <v>3.8775525919570204</v>
      </c>
      <c r="BD101" s="10">
        <f>BC101+ Base!$B84*(BC99-BC101)</f>
        <v>3.9425131803931981</v>
      </c>
      <c r="BE101" s="10">
        <f>BD101+ Base!$B84*(BD99-BD101)</f>
        <v>4.0049824985496469</v>
      </c>
      <c r="BF101" s="10">
        <f>BE101+ Base!$B84*(BE99-BE101)</f>
        <v>4.0650341520565902</v>
      </c>
      <c r="BG101" s="10">
        <f>BF101+ Base!$B84*(BF99-BF101)</f>
        <v>4.122750028514532</v>
      </c>
      <c r="BH101" s="10">
        <f>BG101+ Base!$B84*(BG99-BG101)</f>
        <v>4.1782173641314566</v>
      </c>
      <c r="BI101" s="10">
        <f>BH101+ Base!$B84*(BH99-BH101)</f>
        <v>4.2315263937918584</v>
      </c>
    </row>
    <row r="102" spans="1:309" ht="35.4" customHeight="1" thickBot="1" x14ac:dyDescent="0.4">
      <c r="A102" s="31" t="s">
        <v>202</v>
      </c>
    </row>
    <row r="103" spans="1:309" ht="21" customHeight="1" thickTop="1" thickBot="1" x14ac:dyDescent="0.4">
      <c r="A103" s="32" t="s">
        <v>56</v>
      </c>
      <c r="B103" s="2"/>
    </row>
    <row r="104" spans="1:309" ht="21" customHeight="1" thickTop="1" x14ac:dyDescent="0.35">
      <c r="A104" s="13" t="s">
        <v>57</v>
      </c>
      <c r="B104" s="2">
        <f t="shared" ref="B104:AG104" si="18">B21*B117^$B5*(B53/1000)^(1-$B5)</f>
        <v>63.542187841812257</v>
      </c>
      <c r="C104" s="2">
        <f t="shared" si="18"/>
        <v>75.806500979861497</v>
      </c>
      <c r="D104" s="2">
        <f t="shared" si="18"/>
        <v>89.524742418757882</v>
      </c>
      <c r="E104" s="2">
        <f t="shared" si="18"/>
        <v>104.71152619398278</v>
      </c>
      <c r="F104" s="2">
        <f t="shared" si="18"/>
        <v>121.37941326476914</v>
      </c>
      <c r="G104" s="2">
        <f t="shared" si="18"/>
        <v>139.53863945692763</v>
      </c>
      <c r="H104" s="2">
        <f t="shared" si="18"/>
        <v>159.19687658408569</v>
      </c>
      <c r="I104" s="2">
        <f t="shared" si="18"/>
        <v>180.35899869777597</v>
      </c>
      <c r="J104" s="2">
        <f t="shared" si="18"/>
        <v>203.02682645792362</v>
      </c>
      <c r="K104" s="2">
        <f t="shared" si="18"/>
        <v>227.19890278631436</v>
      </c>
      <c r="L104" s="2">
        <f t="shared" si="18"/>
        <v>252.87033637131046</v>
      </c>
      <c r="M104" s="2">
        <f t="shared" si="18"/>
        <v>280.0327352278951</v>
      </c>
      <c r="N104" s="2">
        <f t="shared" si="18"/>
        <v>308.6742114403703</v>
      </c>
      <c r="O104" s="2">
        <f t="shared" si="18"/>
        <v>338.77943442622092</v>
      </c>
      <c r="P104" s="2">
        <f t="shared" si="18"/>
        <v>370.32965986774161</v>
      </c>
      <c r="Q104" s="2">
        <f t="shared" si="18"/>
        <v>403.30273667149646</v>
      </c>
      <c r="R104" s="2">
        <f t="shared" si="18"/>
        <v>437.67302188532028</v>
      </c>
      <c r="S104" s="2">
        <f t="shared" si="18"/>
        <v>473.41117387298294</v>
      </c>
      <c r="T104" s="2">
        <f t="shared" si="18"/>
        <v>510.48366205700529</v>
      </c>
      <c r="U104" s="2">
        <f t="shared" si="18"/>
        <v>548.85173120435775</v>
      </c>
      <c r="V104" s="2">
        <f t="shared" si="18"/>
        <v>588.48923362194046</v>
      </c>
      <c r="W104" s="2">
        <f t="shared" si="18"/>
        <v>629.3663293453958</v>
      </c>
      <c r="X104" s="2">
        <f t="shared" si="18"/>
        <v>671.45059152095553</v>
      </c>
      <c r="Y104" s="2">
        <f t="shared" si="18"/>
        <v>714.70786536842149</v>
      </c>
      <c r="Z104" s="2">
        <f t="shared" si="18"/>
        <v>759.10301149330712</v>
      </c>
      <c r="AA104" s="2">
        <f t="shared" si="18"/>
        <v>804.60051762071896</v>
      </c>
      <c r="AB104" s="2">
        <f t="shared" si="18"/>
        <v>851.16511724063537</v>
      </c>
      <c r="AC104" s="2">
        <f t="shared" si="18"/>
        <v>898.76239497652818</v>
      </c>
      <c r="AD104" s="2">
        <f t="shared" si="18"/>
        <v>947.3595036447407</v>
      </c>
      <c r="AE104" s="2">
        <f t="shared" si="18"/>
        <v>996.92604266175988</v>
      </c>
      <c r="AF104" s="2">
        <f t="shared" si="18"/>
        <v>1047.1806171647504</v>
      </c>
      <c r="AG104" s="2">
        <f t="shared" si="18"/>
        <v>1098.3079234313445</v>
      </c>
      <c r="AH104" s="2">
        <f t="shared" ref="AH104:BI104" si="19">AH21*AH117^$B5*(AH53/1000)^(1-$B5)</f>
        <v>1150.2621864239188</v>
      </c>
      <c r="AI104" s="2">
        <f t="shared" si="19"/>
        <v>1202.9999769455872</v>
      </c>
      <c r="AJ104" s="2">
        <f t="shared" si="19"/>
        <v>1256.4800219696956</v>
      </c>
      <c r="AK104" s="2">
        <f t="shared" si="19"/>
        <v>1310.6632379129176</v>
      </c>
      <c r="AL104" s="2">
        <f t="shared" si="19"/>
        <v>1365.5130408450782</v>
      </c>
      <c r="AM104" s="2">
        <f t="shared" si="19"/>
        <v>1420.99614033693</v>
      </c>
      <c r="AN104" s="2">
        <f t="shared" si="19"/>
        <v>1477.0841151770944</v>
      </c>
      <c r="AO104" s="2">
        <f t="shared" si="19"/>
        <v>1533.7565685571253</v>
      </c>
      <c r="AP104" s="2">
        <f t="shared" si="19"/>
        <v>1591.0069103379167</v>
      </c>
      <c r="AQ104" s="2">
        <f t="shared" si="19"/>
        <v>1648.8532216172441</v>
      </c>
      <c r="AR104" s="2">
        <f t="shared" si="19"/>
        <v>1707.358032580036</v>
      </c>
      <c r="AS104" s="2">
        <f t="shared" si="19"/>
        <v>1766.6642782690867</v>
      </c>
      <c r="AT104" s="2">
        <f t="shared" si="19"/>
        <v>1827.0596662490489</v>
      </c>
      <c r="AU104" s="2">
        <f t="shared" si="19"/>
        <v>1889.0898091818758</v>
      </c>
      <c r="AV104" s="2">
        <f t="shared" si="19"/>
        <v>1948.1171683049008</v>
      </c>
      <c r="AW104" s="2">
        <f t="shared" si="19"/>
        <v>2006.4900442082255</v>
      </c>
      <c r="AX104" s="2">
        <f t="shared" si="19"/>
        <v>2064.2142920453302</v>
      </c>
      <c r="AY104" s="2">
        <f t="shared" si="19"/>
        <v>2120.8989706167149</v>
      </c>
      <c r="AZ104" s="2">
        <f t="shared" si="19"/>
        <v>2175.6191847889318</v>
      </c>
      <c r="BA104" s="2">
        <f t="shared" si="19"/>
        <v>2250.051372774185</v>
      </c>
      <c r="BB104" s="2">
        <f t="shared" si="19"/>
        <v>2320.3849778125232</v>
      </c>
      <c r="BC104" s="2">
        <f t="shared" si="19"/>
        <v>2387.7061189112901</v>
      </c>
      <c r="BD104" s="2">
        <f t="shared" si="19"/>
        <v>2452.765107942972</v>
      </c>
      <c r="BE104" s="2">
        <f t="shared" si="19"/>
        <v>2516.0787468138496</v>
      </c>
      <c r="BF104" s="2">
        <f t="shared" si="19"/>
        <v>2578.0005704771415</v>
      </c>
      <c r="BG104" s="2">
        <f t="shared" si="19"/>
        <v>2638.7697323512007</v>
      </c>
      <c r="BH104" s="2">
        <f t="shared" si="19"/>
        <v>2698.5453230220187</v>
      </c>
      <c r="BI104" s="2">
        <f t="shared" si="19"/>
        <v>2757.4305883457669</v>
      </c>
    </row>
    <row r="105" spans="1:309" ht="21" customHeight="1" x14ac:dyDescent="0.35">
      <c r="A105" s="13" t="s">
        <v>125</v>
      </c>
      <c r="B105" s="2">
        <f>($B25*B99+$B26*B99^$B$27+$B$30*(B99/$B$28)^$B$29)*Parameters!$B$29</f>
        <v>1.8350573750000002E-3</v>
      </c>
      <c r="C105" s="2">
        <f>($B25*C99+$B26*C99^$B$27+$B$30*(C99/$B$28)^$B$29)*Parameters!$B$29</f>
        <v>2.3201220110001036E-3</v>
      </c>
      <c r="D105" s="2">
        <f>($B25*D99+$B26*D99^$B$27+$B$30*(D99/$B$28)^$B$29)*Parameters!$B$29</f>
        <v>2.924365829282672E-3</v>
      </c>
      <c r="E105" s="2">
        <f>($B25*E99+$B26*E99^$B$27+$B$30*(E99/$B$28)^$B$29)*Parameters!$B$29</f>
        <v>3.6659060000631609E-3</v>
      </c>
      <c r="F105" s="2">
        <f>($B25*F99+$B26*F99^$B$27+$B$30*(F99/$B$28)^$B$29)*Parameters!$B$29</f>
        <v>4.5630758175258463E-3</v>
      </c>
      <c r="G105" s="2">
        <f>($B25*G99+$B26*G99^$B$27+$B$30*(G99/$B$28)^$B$29)*Parameters!$B$29</f>
        <v>5.6336863973929785E-3</v>
      </c>
      <c r="H105" s="2">
        <f>($B25*H99+$B26*H99^$B$27+$B$30*(H99/$B$28)^$B$29)*Parameters!$B$29</f>
        <v>6.8943022089704249E-3</v>
      </c>
      <c r="I105" s="2">
        <f>($B25*I99+$B26*I99^$B$27+$B$30*(I99/$B$28)^$B$29)*Parameters!$B$29</f>
        <v>8.3595769953648692E-3</v>
      </c>
      <c r="J105" s="2">
        <f>($B25*J99+$B26*J99^$B$27+$B$30*(J99/$B$28)^$B$29)*Parameters!$B$29</f>
        <v>1.0041689530442377E-2</v>
      </c>
      <c r="K105" s="2">
        <f>($B25*K99+$B26*K99^$B$27+$B$30*(K99/$B$28)^$B$29)*Parameters!$B$29</f>
        <v>1.194990677383082E-2</v>
      </c>
      <c r="L105" s="2">
        <f>($B25*L99+$B26*L99^$B$27+$B$30*(L99/$B$28)^$B$29)*Parameters!$B$29</f>
        <v>1.409028856504568E-2</v>
      </c>
      <c r="M105" s="2">
        <f>($B25*M99+$B26*M99^$B$27+$B$30*(M99/$B$28)^$B$29)*Parameters!$B$29</f>
        <v>1.6465535342357607E-2</v>
      </c>
      <c r="N105" s="2">
        <f>($B25*N99+$B26*N99^$B$27+$B$30*(N99/$B$28)^$B$29)*Parameters!$B$29</f>
        <v>1.9074969944914904E-2</v>
      </c>
      <c r="O105" s="2">
        <f>($B25*O99+$B26*O99^$B$27+$B$30*(O99/$B$28)^$B$29)*Parameters!$B$29</f>
        <v>2.1914636978508012E-2</v>
      </c>
      <c r="P105" s="2">
        <f>($B25*P99+$B26*P99^$B$27+$B$30*(P99/$B$28)^$B$29)*Parameters!$B$29</f>
        <v>2.4977498598173314E-2</v>
      </c>
      <c r="Q105" s="2">
        <f>($B25*Q99+$B26*Q99^$B$27+$B$30*(Q99/$B$28)^$B$29)*Parameters!$B$29</f>
        <v>2.8253703485888643E-2</v>
      </c>
      <c r="R105" s="2">
        <f>($B25*R99+$B26*R99^$B$27+$B$30*(R99/$B$28)^$B$29)*Parameters!$B$29</f>
        <v>3.1730905943704577E-2</v>
      </c>
      <c r="S105" s="2">
        <f>($B25*S99+$B26*S99^$B$27+$B$30*(S99/$B$28)^$B$29)*Parameters!$B$29</f>
        <v>3.5394613636156029E-2</v>
      </c>
      <c r="T105" s="2">
        <f>($B25*T99+$B26*T99^$B$27+$B$30*(T99/$B$28)^$B$29)*Parameters!$B$29</f>
        <v>3.9228545144852474E-2</v>
      </c>
      <c r="U105" s="2">
        <f>($B25*U99+$B26*U99^$B$27+$B$30*(U99/$B$28)^$B$29)*Parameters!$B$29</f>
        <v>4.3139138445058865E-2</v>
      </c>
      <c r="V105" s="2">
        <f>($B25*V99+$B26*V99^$B$27+$B$30*(V99/$B$28)^$B$29)*Parameters!$B$29</f>
        <v>4.7107673082681517E-2</v>
      </c>
      <c r="W105" s="2">
        <f>($B25*W99+$B26*W99^$B$27+$B$30*(W99/$B$28)^$B$29)*Parameters!$B$29</f>
        <v>5.1115484846236424E-2</v>
      </c>
      <c r="X105" s="2">
        <f>($B25*X99+$B26*X99^$B$27+$B$30*(X99/$B$28)^$B$29)*Parameters!$B$29</f>
        <v>5.5144104459613333E-2</v>
      </c>
      <c r="Y105" s="2">
        <f>($B25*Y99+$B26*Y99^$B$27+$B$30*(Y99/$B$28)^$B$29)*Parameters!$B$29</f>
        <v>5.9175378931602046E-2</v>
      </c>
      <c r="Z105" s="2">
        <f>($B25*Z99+$B26*Z99^$B$27+$B$30*(Z99/$B$28)^$B$29)*Parameters!$B$29</f>
        <v>6.3191573273382165E-2</v>
      </c>
      <c r="AA105" s="2">
        <f>($B25*AA99+$B26*AA99^$B$27+$B$30*(AA99/$B$28)^$B$29)*Parameters!$B$29</f>
        <v>6.7175451690122595E-2</v>
      </c>
      <c r="AB105" s="2">
        <f>($B25*AB99+$B26*AB99^$B$27+$B$30*(AB99/$B$28)^$B$29)*Parameters!$B$29</f>
        <v>7.1110338258998498E-2</v>
      </c>
      <c r="AC105" s="2">
        <f>($B25*AC99+$B26*AC99^$B$27+$B$30*(AC99/$B$28)^$B$29)*Parameters!$B$29</f>
        <v>7.4980157860143087E-2</v>
      </c>
      <c r="AD105" s="2">
        <f>($B25*AD99+$B26*AD99^$B$27+$B$30*(AD99/$B$28)^$B$29)*Parameters!$B$29</f>
        <v>7.8769458555755303E-2</v>
      </c>
      <c r="AE105" s="2">
        <f>($B25*AE99+$B26*AE99^$B$27+$B$30*(AE99/$B$28)^$B$29)*Parameters!$B$29</f>
        <v>8.2463416957454364E-2</v>
      </c>
      <c r="AF105" s="2">
        <f>($B25*AF99+$B26*AF99^$B$27+$B$30*(AF99/$B$28)^$B$29)*Parameters!$B$29</f>
        <v>8.604782828555968E-2</v>
      </c>
      <c r="AG105" s="2">
        <f>($B25*AG99+$B26*AG99^$B$27+$B$30*(AG99/$B$28)^$B$29)*Parameters!$B$29</f>
        <v>8.9508863841698899E-2</v>
      </c>
      <c r="AH105" s="2">
        <f>($B25*AH99+$B26*AH99^$B$27+$B$30*(AH99/$B$28)^$B$29)*Parameters!$B$29</f>
        <v>9.2833289896210952E-2</v>
      </c>
      <c r="AI105" s="2">
        <f>($B25*AI99+$B26*AI99^$B$27+$B$30*(AI99/$B$28)^$B$29)*Parameters!$B$29</f>
        <v>9.6008401053541068E-2</v>
      </c>
      <c r="AJ105" s="2">
        <f>($B25*AJ99+$B26*AJ99^$B$27+$B$30*(AJ99/$B$28)^$B$29)*Parameters!$B$29</f>
        <v>9.9021949688484989E-2</v>
      </c>
      <c r="AK105" s="2">
        <f>($B25*AK99+$B26*AK99^$B$27+$B$30*(AK99/$B$28)^$B$29)*Parameters!$B$29</f>
        <v>0.10186207087328579</v>
      </c>
      <c r="AL105" s="2">
        <f>($B25*AL99+$B26*AL99^$B$27+$B$30*(AL99/$B$28)^$B$29)*Parameters!$B$29</f>
        <v>0.10451720250317247</v>
      </c>
      <c r="AM105" s="2">
        <f>($B25*AM99+$B26*AM99^$B$27+$B$30*(AM99/$B$28)^$B$29)*Parameters!$B$29</f>
        <v>0.10697600045943705</v>
      </c>
      <c r="AN105" s="2">
        <f>($B25*AN99+$B26*AN99^$B$27+$B$30*(AN99/$B$28)^$B$29)*Parameters!$B$29</f>
        <v>0.10922724870268172</v>
      </c>
      <c r="AO105" s="2">
        <f>($B25*AO99+$B26*AO99^$B$27+$B$30*(AO99/$B$28)^$B$29)*Parameters!$B$29</f>
        <v>0.11125976413384277</v>
      </c>
      <c r="AP105" s="2">
        <f>($B25*AP99+$B26*AP99^$B$27+$B$30*(AP99/$B$28)^$B$29)*Parameters!$B$29</f>
        <v>0.11306229599059574</v>
      </c>
      <c r="AQ105" s="2">
        <f>($B25*AQ99+$B26*AQ99^$B$27+$B$30*(AQ99/$B$28)^$B$29)*Parameters!$B$29</f>
        <v>0.11462341923525862</v>
      </c>
      <c r="AR105" s="2">
        <f>($B25*AR99+$B26*AR99^$B$27+$B$30*(AR99/$B$28)^$B$29)*Parameters!$B$29</f>
        <v>0.11593142087904892</v>
      </c>
      <c r="AS105" s="2">
        <f>($B25*AS99+$B26*AS99^$B$27+$B$30*(AS99/$B$28)^$B$29)*Parameters!$B$29</f>
        <v>0.11697417688247394</v>
      </c>
      <c r="AT105" s="2">
        <f>($B25*AT99+$B26*AT99^$B$27+$B$30*(AT99/$B$28)^$B$29)*Parameters!$B$29</f>
        <v>0.11773901446116063</v>
      </c>
      <c r="AU105" s="2">
        <f>($B25*AU99+$B26*AU99^$B$27+$B$30*(AU99/$B$28)^$B$29)*Parameters!$B$29</f>
        <v>0.11821254837202408</v>
      </c>
      <c r="AV105" s="2">
        <f>($B25*AV99+$B26*AV99^$B$27+$B$30*(AV99/$B$28)^$B$29)*Parameters!$B$29</f>
        <v>0.11819721560164931</v>
      </c>
      <c r="AW105" s="2">
        <f>($B25*AW99+$B26*AW99^$B$27+$B$30*(AW99/$B$28)^$B$29)*Parameters!$B$29</f>
        <v>0.11780378966592792</v>
      </c>
      <c r="AX105" s="2">
        <f>($B25*AX99+$B26*AX99^$B$27+$B$30*(AX99/$B$28)^$B$29)*Parameters!$B$29</f>
        <v>0.11712551796052464</v>
      </c>
      <c r="AY105" s="2">
        <f>($B25*AY99+$B26*AY99^$B$27+$B$30*(AY99/$B$28)^$B$29)*Parameters!$B$29</f>
        <v>0.1162397256841475</v>
      </c>
      <c r="AZ105" s="2">
        <f>($B25*AZ99+$B26*AZ99^$B$27+$B$30*(AZ99/$B$28)^$B$29)*Parameters!$B$29</f>
        <v>0.11520964235600228</v>
      </c>
      <c r="BA105" s="2">
        <f>($B25*BA99+$B26*BA99^$B$27+$B$30*(BA99/$B$28)^$B$29)*Parameters!$B$29</f>
        <v>0.11408626605877639</v>
      </c>
      <c r="BB105" s="2">
        <f>($B25*BB99+$B26*BB99^$B$27+$B$30*(BB99/$B$28)^$B$29)*Parameters!$B$29</f>
        <v>0.11291015164540393</v>
      </c>
      <c r="BC105" s="2">
        <f>($B25*BC99+$B26*BC99^$B$27+$B$30*(BC99/$B$28)^$B$29)*Parameters!$B$29</f>
        <v>0.11171305826471521</v>
      </c>
      <c r="BD105" s="2">
        <f>($B25*BD99+$B26*BD99^$B$27+$B$30*(BD99/$B$28)^$B$29)*Parameters!$B$29</f>
        <v>0.1105194247045449</v>
      </c>
      <c r="BE105" s="2">
        <f>($B25*BE99+$B26*BE99^$B$27+$B$30*(BE99/$B$28)^$B$29)*Parameters!$B$29</f>
        <v>0.10934766273337401</v>
      </c>
      <c r="BF105" s="2">
        <f>($B25*BF99+$B26*BF99^$B$27+$B$30*(BF99/$B$28)^$B$29)*Parameters!$B$29</f>
        <v>0.10821127220271842</v>
      </c>
      <c r="BG105" s="2">
        <f>($B25*BG99+$B26*BG99^$B$27+$B$30*(BG99/$B$28)^$B$29)*Parameters!$B$29</f>
        <v>0.10711978963028111</v>
      </c>
      <c r="BH105" s="2">
        <f>($B25*BH99+$B26*BH99^$B$27+$B$30*(BH99/$B$28)^$B$29)*Parameters!$B$29</f>
        <v>0.10607958612555668</v>
      </c>
      <c r="BI105" s="2">
        <f>($B25*BI99+$B26*BI99^$B$27+$B$30*(BI99/$B$28)^$B$29)*Parameters!$B$29</f>
        <v>0.10509453214564118</v>
      </c>
    </row>
    <row r="106" spans="1:309" ht="21" customHeight="1" x14ac:dyDescent="0.35">
      <c r="A106" s="13" t="s">
        <v>126</v>
      </c>
      <c r="B106" s="2">
        <f>+B104*B105/(1+B105^Parameters!$B$56)</f>
        <v>0.11660356042275292</v>
      </c>
      <c r="C106" s="2">
        <f>+C104*C105/(1+C105^Parameters!$B$56)</f>
        <v>0.17588033150027757</v>
      </c>
      <c r="D106" s="2">
        <f>+D104*D105/(1+D105^Parameters!$B$56)</f>
        <v>0.26180309760474851</v>
      </c>
      <c r="E106" s="2">
        <f>+E104*E105/(1+E105^Parameters!$B$56)</f>
        <v>0.38386261215029233</v>
      </c>
      <c r="F106" s="2">
        <f>+F104*F105/(1+F105^Parameters!$B$56)</f>
        <v>0.55386346541394404</v>
      </c>
      <c r="G106" s="2">
        <f>+G104*G105/(1+G105^Parameters!$B$56)</f>
        <v>0.78611693501921631</v>
      </c>
      <c r="H106" s="2">
        <f>+H104*H105/(1+H105^Parameters!$B$56)</f>
        <v>1.097551377894854</v>
      </c>
      <c r="I106" s="2">
        <f>+I104*I105/(1+I105^Parameters!$B$56)</f>
        <v>1.5077249364209704</v>
      </c>
      <c r="J106" s="2">
        <f>+J104*J105/(1+J105^Parameters!$B$56)</f>
        <v>2.0387323576414729</v>
      </c>
      <c r="K106" s="2">
        <f>+K104*K105/(1+K105^Parameters!$B$56)</f>
        <v>2.7150057074131082</v>
      </c>
      <c r="L106" s="2">
        <f>+L104*L105/(1+L105^Parameters!$B$56)</f>
        <v>3.5630160090119305</v>
      </c>
      <c r="M106" s="2">
        <f>+M104*M105/(1+M105^Parameters!$B$56)</f>
        <v>4.610888898911977</v>
      </c>
      <c r="N106" s="2">
        <f>+N104*N105/(1+N105^Parameters!$B$56)</f>
        <v>5.8879513059953714</v>
      </c>
      <c r="O106" s="2">
        <f>+O104*O105/(1+O105^Parameters!$B$56)</f>
        <v>7.4242283212348914</v>
      </c>
      <c r="P106" s="2">
        <f>+P104*P105/(1+P105^Parameters!$B$56)</f>
        <v>9.2499085602085156</v>
      </c>
      <c r="Q106" s="2">
        <f>+Q104*Q105/(1+Q105^Parameters!$B$56)</f>
        <v>11.394795936963888</v>
      </c>
      <c r="R106" s="2">
        <f>+R104*R105/(1+R105^Parameters!$B$56)</f>
        <v>13.887761491540036</v>
      </c>
      <c r="S106" s="2">
        <f>+S104*S105/(1+S105^Parameters!$B$56)</f>
        <v>16.756205590273261</v>
      </c>
      <c r="T106" s="2">
        <f>+T104*T105/(1+T105^Parameters!$B$56)</f>
        <v>20.025531382712671</v>
      </c>
      <c r="U106" s="2">
        <f>+U104*U105/(1+U105^Parameters!$B$56)</f>
        <v>23.676990818234493</v>
      </c>
      <c r="V106" s="2">
        <f>+V104*V105/(1+V105^Parameters!$B$56)</f>
        <v>27.722358430138669</v>
      </c>
      <c r="W106" s="2">
        <f>+W104*W105/(1+W105^Parameters!$B$56)</f>
        <v>32.170365070382104</v>
      </c>
      <c r="X106" s="2">
        <f>+X104*X105/(1+X105^Parameters!$B$56)</f>
        <v>37.026541558291107</v>
      </c>
      <c r="Y106" s="2">
        <f>+Y104*Y105/(1+Y105^Parameters!$B$56)</f>
        <v>42.293108758550495</v>
      </c>
      <c r="Z106" s="2">
        <f>+Z104*Z105/(1+Z105^Parameters!$B$56)</f>
        <v>47.968913572775683</v>
      </c>
      <c r="AA106" s="2">
        <f>+AA104*AA105/(1+AA105^Parameters!$B$56)</f>
        <v>54.0494032011771</v>
      </c>
      <c r="AB106" s="2">
        <f>+AB104*AB105/(1+AB105^Parameters!$B$56)</f>
        <v>60.526639401041578</v>
      </c>
      <c r="AC106" s="2">
        <f>+AC104*AC105/(1+AC105^Parameters!$B$56)</f>
        <v>67.389346253721868</v>
      </c>
      <c r="AD106" s="2">
        <f>+AD104*AD105/(1+AD105^Parameters!$B$56)</f>
        <v>74.622995159059116</v>
      </c>
      <c r="AE106" s="2">
        <f>+AE104*AE105/(1+AE105^Parameters!$B$56)</f>
        <v>82.209927930566167</v>
      </c>
      <c r="AF106" s="2">
        <f>+AF104*AF105/(1+AF105^Parameters!$B$56)</f>
        <v>90.107617927753637</v>
      </c>
      <c r="AG106" s="2">
        <f>+AG104*AG105/(1+AG105^Parameters!$B$56)</f>
        <v>98.308294371430009</v>
      </c>
      <c r="AH106" s="2">
        <f>+AH104*AH105/(1+AH105^Parameters!$B$56)</f>
        <v>106.78262300386491</v>
      </c>
      <c r="AI106" s="2">
        <f>+AI104*AI105/(1+AI105^Parameters!$B$56)</f>
        <v>115.49810424630718</v>
      </c>
      <c r="AJ106" s="2">
        <f>+AJ104*AJ105/(1+AJ105^Parameters!$B$56)</f>
        <v>124.41910150879251</v>
      </c>
      <c r="AK106" s="2">
        <f>+AK104*AK105/(1+AK105^Parameters!$B$56)</f>
        <v>133.50687161524016</v>
      </c>
      <c r="AL106" s="2">
        <f>+AL104*AL105/(1+AL105^Parameters!$B$56)</f>
        <v>142.71960298852744</v>
      </c>
      <c r="AM106" s="2">
        <f>+AM104*AM105/(1+AM105^Parameters!$B$56)</f>
        <v>152.01248373170554</v>
      </c>
      <c r="AN106" s="2">
        <f>+AN104*AN105/(1+AN105^Parameters!$B$56)</f>
        <v>161.33783396423073</v>
      </c>
      <c r="AO106" s="2">
        <f>+AO104*AO105/(1+AO105^Parameters!$B$56)</f>
        <v>170.64539400679848</v>
      </c>
      <c r="AP106" s="2">
        <f>+AP104*AP105/(1+AP105^Parameters!$B$56)</f>
        <v>179.88289415830883</v>
      </c>
      <c r="AQ106" s="2">
        <f>+AQ104*AQ105/(1+AQ105^Parameters!$B$56)</f>
        <v>188.99719400484744</v>
      </c>
      <c r="AR106" s="2">
        <f>+AR104*AR105/(1+AR105^Parameters!$B$56)</f>
        <v>197.93644257945758</v>
      </c>
      <c r="AS106" s="2">
        <f>+AS104*AS105/(1+AS105^Parameters!$B$56)</f>
        <v>206.65409967908025</v>
      </c>
      <c r="AT106" s="2">
        <f>+AT104*AT105/(1+AT105^Parameters!$B$56)</f>
        <v>215.11620435577728</v>
      </c>
      <c r="AU106" s="2">
        <f>+AU104*AU105/(1+AU105^Parameters!$B$56)</f>
        <v>223.31412032800887</v>
      </c>
      <c r="AV106" s="2">
        <f>+AV104*AV105/(1+AV105^Parameters!$B$56)</f>
        <v>230.26202483686416</v>
      </c>
      <c r="AW106" s="2">
        <f>+AW104*AW105/(1+AW105^Parameters!$B$56)</f>
        <v>236.37213101301268</v>
      </c>
      <c r="AX106" s="2">
        <f>+AX104*AX105/(1+AX105^Parameters!$B$56)</f>
        <v>241.77216801985844</v>
      </c>
      <c r="AY106" s="2">
        <f>+AY104*AY105/(1+AY105^Parameters!$B$56)</f>
        <v>246.53271443725285</v>
      </c>
      <c r="AZ106" s="2">
        <f>+AZ104*AZ105/(1+AZ105^Parameters!$B$56)</f>
        <v>250.65230807912343</v>
      </c>
      <c r="BA106" s="2">
        <f>+BA104*BA105/(1+BA105^Parameters!$B$56)</f>
        <v>256.69995946434381</v>
      </c>
      <c r="BB106" s="2">
        <f>+BB104*BB105/(1+BB105^Parameters!$B$56)</f>
        <v>261.9950196322979</v>
      </c>
      <c r="BC106" s="2">
        <f>+BC104*BC105/(1+BC105^Parameters!$B$56)</f>
        <v>266.73795270020742</v>
      </c>
      <c r="BD106" s="2">
        <f>+BD104*BD105/(1+BD105^Parameters!$B$56)</f>
        <v>271.07818859153599</v>
      </c>
      <c r="BE106" s="2">
        <f>+BE104*BE105/(1+BE105^Parameters!$B$56)</f>
        <v>275.12733014997104</v>
      </c>
      <c r="BF106" s="2">
        <f>+BF104*BF105/(1+BF105^Parameters!$B$56)</f>
        <v>278.9687214092495</v>
      </c>
      <c r="BG106" s="2">
        <f>+BG104*BG105/(1+BG105^Parameters!$B$56)</f>
        <v>282.66445855598374</v>
      </c>
      <c r="BH106" s="2">
        <f>+BH104*BH105/(1+BH105^Parameters!$B$56)</f>
        <v>286.26057095558127</v>
      </c>
      <c r="BI106" s="2">
        <f>+BI104*BI105/(1+BI105^Parameters!$B$56)</f>
        <v>289.79087755864788</v>
      </c>
    </row>
    <row r="107" spans="1:309" ht="21" customHeight="1" x14ac:dyDescent="0.35">
      <c r="A107" s="13" t="s">
        <v>9</v>
      </c>
      <c r="B107" s="2">
        <f t="shared" ref="B107:AG107" si="20">+B104-B106</f>
        <v>63.425584281389504</v>
      </c>
      <c r="C107" s="2">
        <f t="shared" si="20"/>
        <v>75.630620648361216</v>
      </c>
      <c r="D107" s="2">
        <f t="shared" si="20"/>
        <v>89.262939321153127</v>
      </c>
      <c r="E107" s="2">
        <f t="shared" si="20"/>
        <v>104.32766358183248</v>
      </c>
      <c r="F107" s="2">
        <f t="shared" si="20"/>
        <v>120.8255497993552</v>
      </c>
      <c r="G107" s="2">
        <f t="shared" si="20"/>
        <v>138.75252252190842</v>
      </c>
      <c r="H107" s="2">
        <f t="shared" si="20"/>
        <v>158.09932520619083</v>
      </c>
      <c r="I107" s="2">
        <f t="shared" si="20"/>
        <v>178.851273761355</v>
      </c>
      <c r="J107" s="2">
        <f t="shared" si="20"/>
        <v>200.98809410028215</v>
      </c>
      <c r="K107" s="2">
        <f t="shared" si="20"/>
        <v>224.48389707890126</v>
      </c>
      <c r="L107" s="2">
        <f t="shared" si="20"/>
        <v>249.30732036229853</v>
      </c>
      <c r="M107" s="2">
        <f t="shared" si="20"/>
        <v>275.42184632898312</v>
      </c>
      <c r="N107" s="2">
        <f t="shared" si="20"/>
        <v>302.78626013437491</v>
      </c>
      <c r="O107" s="2">
        <f t="shared" si="20"/>
        <v>331.35520610498605</v>
      </c>
      <c r="P107" s="2">
        <f t="shared" si="20"/>
        <v>361.07975130753312</v>
      </c>
      <c r="Q107" s="2">
        <f t="shared" si="20"/>
        <v>391.90794073453259</v>
      </c>
      <c r="R107" s="2">
        <f t="shared" si="20"/>
        <v>423.78526039378022</v>
      </c>
      <c r="S107" s="2">
        <f t="shared" si="20"/>
        <v>456.65496828270966</v>
      </c>
      <c r="T107" s="2">
        <f t="shared" si="20"/>
        <v>490.45813067429265</v>
      </c>
      <c r="U107" s="2">
        <f t="shared" si="20"/>
        <v>525.17474038612329</v>
      </c>
      <c r="V107" s="2">
        <f t="shared" si="20"/>
        <v>560.76687519180177</v>
      </c>
      <c r="W107" s="2">
        <f t="shared" si="20"/>
        <v>597.19596427501369</v>
      </c>
      <c r="X107" s="2">
        <f t="shared" si="20"/>
        <v>634.42404996266441</v>
      </c>
      <c r="Y107" s="2">
        <f t="shared" si="20"/>
        <v>672.41475660987101</v>
      </c>
      <c r="Z107" s="2">
        <f t="shared" si="20"/>
        <v>711.13409792053142</v>
      </c>
      <c r="AA107" s="2">
        <f t="shared" si="20"/>
        <v>750.55111441954182</v>
      </c>
      <c r="AB107" s="2">
        <f t="shared" si="20"/>
        <v>790.63847783959375</v>
      </c>
      <c r="AC107" s="2">
        <f t="shared" si="20"/>
        <v>831.37304872280629</v>
      </c>
      <c r="AD107" s="2">
        <f t="shared" si="20"/>
        <v>872.73650848568161</v>
      </c>
      <c r="AE107" s="2">
        <f t="shared" si="20"/>
        <v>914.71611473119367</v>
      </c>
      <c r="AF107" s="2">
        <f t="shared" si="20"/>
        <v>957.07299923699679</v>
      </c>
      <c r="AG107" s="2">
        <f t="shared" si="20"/>
        <v>999.99962905991447</v>
      </c>
      <c r="AH107" s="2">
        <f t="shared" ref="AH107:BI107" si="21">+AH104-AH106</f>
        <v>1043.4795634200539</v>
      </c>
      <c r="AI107" s="2">
        <f t="shared" si="21"/>
        <v>1087.5018726992801</v>
      </c>
      <c r="AJ107" s="2">
        <f t="shared" si="21"/>
        <v>1132.0609204609032</v>
      </c>
      <c r="AK107" s="2">
        <f t="shared" si="21"/>
        <v>1177.1563662976773</v>
      </c>
      <c r="AL107" s="2">
        <f t="shared" si="21"/>
        <v>1222.7934378565508</v>
      </c>
      <c r="AM107" s="2">
        <f t="shared" si="21"/>
        <v>1268.9836566052245</v>
      </c>
      <c r="AN107" s="2">
        <f t="shared" si="21"/>
        <v>1315.7462812128638</v>
      </c>
      <c r="AO107" s="2">
        <f t="shared" si="21"/>
        <v>1363.1111745503267</v>
      </c>
      <c r="AP107" s="2">
        <f t="shared" si="21"/>
        <v>1411.1240161796079</v>
      </c>
      <c r="AQ107" s="2">
        <f t="shared" si="21"/>
        <v>1459.8560276123967</v>
      </c>
      <c r="AR107" s="2">
        <f t="shared" si="21"/>
        <v>1509.4215900005784</v>
      </c>
      <c r="AS107" s="2">
        <f t="shared" si="21"/>
        <v>1560.0101785900065</v>
      </c>
      <c r="AT107" s="2">
        <f t="shared" si="21"/>
        <v>1611.9434618932717</v>
      </c>
      <c r="AU107" s="2">
        <f t="shared" si="21"/>
        <v>1665.775688853867</v>
      </c>
      <c r="AV107" s="2">
        <f t="shared" si="21"/>
        <v>1717.8551434680367</v>
      </c>
      <c r="AW107" s="2">
        <f t="shared" si="21"/>
        <v>1770.1179131952129</v>
      </c>
      <c r="AX107" s="2">
        <f t="shared" si="21"/>
        <v>1822.4421240254719</v>
      </c>
      <c r="AY107" s="2">
        <f t="shared" si="21"/>
        <v>1874.366256179462</v>
      </c>
      <c r="AZ107" s="2">
        <f t="shared" si="21"/>
        <v>1924.9668767098083</v>
      </c>
      <c r="BA107" s="2">
        <f t="shared" si="21"/>
        <v>1993.3514133098411</v>
      </c>
      <c r="BB107" s="2">
        <f t="shared" si="21"/>
        <v>2058.3899581802252</v>
      </c>
      <c r="BC107" s="2">
        <f t="shared" si="21"/>
        <v>2120.9681662110825</v>
      </c>
      <c r="BD107" s="2">
        <f t="shared" si="21"/>
        <v>2181.6869193514358</v>
      </c>
      <c r="BE107" s="2">
        <f t="shared" si="21"/>
        <v>2240.9514166638787</v>
      </c>
      <c r="BF107" s="2">
        <f t="shared" si="21"/>
        <v>2299.0318490678919</v>
      </c>
      <c r="BG107" s="2">
        <f t="shared" si="21"/>
        <v>2356.1052737952168</v>
      </c>
      <c r="BH107" s="2">
        <f t="shared" si="21"/>
        <v>2412.2847520664372</v>
      </c>
      <c r="BI107" s="2">
        <f t="shared" si="21"/>
        <v>2467.6397107871189</v>
      </c>
    </row>
    <row r="108" spans="1:309" ht="21" customHeight="1" x14ac:dyDescent="0.35">
      <c r="A108" s="13" t="s">
        <v>69</v>
      </c>
      <c r="B108" s="2">
        <f t="shared" ref="B108:AG108" si="22">(B32*(B135)^$B39)*B47^(1-$B$39)</f>
        <v>6.8066931387862328E-6</v>
      </c>
      <c r="C108" s="2">
        <f t="shared" si="22"/>
        <v>7.6598491979937445E-6</v>
      </c>
      <c r="D108" s="2">
        <f t="shared" si="22"/>
        <v>8.6220914298991078E-6</v>
      </c>
      <c r="E108" s="2">
        <f t="shared" si="22"/>
        <v>9.7076217062378441E-6</v>
      </c>
      <c r="F108" s="2">
        <f t="shared" si="22"/>
        <v>1.0932521555845935E-5</v>
      </c>
      <c r="G108" s="2">
        <f t="shared" si="22"/>
        <v>1.2315004736686851E-5</v>
      </c>
      <c r="H108" s="2">
        <f t="shared" si="22"/>
        <v>1.3875704233883618E-5</v>
      </c>
      <c r="I108" s="2">
        <f t="shared" si="22"/>
        <v>1.5637998425445858E-5</v>
      </c>
      <c r="J108" s="2">
        <f t="shared" si="22"/>
        <v>1.7628381827485517E-5</v>
      </c>
      <c r="K108" s="2">
        <f t="shared" si="22"/>
        <v>1.9876886611966374E-5</v>
      </c>
      <c r="L108" s="2">
        <f t="shared" si="22"/>
        <v>2.2417561908184271E-5</v>
      </c>
      <c r="M108" s="2">
        <f t="shared" si="22"/>
        <v>2.5289018937178405E-5</v>
      </c>
      <c r="N108" s="2">
        <f t="shared" si="22"/>
        <v>2.8535051126928802E-5</v>
      </c>
      <c r="O108" s="2">
        <f t="shared" si="22"/>
        <v>3.2205339634928872E-5</v>
      </c>
      <c r="P108" s="2">
        <f t="shared" si="22"/>
        <v>3.6356256226357469E-5</v>
      </c>
      <c r="Q108" s="2">
        <f t="shared" si="22"/>
        <v>4.105177706041496E-5</v>
      </c>
      <c r="R108" s="2">
        <f t="shared" si="22"/>
        <v>4.6364522934458084E-5</v>
      </c>
      <c r="S108" s="2">
        <f t="shared" si="22"/>
        <v>5.2376943678552904E-5</v>
      </c>
      <c r="T108" s="2">
        <f t="shared" si="22"/>
        <v>5.918266692853302E-5</v>
      </c>
      <c r="U108" s="2">
        <f t="shared" si="22"/>
        <v>6.6888034354543137E-5</v>
      </c>
      <c r="V108" s="2">
        <f t="shared" si="22"/>
        <v>7.5613851727248364E-5</v>
      </c>
      <c r="W108" s="2">
        <f t="shared" si="22"/>
        <v>8.5497382919003388E-5</v>
      </c>
      <c r="X108" s="2">
        <f t="shared" si="22"/>
        <v>9.6694622279016137E-5</v>
      </c>
      <c r="Y108" s="2">
        <f t="shared" si="22"/>
        <v>1.0938288464348431E-4</v>
      </c>
      <c r="Z108" s="2">
        <f t="shared" si="22"/>
        <v>1.237637579689038E-4</v>
      </c>
      <c r="AA108" s="2">
        <f t="shared" si="22"/>
        <v>1.4006646988186174E-4</v>
      </c>
      <c r="AB108" s="2">
        <f t="shared" si="22"/>
        <v>1.5855172688024419E-4</v>
      </c>
      <c r="AC108" s="2">
        <f t="shared" si="22"/>
        <v>1.7951609328867679E-4</v>
      </c>
      <c r="AD108" s="2">
        <f t="shared" si="22"/>
        <v>2.0329698670313529E-4</v>
      </c>
      <c r="AE108" s="2">
        <f t="shared" si="22"/>
        <v>2.3027837770682563E-4</v>
      </c>
      <c r="AF108" s="2">
        <f t="shared" si="22"/>
        <v>2.6089729427374882E-4</v>
      </c>
      <c r="AG108" s="2">
        <f t="shared" si="22"/>
        <v>2.9565124567944344E-4</v>
      </c>
      <c r="AH108" s="2">
        <f t="shared" ref="AH108:BI108" si="23">(AH32*(AH135)^$B39)*AH47^(1-$B$39)</f>
        <v>3.3510669740899459E-4</v>
      </c>
      <c r="AI108" s="2">
        <f t="shared" si="23"/>
        <v>3.7990874742008674E-4</v>
      </c>
      <c r="AJ108" s="2">
        <f t="shared" si="23"/>
        <v>4.307921759608108E-4</v>
      </c>
      <c r="AK108" s="2">
        <f t="shared" si="23"/>
        <v>4.8859406600447984E-4</v>
      </c>
      <c r="AL108" s="2">
        <f t="shared" si="23"/>
        <v>5.5426821996142105E-4</v>
      </c>
      <c r="AM108" s="2">
        <f t="shared" si="23"/>
        <v>6.2890163104028997E-4</v>
      </c>
      <c r="AN108" s="2">
        <f t="shared" si="23"/>
        <v>7.1373330523530646E-4</v>
      </c>
      <c r="AO108" s="2">
        <f t="shared" si="23"/>
        <v>8.1017577288393318E-4</v>
      </c>
      <c r="AP108" s="2">
        <f t="shared" si="23"/>
        <v>9.1983967815814443E-4</v>
      </c>
      <c r="AQ108" s="2">
        <f t="shared" si="23"/>
        <v>1.0445618915115795E-3</v>
      </c>
      <c r="AR108" s="2">
        <f t="shared" si="23"/>
        <v>1.1864376549376261E-3</v>
      </c>
      <c r="AS108" s="2">
        <f t="shared" si="23"/>
        <v>1.3478573446117777E-3</v>
      </c>
      <c r="AT108" s="2">
        <f t="shared" si="23"/>
        <v>1.531548520796757E-3</v>
      </c>
      <c r="AU108" s="2">
        <f t="shared" si="23"/>
        <v>2.5510885598679588E-3</v>
      </c>
      <c r="AV108" s="2">
        <f t="shared" si="23"/>
        <v>2.3899705167470639E-3</v>
      </c>
      <c r="AW108" s="2">
        <f t="shared" si="23"/>
        <v>2.2394742153443556E-3</v>
      </c>
      <c r="AX108" s="2">
        <f t="shared" si="23"/>
        <v>2.0988706408258074E-3</v>
      </c>
      <c r="AY108" s="2">
        <f t="shared" si="23"/>
        <v>1.9674827456336989E-3</v>
      </c>
      <c r="AZ108" s="2">
        <f t="shared" si="23"/>
        <v>1.8446816102926501E-3</v>
      </c>
      <c r="BA108" s="2">
        <f t="shared" si="23"/>
        <v>1.7298828975886378E-3</v>
      </c>
      <c r="BB108" s="2">
        <f t="shared" si="23"/>
        <v>1.6225435769735177E-3</v>
      </c>
      <c r="BC108" s="2">
        <f t="shared" si="23"/>
        <v>1.5221588979303421E-3</v>
      </c>
      <c r="BD108" s="2">
        <f t="shared" si="23"/>
        <v>1.4282595927598738E-3</v>
      </c>
      <c r="BE108" s="2">
        <f t="shared" si="23"/>
        <v>1.3404092908297566E-3</v>
      </c>
      <c r="BF108" s="2">
        <f t="shared" si="23"/>
        <v>1.2582021277771501E-3</v>
      </c>
      <c r="BG108" s="2">
        <f t="shared" si="23"/>
        <v>1.1812605344845683E-3</v>
      </c>
      <c r="BH108" s="2">
        <f t="shared" si="23"/>
        <v>1.1092331918674599E-3</v>
      </c>
      <c r="BI108" s="2">
        <f t="shared" si="23"/>
        <v>1.041793138630097E-3</v>
      </c>
    </row>
    <row r="109" spans="1:309" ht="21" customHeight="1" x14ac:dyDescent="0.35">
      <c r="A109" s="13" t="s">
        <v>70</v>
      </c>
      <c r="B109" s="2">
        <f t="shared" ref="B109:AG109" si="24">+B104*B108</f>
        <v>4.325121740063295E-4</v>
      </c>
      <c r="C109" s="2">
        <f t="shared" si="24"/>
        <v>5.8066636573330407E-4</v>
      </c>
      <c r="D109" s="2">
        <f t="shared" si="24"/>
        <v>7.7189051437269744E-4</v>
      </c>
      <c r="E109" s="2">
        <f t="shared" si="24"/>
        <v>1.0164998845739997E-3</v>
      </c>
      <c r="F109" s="2">
        <f t="shared" si="24"/>
        <v>1.3269830519530208E-3</v>
      </c>
      <c r="G109" s="2">
        <f t="shared" si="24"/>
        <v>1.7184190058629023E-3</v>
      </c>
      <c r="H109" s="2">
        <f t="shared" si="24"/>
        <v>2.2089687744388455E-3</v>
      </c>
      <c r="I109" s="2">
        <f t="shared" si="24"/>
        <v>2.8204537376508125E-3</v>
      </c>
      <c r="J109" s="2">
        <f t="shared" si="24"/>
        <v>3.5790344180229167E-3</v>
      </c>
      <c r="K109" s="2">
        <f t="shared" si="24"/>
        <v>4.5160068290467413E-3</v>
      </c>
      <c r="L109" s="2">
        <f t="shared" si="24"/>
        <v>5.6687364203472333E-3</v>
      </c>
      <c r="M109" s="2">
        <f t="shared" si="24"/>
        <v>7.0817531442081061E-3</v>
      </c>
      <c r="N109" s="2">
        <f t="shared" si="24"/>
        <v>8.8080344050153973E-3</v>
      </c>
      <c r="O109" s="2">
        <f t="shared" si="24"/>
        <v>1.091050674702556E-2</v>
      </c>
      <c r="P109" s="2">
        <f t="shared" si="24"/>
        <v>1.3463800002371424E-2</v>
      </c>
      <c r="Q109" s="2">
        <f t="shared" si="24"/>
        <v>1.6556294033693512E-2</v>
      </c>
      <c r="R109" s="2">
        <f t="shared" si="24"/>
        <v>2.0292500860995506E-2</v>
      </c>
      <c r="S109" s="2">
        <f t="shared" si="24"/>
        <v>2.4795830390742842E-2</v>
      </c>
      <c r="T109" s="2">
        <f t="shared" si="24"/>
        <v>3.0211784543977552E-2</v>
      </c>
      <c r="U109" s="2">
        <f t="shared" si="24"/>
        <v>3.6711613452347559E-2</v>
      </c>
      <c r="V109" s="2">
        <f t="shared" si="24"/>
        <v>4.4497937654171427E-2</v>
      </c>
      <c r="W109" s="2">
        <f t="shared" si="24"/>
        <v>5.3809174056370902E-2</v>
      </c>
      <c r="X109" s="2">
        <f t="shared" si="24"/>
        <v>6.4925661326140749E-2</v>
      </c>
      <c r="Y109" s="2">
        <f t="shared" si="24"/>
        <v>7.8176807991384961E-2</v>
      </c>
      <c r="Z109" s="2">
        <f t="shared" si="24"/>
        <v>9.394944138792366E-2</v>
      </c>
      <c r="AA109" s="2">
        <f t="shared" si="24"/>
        <v>0.11269755416825281</v>
      </c>
      <c r="AB109" s="2">
        <f t="shared" si="24"/>
        <v>0.13495369919872824</v>
      </c>
      <c r="AC109" s="2">
        <f t="shared" si="24"/>
        <v>0.16134231394096102</v>
      </c>
      <c r="AD109" s="2">
        <f t="shared" si="24"/>
        <v>0.19259533241555371</v>
      </c>
      <c r="AE109" s="2">
        <f t="shared" si="24"/>
        <v>0.22957051179783572</v>
      </c>
      <c r="AF109" s="2">
        <f t="shared" si="24"/>
        <v>0.27320658963419781</v>
      </c>
      <c r="AG109" s="2">
        <f t="shared" si="24"/>
        <v>0.32471610570207982</v>
      </c>
      <c r="AH109" s="2">
        <f t="shared" ref="AH109:BI109" si="25">+AH104*AH108</f>
        <v>0.38546056244696869</v>
      </c>
      <c r="AI109" s="2">
        <f t="shared" si="25"/>
        <v>0.45703021438779123</v>
      </c>
      <c r="AJ109" s="2">
        <f t="shared" si="25"/>
        <v>0.54128176271561257</v>
      </c>
      <c r="AK109" s="2">
        <f t="shared" si="25"/>
        <v>0.64038228057446933</v>
      </c>
      <c r="AL109" s="2">
        <f t="shared" si="25"/>
        <v>0.75686048248330873</v>
      </c>
      <c r="AM109" s="2">
        <f t="shared" si="25"/>
        <v>0.89366679035985208</v>
      </c>
      <c r="AN109" s="2">
        <f t="shared" si="25"/>
        <v>1.0542441276359158</v>
      </c>
      <c r="AO109" s="2">
        <f t="shared" si="25"/>
        <v>1.2426124133465783</v>
      </c>
      <c r="AP109" s="2">
        <f t="shared" si="25"/>
        <v>1.463471284352613</v>
      </c>
      <c r="AQ109" s="2">
        <f t="shared" si="25"/>
        <v>1.7223292399974701</v>
      </c>
      <c r="AR109" s="2">
        <f t="shared" si="25"/>
        <v>2.025673860313177</v>
      </c>
      <c r="AS109" s="2">
        <f t="shared" si="25"/>
        <v>2.3812114229282542</v>
      </c>
      <c r="AT109" s="2">
        <f t="shared" si="25"/>
        <v>2.7982305292511476</v>
      </c>
      <c r="AU109" s="2">
        <f t="shared" si="25"/>
        <v>4.8192354007670284</v>
      </c>
      <c r="AV109" s="2">
        <f t="shared" si="25"/>
        <v>4.6559425954174909</v>
      </c>
      <c r="AW109" s="2">
        <f t="shared" si="25"/>
        <v>4.4934827173494769</v>
      </c>
      <c r="AX109" s="2">
        <f>+AX104*AX108</f>
        <v>4.3325187739469726</v>
      </c>
      <c r="AY109" s="2">
        <f>+AY104*AY108</f>
        <v>4.1728321299206597</v>
      </c>
      <c r="AZ109" s="2">
        <f t="shared" si="25"/>
        <v>4.0133247011800295</v>
      </c>
      <c r="BA109" s="2">
        <f t="shared" si="25"/>
        <v>3.8923253884578992</v>
      </c>
      <c r="BB109" s="2">
        <f t="shared" si="25"/>
        <v>3.764925741855548</v>
      </c>
      <c r="BC109" s="2">
        <f t="shared" si="25"/>
        <v>3.6344681145435436</v>
      </c>
      <c r="BD109" s="2">
        <f t="shared" si="25"/>
        <v>3.5031852942062573</v>
      </c>
      <c r="BE109" s="2">
        <f t="shared" si="25"/>
        <v>3.3725753286885749</v>
      </c>
      <c r="BF109" s="2">
        <f t="shared" si="25"/>
        <v>3.2436458031850464</v>
      </c>
      <c r="BG109" s="2">
        <f t="shared" si="25"/>
        <v>3.1170745444188808</v>
      </c>
      <c r="BH109" s="2">
        <f t="shared" si="25"/>
        <v>2.9933160420547194</v>
      </c>
      <c r="BI109" s="2">
        <f t="shared" si="25"/>
        <v>2.8726722671873715</v>
      </c>
    </row>
    <row r="110" spans="1:309" ht="21" customHeight="1" x14ac:dyDescent="0.35">
      <c r="A110" s="13" t="s">
        <v>11</v>
      </c>
      <c r="B110" s="2">
        <f>+B107-B109</f>
        <v>63.425151769215496</v>
      </c>
      <c r="C110" s="2">
        <f>+C107-C109</f>
        <v>75.630039981995481</v>
      </c>
      <c r="D110" s="2">
        <f>+D107-D109</f>
        <v>89.262167430638755</v>
      </c>
      <c r="E110" s="2">
        <f>+E107-E109</f>
        <v>104.32664708194791</v>
      </c>
      <c r="F110" s="2">
        <f>+F107-F109</f>
        <v>120.82422281630325</v>
      </c>
      <c r="G110" s="2">
        <f t="shared" ref="G110:BH110" si="26">+G107-G109</f>
        <v>138.75080410290255</v>
      </c>
      <c r="H110" s="2">
        <f t="shared" si="26"/>
        <v>158.0971162374164</v>
      </c>
      <c r="I110" s="2">
        <f t="shared" si="26"/>
        <v>178.84845330761735</v>
      </c>
      <c r="J110" s="2">
        <f t="shared" si="26"/>
        <v>200.98451506586414</v>
      </c>
      <c r="K110" s="2">
        <f t="shared" si="26"/>
        <v>224.47938107207221</v>
      </c>
      <c r="L110" s="2">
        <f t="shared" si="26"/>
        <v>249.30165162587818</v>
      </c>
      <c r="M110" s="2">
        <f t="shared" si="26"/>
        <v>275.41476457583889</v>
      </c>
      <c r="N110" s="2">
        <f t="shared" si="26"/>
        <v>302.77745209996988</v>
      </c>
      <c r="O110" s="2">
        <f t="shared" si="26"/>
        <v>331.344295598239</v>
      </c>
      <c r="P110" s="2">
        <f t="shared" si="26"/>
        <v>361.06628750753072</v>
      </c>
      <c r="Q110" s="2">
        <f t="shared" si="26"/>
        <v>391.89138444049888</v>
      </c>
      <c r="R110" s="2">
        <f t="shared" si="26"/>
        <v>423.76496789291923</v>
      </c>
      <c r="S110" s="2">
        <f t="shared" si="26"/>
        <v>456.6301724523189</v>
      </c>
      <c r="T110" s="2">
        <f t="shared" si="26"/>
        <v>490.4279188897487</v>
      </c>
      <c r="U110" s="2">
        <f t="shared" si="26"/>
        <v>525.13802877267096</v>
      </c>
      <c r="V110" s="2">
        <f t="shared" si="26"/>
        <v>560.72237725414755</v>
      </c>
      <c r="W110" s="2">
        <f t="shared" si="26"/>
        <v>597.14215510095732</v>
      </c>
      <c r="X110" s="2">
        <f t="shared" si="26"/>
        <v>634.35912430133828</v>
      </c>
      <c r="Y110" s="2">
        <f t="shared" si="26"/>
        <v>672.33657980187957</v>
      </c>
      <c r="Z110" s="2">
        <f t="shared" si="26"/>
        <v>711.04014847914345</v>
      </c>
      <c r="AA110" s="2">
        <f t="shared" si="26"/>
        <v>750.4384168653736</v>
      </c>
      <c r="AB110" s="2">
        <f t="shared" si="26"/>
        <v>790.50352414039503</v>
      </c>
      <c r="AC110" s="2">
        <f t="shared" si="26"/>
        <v>831.21170640886533</v>
      </c>
      <c r="AD110" s="2">
        <f t="shared" si="26"/>
        <v>872.54391315326609</v>
      </c>
      <c r="AE110" s="2">
        <f t="shared" si="26"/>
        <v>914.4865442193958</v>
      </c>
      <c r="AF110" s="2">
        <f t="shared" si="26"/>
        <v>956.79979264736255</v>
      </c>
      <c r="AG110" s="2">
        <f t="shared" si="26"/>
        <v>999.67491295421235</v>
      </c>
      <c r="AH110" s="2">
        <f t="shared" si="26"/>
        <v>1043.0941028576069</v>
      </c>
      <c r="AI110" s="2">
        <f t="shared" si="26"/>
        <v>1087.0448424848923</v>
      </c>
      <c r="AJ110" s="2">
        <f t="shared" si="26"/>
        <v>1131.5196386981875</v>
      </c>
      <c r="AK110" s="2">
        <f t="shared" si="26"/>
        <v>1176.5159840171029</v>
      </c>
      <c r="AL110" s="2">
        <f t="shared" si="26"/>
        <v>1222.0365773740675</v>
      </c>
      <c r="AM110" s="2">
        <f t="shared" si="26"/>
        <v>1268.0899898148646</v>
      </c>
      <c r="AN110" s="2">
        <f t="shared" si="26"/>
        <v>1314.6920370852279</v>
      </c>
      <c r="AO110" s="2">
        <f t="shared" si="26"/>
        <v>1361.8685621369802</v>
      </c>
      <c r="AP110" s="2">
        <f t="shared" si="26"/>
        <v>1409.6605448952553</v>
      </c>
      <c r="AQ110" s="2">
        <f t="shared" si="26"/>
        <v>1458.1336983723993</v>
      </c>
      <c r="AR110" s="2">
        <f t="shared" si="26"/>
        <v>1507.3959161402652</v>
      </c>
      <c r="AS110" s="2">
        <f t="shared" si="26"/>
        <v>1557.6289671670781</v>
      </c>
      <c r="AT110" s="2">
        <f t="shared" si="26"/>
        <v>1609.1452313640204</v>
      </c>
      <c r="AU110" s="2">
        <f t="shared" si="26"/>
        <v>1660.9564534531</v>
      </c>
      <c r="AV110" s="2">
        <f t="shared" si="26"/>
        <v>1713.1992008726193</v>
      </c>
      <c r="AW110" s="2">
        <f t="shared" si="26"/>
        <v>1765.6244304778634</v>
      </c>
      <c r="AX110" s="2">
        <f t="shared" si="26"/>
        <v>1818.109605251525</v>
      </c>
      <c r="AY110" s="2">
        <f t="shared" si="26"/>
        <v>1870.1934240495414</v>
      </c>
      <c r="AZ110" s="2">
        <f t="shared" si="26"/>
        <v>1920.9535520086283</v>
      </c>
      <c r="BA110" s="2">
        <f t="shared" si="26"/>
        <v>1989.4590879213831</v>
      </c>
      <c r="BB110" s="2">
        <f t="shared" si="26"/>
        <v>2054.6250324383695</v>
      </c>
      <c r="BC110" s="2">
        <f t="shared" si="26"/>
        <v>2117.3336980965391</v>
      </c>
      <c r="BD110" s="2">
        <f t="shared" si="26"/>
        <v>2178.1837340572297</v>
      </c>
      <c r="BE110" s="2">
        <f t="shared" si="26"/>
        <v>2237.5788413351902</v>
      </c>
      <c r="BF110" s="2">
        <f t="shared" si="26"/>
        <v>2295.7882032647067</v>
      </c>
      <c r="BG110" s="2">
        <f t="shared" si="26"/>
        <v>2352.9881992507981</v>
      </c>
      <c r="BH110" s="2">
        <f t="shared" si="26"/>
        <v>2409.2914360243826</v>
      </c>
      <c r="BI110" s="2">
        <f t="shared" ref="BI110" si="27">+BI107-BI109</f>
        <v>2464.7670385199317</v>
      </c>
    </row>
    <row r="111" spans="1:309" ht="21" customHeight="1" thickBot="1" x14ac:dyDescent="0.4">
      <c r="A111" s="32" t="s">
        <v>38</v>
      </c>
      <c r="B111" s="2"/>
    </row>
    <row r="112" spans="1:309" ht="21" customHeight="1" thickTop="1" x14ac:dyDescent="0.35">
      <c r="A112" s="13" t="s">
        <v>235</v>
      </c>
      <c r="B112" s="2">
        <f t="shared" ref="B112:AG112" si="28">+B113+B44</f>
        <v>31.399705321427348</v>
      </c>
      <c r="C112" s="2">
        <f t="shared" si="28"/>
        <v>35.019403099620618</v>
      </c>
      <c r="D112" s="2">
        <f t="shared" si="28"/>
        <v>38.832485455396153</v>
      </c>
      <c r="E112" s="2">
        <f t="shared" si="28"/>
        <v>42.776573689333375</v>
      </c>
      <c r="F112" s="2">
        <f t="shared" si="28"/>
        <v>46.796411099311094</v>
      </c>
      <c r="G112" s="2">
        <f t="shared" si="28"/>
        <v>50.842920196635617</v>
      </c>
      <c r="H112" s="2">
        <f t="shared" si="28"/>
        <v>54.872418414759402</v>
      </c>
      <c r="I112" s="2">
        <f t="shared" si="28"/>
        <v>58.84595377759949</v>
      </c>
      <c r="J112" s="2">
        <f t="shared" si="28"/>
        <v>62.728731555839786</v>
      </c>
      <c r="K112" s="2">
        <f t="shared" si="28"/>
        <v>66.489633579736122</v>
      </c>
      <c r="L112" s="2">
        <f t="shared" si="28"/>
        <v>70.100823337786522</v>
      </c>
      <c r="M112" s="2">
        <f t="shared" si="28"/>
        <v>73.537425118606762</v>
      </c>
      <c r="N112" s="2">
        <f t="shared" si="28"/>
        <v>76.777256075069758</v>
      </c>
      <c r="O112" s="2">
        <f t="shared" si="28"/>
        <v>79.800594256904546</v>
      </c>
      <c r="P112" s="2">
        <f t="shared" si="28"/>
        <v>82.589958928646155</v>
      </c>
      <c r="Q112" s="2">
        <f t="shared" si="28"/>
        <v>85.12990371552533</v>
      </c>
      <c r="R112" s="2">
        <f t="shared" si="28"/>
        <v>87.406808474174284</v>
      </c>
      <c r="S112" s="2">
        <f t="shared" si="28"/>
        <v>89.408669514487656</v>
      </c>
      <c r="T112" s="2">
        <f t="shared" si="28"/>
        <v>91.124865755664644</v>
      </c>
      <c r="U112" s="2">
        <f t="shared" si="28"/>
        <v>92.545873089169433</v>
      </c>
      <c r="V112" s="2">
        <f t="shared" si="28"/>
        <v>93.666047099745398</v>
      </c>
      <c r="W112" s="2">
        <f t="shared" si="28"/>
        <v>94.480316487438657</v>
      </c>
      <c r="X112" s="2">
        <f t="shared" si="28"/>
        <v>94.984288501627489</v>
      </c>
      <c r="Y112" s="2">
        <f t="shared" si="28"/>
        <v>95.174268869703269</v>
      </c>
      <c r="Z112" s="2">
        <f t="shared" si="28"/>
        <v>95.047234413498899</v>
      </c>
      <c r="AA112" s="2">
        <f t="shared" si="28"/>
        <v>94.600767867020679</v>
      </c>
      <c r="AB112" s="2">
        <f t="shared" si="28"/>
        <v>93.832980539232025</v>
      </c>
      <c r="AC112" s="2">
        <f t="shared" si="28"/>
        <v>92.74242261167204</v>
      </c>
      <c r="AD112" s="2">
        <f t="shared" si="28"/>
        <v>91.327995564416753</v>
      </c>
      <c r="AE112" s="2">
        <f t="shared" si="28"/>
        <v>89.588867433033684</v>
      </c>
      <c r="AF112" s="2">
        <f t="shared" si="28"/>
        <v>87.503121223033943</v>
      </c>
      <c r="AG112" s="2">
        <f t="shared" si="28"/>
        <v>85.090865035857163</v>
      </c>
      <c r="AH112" s="2">
        <f t="shared" ref="AH112:BM112" si="29">+AH113+AH44</f>
        <v>82.350070830651902</v>
      </c>
      <c r="AI112" s="2">
        <f t="shared" si="29"/>
        <v>79.278851801765811</v>
      </c>
      <c r="AJ112" s="2">
        <f t="shared" si="29"/>
        <v>75.875301638574555</v>
      </c>
      <c r="AK112" s="2">
        <f t="shared" si="29"/>
        <v>72.137366812966405</v>
      </c>
      <c r="AL112" s="2">
        <f t="shared" si="29"/>
        <v>68.062743936457338</v>
      </c>
      <c r="AM112" s="2">
        <f t="shared" si="29"/>
        <v>63.648800075893931</v>
      </c>
      <c r="AN112" s="2">
        <f t="shared" si="29"/>
        <v>58.892510579609187</v>
      </c>
      <c r="AO112" s="2">
        <f t="shared" si="29"/>
        <v>53.790416627937958</v>
      </c>
      <c r="AP112" s="2">
        <f t="shared" si="29"/>
        <v>48.33858451708771</v>
      </c>
      <c r="AQ112" s="2">
        <f t="shared" si="29"/>
        <v>42.532550322668534</v>
      </c>
      <c r="AR112" s="2">
        <f t="shared" si="29"/>
        <v>36.367179901761581</v>
      </c>
      <c r="AS112" s="2">
        <f t="shared" si="29"/>
        <v>29.836306095547851</v>
      </c>
      <c r="AT112" s="2">
        <f t="shared" si="29"/>
        <v>22.931828883399181</v>
      </c>
      <c r="AU112" s="2">
        <f t="shared" si="29"/>
        <v>6.7064264447425106E-5</v>
      </c>
      <c r="AV112" s="2">
        <f t="shared" si="29"/>
        <v>5.365141155794009E-5</v>
      </c>
      <c r="AW112" s="2">
        <f t="shared" si="29"/>
        <v>4.2921129246352076E-5</v>
      </c>
      <c r="AX112" s="2">
        <f t="shared" si="29"/>
        <v>3.4336903397081661E-5</v>
      </c>
      <c r="AY112" s="2">
        <f t="shared" si="29"/>
        <v>2.7469522717665329E-5</v>
      </c>
      <c r="AZ112" s="2">
        <f t="shared" si="29"/>
        <v>2.1975618174132264E-5</v>
      </c>
      <c r="BA112" s="2">
        <f t="shared" si="29"/>
        <v>1.7580494539305812E-5</v>
      </c>
      <c r="BB112" s="2">
        <f t="shared" si="29"/>
        <v>1.4064395631444651E-5</v>
      </c>
      <c r="BC112" s="2">
        <f t="shared" si="29"/>
        <v>1.1251516505155721E-5</v>
      </c>
      <c r="BD112" s="2">
        <f t="shared" si="29"/>
        <v>9.0012132041245777E-6</v>
      </c>
      <c r="BE112" s="2">
        <f t="shared" si="29"/>
        <v>7.2009705632996627E-6</v>
      </c>
      <c r="BF112" s="2">
        <f t="shared" si="29"/>
        <v>5.7607764506397308E-6</v>
      </c>
      <c r="BG112" s="2">
        <f t="shared" si="29"/>
        <v>4.6086211605117848E-6</v>
      </c>
      <c r="BH112" s="2">
        <f t="shared" si="29"/>
        <v>3.6868969284094279E-6</v>
      </c>
      <c r="BI112" s="2">
        <f t="shared" si="29"/>
        <v>2.9495175427275426E-6</v>
      </c>
    </row>
    <row r="113" spans="1:124" ht="21" customHeight="1" x14ac:dyDescent="0.35">
      <c r="A113" s="13" t="s">
        <v>236</v>
      </c>
      <c r="B113" s="8">
        <f t="shared" ref="B113:AG113" si="30">+B41*B104*(1-B135)</f>
        <v>29.859985321427349</v>
      </c>
      <c r="C113" s="8">
        <f t="shared" si="30"/>
        <v>33.787627099620622</v>
      </c>
      <c r="D113" s="8">
        <f t="shared" si="30"/>
        <v>37.847064655396153</v>
      </c>
      <c r="E113" s="8">
        <f t="shared" si="30"/>
        <v>41.988237049333378</v>
      </c>
      <c r="F113" s="8">
        <f t="shared" si="30"/>
        <v>46.165741787311092</v>
      </c>
      <c r="G113" s="8">
        <f t="shared" si="30"/>
        <v>50.338384747035619</v>
      </c>
      <c r="H113" s="8">
        <f t="shared" si="30"/>
        <v>54.468790055079403</v>
      </c>
      <c r="I113" s="8">
        <f t="shared" si="30"/>
        <v>58.523051089855493</v>
      </c>
      <c r="J113" s="8">
        <f t="shared" si="30"/>
        <v>62.470409405644588</v>
      </c>
      <c r="K113" s="8">
        <f t="shared" si="30"/>
        <v>66.282975859579963</v>
      </c>
      <c r="L113" s="8">
        <f t="shared" si="30"/>
        <v>69.935497161661601</v>
      </c>
      <c r="M113" s="8">
        <f t="shared" si="30"/>
        <v>73.405164177706823</v>
      </c>
      <c r="N113" s="8">
        <f t="shared" si="30"/>
        <v>76.671447322349806</v>
      </c>
      <c r="O113" s="8">
        <f t="shared" si="30"/>
        <v>79.715947254728576</v>
      </c>
      <c r="P113" s="8">
        <f t="shared" si="30"/>
        <v>82.522241326905387</v>
      </c>
      <c r="Q113" s="8">
        <f t="shared" si="30"/>
        <v>85.075729634132713</v>
      </c>
      <c r="R113" s="8">
        <f t="shared" si="30"/>
        <v>87.363469209060185</v>
      </c>
      <c r="S113" s="8">
        <f t="shared" si="30"/>
        <v>89.373998102396385</v>
      </c>
      <c r="T113" s="8">
        <f t="shared" si="30"/>
        <v>91.09712862599163</v>
      </c>
      <c r="U113" s="8">
        <f t="shared" si="30"/>
        <v>92.523683385431013</v>
      </c>
      <c r="V113" s="8">
        <f t="shared" si="30"/>
        <v>93.648295336754671</v>
      </c>
      <c r="W113" s="8">
        <f t="shared" si="30"/>
        <v>94.466115077046069</v>
      </c>
      <c r="X113" s="8">
        <f t="shared" si="30"/>
        <v>94.972927373313425</v>
      </c>
      <c r="Y113" s="8">
        <f t="shared" si="30"/>
        <v>95.165179967052012</v>
      </c>
      <c r="Z113" s="8">
        <f t="shared" si="30"/>
        <v>95.039963291377902</v>
      </c>
      <c r="AA113" s="8">
        <f t="shared" si="30"/>
        <v>94.594950969323875</v>
      </c>
      <c r="AB113" s="8">
        <f t="shared" si="30"/>
        <v>93.828327021074585</v>
      </c>
      <c r="AC113" s="8">
        <f t="shared" si="30"/>
        <v>92.738699797146083</v>
      </c>
      <c r="AD113" s="8">
        <f t="shared" si="30"/>
        <v>91.325017312795993</v>
      </c>
      <c r="AE113" s="8">
        <f t="shared" si="30"/>
        <v>89.586484831737067</v>
      </c>
      <c r="AF113" s="8">
        <f t="shared" si="30"/>
        <v>87.501215141996653</v>
      </c>
      <c r="AG113" s="8">
        <f t="shared" si="30"/>
        <v>85.089340171027331</v>
      </c>
      <c r="AH113" s="8">
        <f t="shared" ref="AH113:BI113" si="31">+AH41*AH104*(1-AH135)</f>
        <v>82.348850938788033</v>
      </c>
      <c r="AI113" s="8">
        <f t="shared" si="31"/>
        <v>79.277875888274721</v>
      </c>
      <c r="AJ113" s="8">
        <f t="shared" si="31"/>
        <v>75.874520907781687</v>
      </c>
      <c r="AK113" s="8">
        <f t="shared" si="31"/>
        <v>72.13674222833211</v>
      </c>
      <c r="AL113" s="8">
        <f t="shared" si="31"/>
        <v>68.062244268749893</v>
      </c>
      <c r="AM113" s="8">
        <f t="shared" si="31"/>
        <v>63.648400341727978</v>
      </c>
      <c r="AN113" s="8">
        <f t="shared" si="31"/>
        <v>58.892190792276423</v>
      </c>
      <c r="AO113" s="8">
        <f t="shared" si="31"/>
        <v>53.790160798071753</v>
      </c>
      <c r="AP113" s="8">
        <f t="shared" si="31"/>
        <v>48.338379853194745</v>
      </c>
      <c r="AQ113" s="8">
        <f t="shared" si="31"/>
        <v>42.532386591554157</v>
      </c>
      <c r="AR113" s="8">
        <f t="shared" si="31"/>
        <v>36.367048916870083</v>
      </c>
      <c r="AS113" s="8">
        <f t="shared" si="31"/>
        <v>29.836201307634653</v>
      </c>
      <c r="AT113" s="8">
        <f t="shared" si="31"/>
        <v>22.931745053068621</v>
      </c>
      <c r="AU113" s="8">
        <f t="shared" si="31"/>
        <v>0</v>
      </c>
      <c r="AV113" s="8">
        <f t="shared" si="31"/>
        <v>0</v>
      </c>
      <c r="AW113" s="8">
        <f t="shared" si="31"/>
        <v>0</v>
      </c>
      <c r="AX113" s="8">
        <f t="shared" si="31"/>
        <v>0</v>
      </c>
      <c r="AY113" s="8">
        <f t="shared" si="31"/>
        <v>0</v>
      </c>
      <c r="AZ113" s="8">
        <f t="shared" si="31"/>
        <v>0</v>
      </c>
      <c r="BA113" s="8">
        <f t="shared" si="31"/>
        <v>0</v>
      </c>
      <c r="BB113" s="8">
        <f t="shared" si="31"/>
        <v>0</v>
      </c>
      <c r="BC113" s="8">
        <f t="shared" si="31"/>
        <v>0</v>
      </c>
      <c r="BD113" s="8">
        <f t="shared" si="31"/>
        <v>0</v>
      </c>
      <c r="BE113" s="8">
        <f t="shared" si="31"/>
        <v>0</v>
      </c>
      <c r="BF113" s="8">
        <f t="shared" si="31"/>
        <v>0</v>
      </c>
      <c r="BG113" s="8">
        <f t="shared" si="31"/>
        <v>0</v>
      </c>
      <c r="BH113" s="8">
        <f t="shared" si="31"/>
        <v>0</v>
      </c>
      <c r="BI113" s="8">
        <f t="shared" si="31"/>
        <v>0</v>
      </c>
      <c r="BJ113" s="8"/>
      <c r="BK113" s="8"/>
      <c r="BL113" s="8"/>
      <c r="BM113" s="8"/>
      <c r="BN113" s="8"/>
      <c r="BO113" s="8"/>
      <c r="BP113" s="8"/>
      <c r="BQ113" s="8"/>
      <c r="BR113" s="8"/>
      <c r="BS113" s="8"/>
      <c r="BT113" s="8"/>
      <c r="BU113" s="8"/>
      <c r="BV113" s="8"/>
      <c r="BW113" s="8"/>
      <c r="BX113" s="8"/>
      <c r="BY113" s="8"/>
      <c r="BZ113" s="8"/>
      <c r="CA113" s="8"/>
      <c r="CB113" s="8"/>
      <c r="CC113" s="8"/>
      <c r="CD113" s="8"/>
      <c r="CE113" s="8"/>
      <c r="CF113" s="8"/>
      <c r="CG113" s="8"/>
      <c r="CH113" s="8"/>
      <c r="CI113" s="8"/>
      <c r="CJ113" s="8"/>
      <c r="CK113" s="8"/>
      <c r="CL113" s="8"/>
      <c r="CM113" s="8"/>
      <c r="CN113" s="8"/>
      <c r="CO113" s="8"/>
      <c r="CP113" s="8"/>
      <c r="CQ113" s="8"/>
      <c r="CR113" s="8"/>
      <c r="CS113" s="8"/>
      <c r="CT113" s="8"/>
      <c r="CU113" s="8"/>
      <c r="CV113" s="8"/>
      <c r="CW113" s="8"/>
      <c r="CX113" s="8"/>
      <c r="CY113" s="8"/>
      <c r="CZ113" s="8"/>
      <c r="DA113" s="8"/>
      <c r="DB113" s="8"/>
      <c r="DC113" s="8"/>
      <c r="DD113" s="8"/>
      <c r="DE113" s="8"/>
      <c r="DF113" s="8"/>
      <c r="DG113" s="8"/>
      <c r="DH113" s="8"/>
      <c r="DI113" s="8"/>
      <c r="DJ113" s="8"/>
      <c r="DK113" s="8"/>
      <c r="DL113" s="8"/>
      <c r="DM113" s="8"/>
      <c r="DN113" s="8"/>
      <c r="DO113" s="8"/>
      <c r="DP113" s="8"/>
      <c r="DQ113" s="8"/>
      <c r="DR113" s="8"/>
      <c r="DS113" s="8"/>
      <c r="DT113" s="8"/>
    </row>
    <row r="114" spans="1:124" s="43" customFormat="1" ht="21" customHeight="1" x14ac:dyDescent="0.35">
      <c r="A114" s="13" t="s">
        <v>100</v>
      </c>
      <c r="B114" s="8">
        <f t="shared" ref="B114:AG114" si="32">+B113/B104</f>
        <v>0.46992378348324315</v>
      </c>
      <c r="C114" s="8">
        <f t="shared" si="32"/>
        <v>0.4457088331856463</v>
      </c>
      <c r="D114" s="8">
        <f t="shared" si="32"/>
        <v>0.42275535938840253</v>
      </c>
      <c r="E114" s="8">
        <f t="shared" si="32"/>
        <v>0.40098963863393888</v>
      </c>
      <c r="F114" s="8">
        <f t="shared" si="32"/>
        <v>0.3803424365432394</v>
      </c>
      <c r="G114" s="8">
        <f t="shared" si="32"/>
        <v>0.36074871406907993</v>
      </c>
      <c r="H114" s="8">
        <f t="shared" si="32"/>
        <v>0.34214735379126426</v>
      </c>
      <c r="I114" s="8">
        <f t="shared" si="32"/>
        <v>0.32448090481984443</v>
      </c>
      <c r="J114" s="8">
        <f t="shared" si="32"/>
        <v>0.30769534497250933</v>
      </c>
      <c r="K114" s="8">
        <f t="shared" si="32"/>
        <v>0.29173985898127591</v>
      </c>
      <c r="L114" s="8">
        <f t="shared" si="32"/>
        <v>0.27656663159956224</v>
      </c>
      <c r="M114" s="8">
        <f t="shared" si="32"/>
        <v>0.26213065453925782</v>
      </c>
      <c r="N114" s="8">
        <f t="shared" si="32"/>
        <v>0.24838954626166171</v>
      </c>
      <c r="O114" s="8">
        <f t="shared" si="32"/>
        <v>0.23530338371849735</v>
      </c>
      <c r="P114" s="8">
        <f t="shared" si="32"/>
        <v>0.2228345451897564</v>
      </c>
      <c r="Q114" s="8">
        <f t="shared" si="32"/>
        <v>0.2109475634513974</v>
      </c>
      <c r="R114" s="8">
        <f t="shared" si="32"/>
        <v>0.19960898853836892</v>
      </c>
      <c r="S114" s="8">
        <f t="shared" si="32"/>
        <v>0.18878725943713273</v>
      </c>
      <c r="T114" s="8">
        <f t="shared" si="32"/>
        <v>0.17845258408254189</v>
      </c>
      <c r="U114" s="8">
        <f t="shared" si="32"/>
        <v>0.16857682708297961</v>
      </c>
      <c r="V114" s="8">
        <f t="shared" si="32"/>
        <v>0.15913340463407114</v>
      </c>
      <c r="W114" s="8">
        <f t="shared" si="32"/>
        <v>0.15009718612576609</v>
      </c>
      <c r="X114" s="8">
        <f t="shared" si="32"/>
        <v>0.14144440197480918</v>
      </c>
      <c r="Y114" s="8">
        <f t="shared" si="32"/>
        <v>0.13315255725917574</v>
      </c>
      <c r="Z114" s="8">
        <f t="shared" si="32"/>
        <v>0.12520035074609351</v>
      </c>
      <c r="AA114" s="8">
        <f t="shared" si="32"/>
        <v>0.11756759894842006</v>
      </c>
      <c r="AB114" s="8">
        <f t="shared" si="32"/>
        <v>0.11023516485879215</v>
      </c>
      <c r="AC114" s="8">
        <f t="shared" si="32"/>
        <v>0.10318489104071607</v>
      </c>
      <c r="AD114" s="8">
        <f t="shared" si="32"/>
        <v>9.6399536777162925E-2</v>
      </c>
      <c r="AE114" s="8">
        <f t="shared" si="32"/>
        <v>8.9862718996229732E-2</v>
      </c>
      <c r="AF114" s="8">
        <f t="shared" si="32"/>
        <v>8.3558856712710045E-2</v>
      </c>
      <c r="AG114" s="8">
        <f t="shared" si="32"/>
        <v>7.7473118745415556E-2</v>
      </c>
      <c r="AH114" s="8">
        <f t="shared" ref="AH114:BI114" si="33">+AH113/AH104</f>
        <v>7.1591374480286615E-2</v>
      </c>
      <c r="AI114" s="8">
        <f t="shared" si="33"/>
        <v>6.5900147470959208E-2</v>
      </c>
      <c r="AJ114" s="8">
        <f t="shared" si="33"/>
        <v>6.0386571677310492E-2</v>
      </c>
      <c r="AK114" s="8">
        <f t="shared" si="33"/>
        <v>5.5038350158658364E-2</v>
      </c>
      <c r="AL114" s="8">
        <f t="shared" si="33"/>
        <v>4.9843716048751943E-2</v>
      </c>
      <c r="AM114" s="8">
        <f t="shared" si="33"/>
        <v>4.4791395651951886E-2</v>
      </c>
      <c r="AN114" s="8">
        <f t="shared" si="33"/>
        <v>3.9870573508412256E-2</v>
      </c>
      <c r="AO114" s="8">
        <f t="shared" si="33"/>
        <v>3.5070859288103724E-2</v>
      </c>
      <c r="AP114" s="8">
        <f t="shared" si="33"/>
        <v>3.0382256380601182E-2</v>
      </c>
      <c r="AQ114" s="8">
        <f t="shared" si="33"/>
        <v>2.5795132055379151E-2</v>
      </c>
      <c r="AR114" s="8">
        <f t="shared" si="33"/>
        <v>2.1300189077457191E-2</v>
      </c>
      <c r="AS114" s="8">
        <f t="shared" si="33"/>
        <v>1.6888438666381525E-2</v>
      </c>
      <c r="AT114" s="8">
        <f t="shared" si="33"/>
        <v>1.2551174697073503E-2</v>
      </c>
      <c r="AU114" s="8">
        <f t="shared" si="33"/>
        <v>0</v>
      </c>
      <c r="AV114" s="8">
        <f t="shared" si="33"/>
        <v>0</v>
      </c>
      <c r="AW114" s="8">
        <f t="shared" si="33"/>
        <v>0</v>
      </c>
      <c r="AX114" s="8">
        <f t="shared" si="33"/>
        <v>0</v>
      </c>
      <c r="AY114" s="8">
        <f t="shared" si="33"/>
        <v>0</v>
      </c>
      <c r="AZ114" s="8">
        <f t="shared" si="33"/>
        <v>0</v>
      </c>
      <c r="BA114" s="8">
        <f t="shared" si="33"/>
        <v>0</v>
      </c>
      <c r="BB114" s="8">
        <f t="shared" si="33"/>
        <v>0</v>
      </c>
      <c r="BC114" s="8">
        <f t="shared" si="33"/>
        <v>0</v>
      </c>
      <c r="BD114" s="8">
        <f t="shared" si="33"/>
        <v>0</v>
      </c>
      <c r="BE114" s="8">
        <f t="shared" si="33"/>
        <v>0</v>
      </c>
      <c r="BF114" s="8">
        <f t="shared" si="33"/>
        <v>0</v>
      </c>
      <c r="BG114" s="8">
        <f t="shared" si="33"/>
        <v>0</v>
      </c>
      <c r="BH114" s="8">
        <f t="shared" si="33"/>
        <v>0</v>
      </c>
      <c r="BI114" s="8">
        <f t="shared" si="33"/>
        <v>0</v>
      </c>
      <c r="BJ114" s="8"/>
      <c r="BK114" s="8"/>
      <c r="BL114" s="8"/>
      <c r="BM114" s="8"/>
      <c r="BN114" s="8"/>
      <c r="BO114" s="8"/>
      <c r="BP114" s="8"/>
      <c r="BQ114" s="8"/>
      <c r="BR114" s="8"/>
      <c r="BS114" s="8"/>
      <c r="BT114" s="8"/>
      <c r="BU114" s="8"/>
      <c r="BV114" s="8"/>
      <c r="BW114" s="8"/>
      <c r="BX114" s="8"/>
      <c r="BY114" s="8"/>
      <c r="BZ114" s="8"/>
      <c r="CA114" s="8"/>
      <c r="CB114" s="8"/>
      <c r="CC114" s="8"/>
      <c r="CD114" s="8"/>
      <c r="CE114" s="8"/>
      <c r="CF114" s="8"/>
      <c r="CG114" s="8"/>
      <c r="CH114" s="8"/>
      <c r="CI114" s="8"/>
      <c r="CJ114" s="8"/>
      <c r="CK114" s="8"/>
      <c r="CL114" s="8"/>
      <c r="CM114" s="8"/>
      <c r="CN114" s="8"/>
      <c r="CO114" s="8"/>
      <c r="CP114" s="8"/>
      <c r="CQ114" s="8"/>
      <c r="CR114" s="8"/>
      <c r="CS114" s="8"/>
      <c r="CT114" s="8"/>
      <c r="CU114" s="8"/>
      <c r="CV114" s="8"/>
      <c r="CW114" s="8"/>
      <c r="CX114" s="8"/>
      <c r="CY114" s="8"/>
      <c r="CZ114" s="8"/>
      <c r="DA114" s="8"/>
      <c r="DB114" s="8"/>
      <c r="DC114" s="8"/>
      <c r="DD114" s="8"/>
      <c r="DE114" s="8"/>
      <c r="DF114" s="8"/>
      <c r="DG114" s="8"/>
      <c r="DH114" s="8"/>
      <c r="DI114" s="8"/>
      <c r="DJ114" s="8"/>
      <c r="DK114" s="8"/>
      <c r="DL114" s="8"/>
      <c r="DM114" s="8"/>
      <c r="DN114" s="8"/>
      <c r="DO114" s="8"/>
      <c r="DP114" s="8"/>
      <c r="DQ114" s="8"/>
    </row>
    <row r="115" spans="1:124" ht="21" customHeight="1" thickBot="1" x14ac:dyDescent="0.4">
      <c r="A115" s="32" t="s">
        <v>12</v>
      </c>
    </row>
    <row r="116" spans="1:124" ht="21" customHeight="1" thickTop="1" x14ac:dyDescent="0.35">
      <c r="A116" s="13" t="s">
        <v>132</v>
      </c>
      <c r="B116" s="8">
        <f t="shared" ref="B116:AG116" si="34">(B131)*B110</f>
        <v>16.361033287847793</v>
      </c>
      <c r="C116" s="2">
        <f t="shared" si="34"/>
        <v>19.294492885903203</v>
      </c>
      <c r="D116" s="2">
        <f t="shared" si="34"/>
        <v>22.541198783699205</v>
      </c>
      <c r="E116" s="2">
        <f t="shared" si="34"/>
        <v>26.103525268506448</v>
      </c>
      <c r="F116" s="2">
        <f t="shared" si="34"/>
        <v>29.983164854427056</v>
      </c>
      <c r="G116" s="2">
        <f t="shared" si="34"/>
        <v>34.181003896453632</v>
      </c>
      <c r="H116" s="2">
        <f t="shared" si="34"/>
        <v>38.696955263223757</v>
      </c>
      <c r="I116" s="2">
        <f t="shared" si="34"/>
        <v>43.529764074999534</v>
      </c>
      <c r="J116" s="2">
        <f t="shared" si="34"/>
        <v>48.676896743686918</v>
      </c>
      <c r="K116" s="2">
        <f t="shared" si="34"/>
        <v>54.13452316587729</v>
      </c>
      <c r="L116" s="2">
        <f t="shared" si="34"/>
        <v>59.897590934178744</v>
      </c>
      <c r="M116" s="2">
        <f t="shared" si="34"/>
        <v>65.959938897542557</v>
      </c>
      <c r="N116" s="2">
        <f t="shared" si="34"/>
        <v>72.314426315227962</v>
      </c>
      <c r="O116" s="2">
        <f t="shared" si="34"/>
        <v>78.952980178520264</v>
      </c>
      <c r="P116" s="2">
        <f t="shared" si="34"/>
        <v>85.866623492437569</v>
      </c>
      <c r="Q116" s="2">
        <f t="shared" si="34"/>
        <v>93.045370594701339</v>
      </c>
      <c r="R116" s="2">
        <f t="shared" si="34"/>
        <v>100.47800320701845</v>
      </c>
      <c r="S116" s="2">
        <f t="shared" si="34"/>
        <v>108.15150109200513</v>
      </c>
      <c r="T116" s="2">
        <f t="shared" si="34"/>
        <v>116.04986418339567</v>
      </c>
      <c r="U116" s="2">
        <f t="shared" si="34"/>
        <v>124.18289508207589</v>
      </c>
      <c r="V116" s="2">
        <f t="shared" si="34"/>
        <v>132.54441325924657</v>
      </c>
      <c r="W116" s="2">
        <f t="shared" si="34"/>
        <v>141.12883441457464</v>
      </c>
      <c r="X116" s="2">
        <f t="shared" si="34"/>
        <v>149.93143796376953</v>
      </c>
      <c r="Y116" s="2">
        <f t="shared" si="34"/>
        <v>158.9486704541043</v>
      </c>
      <c r="Z116" s="2">
        <f t="shared" si="34"/>
        <v>168.17834160288092</v>
      </c>
      <c r="AA116" s="2">
        <f t="shared" si="34"/>
        <v>177.6199474209275</v>
      </c>
      <c r="AB116" s="2">
        <f t="shared" si="34"/>
        <v>187.27496357650358</v>
      </c>
      <c r="AC116" s="2">
        <f t="shared" si="34"/>
        <v>197.14732737012574</v>
      </c>
      <c r="AD116" s="2">
        <f t="shared" si="34"/>
        <v>207.24407495206941</v>
      </c>
      <c r="AE116" s="2">
        <f t="shared" si="34"/>
        <v>217.17445939280387</v>
      </c>
      <c r="AF116" s="2">
        <f t="shared" si="34"/>
        <v>227.51699328690503</v>
      </c>
      <c r="AG116" s="2">
        <f t="shared" si="34"/>
        <v>238.05339439484072</v>
      </c>
      <c r="AH116" s="2">
        <f t="shared" ref="AH116:BI116" si="35">(AH131)*AH110</f>
        <v>248.78383703177911</v>
      </c>
      <c r="AI116" s="2">
        <f t="shared" si="35"/>
        <v>259.70992297155743</v>
      </c>
      <c r="AJ116" s="2">
        <f t="shared" si="35"/>
        <v>270.8348361801178</v>
      </c>
      <c r="AK116" s="2">
        <f t="shared" si="35"/>
        <v>282.16373669331796</v>
      </c>
      <c r="AL116" s="2">
        <f t="shared" si="35"/>
        <v>293.70467589696256</v>
      </c>
      <c r="AM116" s="2">
        <f t="shared" si="35"/>
        <v>305.47032333645291</v>
      </c>
      <c r="AN116" s="2">
        <f t="shared" si="35"/>
        <v>317.48151464825679</v>
      </c>
      <c r="AO116" s="2">
        <f t="shared" si="35"/>
        <v>329.77358622903506</v>
      </c>
      <c r="AP116" s="2">
        <f t="shared" si="35"/>
        <v>342.40852677239508</v>
      </c>
      <c r="AQ116" s="2">
        <f t="shared" si="35"/>
        <v>355.49698353836607</v>
      </c>
      <c r="AR116" s="2">
        <f t="shared" si="35"/>
        <v>369.23867676270538</v>
      </c>
      <c r="AS116" s="2">
        <f t="shared" si="35"/>
        <v>383.9953256245642</v>
      </c>
      <c r="AT116" s="2">
        <f t="shared" si="35"/>
        <v>400.42072253594864</v>
      </c>
      <c r="AU116" s="2">
        <f t="shared" si="35"/>
        <v>410.43186835918084</v>
      </c>
      <c r="AV116" s="2">
        <f t="shared" si="35"/>
        <v>422.32607525609802</v>
      </c>
      <c r="AW116" s="2">
        <f t="shared" si="35"/>
        <v>433.88088217016298</v>
      </c>
      <c r="AX116" s="2">
        <f t="shared" si="35"/>
        <v>444.46909357894521</v>
      </c>
      <c r="AY116" s="2">
        <f t="shared" si="35"/>
        <v>452.97367373502908</v>
      </c>
      <c r="AZ116" s="2">
        <f t="shared" si="35"/>
        <v>496.14032137971151</v>
      </c>
      <c r="BA116" s="2">
        <f t="shared" si="35"/>
        <v>513.833804165125</v>
      </c>
      <c r="BB116" s="2">
        <f t="shared" si="35"/>
        <v>530.66474347745918</v>
      </c>
      <c r="BC116" s="2">
        <f t="shared" si="35"/>
        <v>546.86102136268175</v>
      </c>
      <c r="BD116" s="2">
        <f t="shared" si="35"/>
        <v>562.57725581610521</v>
      </c>
      <c r="BE116" s="2">
        <f t="shared" si="35"/>
        <v>577.91771398723404</v>
      </c>
      <c r="BF116" s="2">
        <f t="shared" si="35"/>
        <v>592.95192004849991</v>
      </c>
      <c r="BG116" s="2">
        <f t="shared" si="35"/>
        <v>607.72542894556977</v>
      </c>
      <c r="BH116" s="2">
        <f t="shared" si="35"/>
        <v>622.26732453609827</v>
      </c>
      <c r="BI116" s="2">
        <f t="shared" si="35"/>
        <v>636.59546027998181</v>
      </c>
    </row>
    <row r="117" spans="1:124" ht="21" customHeight="1" x14ac:dyDescent="0.35">
      <c r="A117" s="13" t="s">
        <v>133</v>
      </c>
      <c r="B117" s="8">
        <f>+B12</f>
        <v>135</v>
      </c>
      <c r="C117" s="2">
        <f t="shared" ref="C117:AH117" si="36">+B117*(1-$B$10)^(C2-B2)+B116*(C2-B2)</f>
        <v>161.521316439239</v>
      </c>
      <c r="D117" s="2">
        <f t="shared" si="36"/>
        <v>191.84918657372228</v>
      </c>
      <c r="E117" s="2">
        <f t="shared" si="36"/>
        <v>225.99102009841334</v>
      </c>
      <c r="F117" s="2">
        <f t="shared" si="36"/>
        <v>263.96306380044439</v>
      </c>
      <c r="G117" s="2">
        <f t="shared" si="36"/>
        <v>305.78337381565973</v>
      </c>
      <c r="H117" s="2">
        <f t="shared" si="36"/>
        <v>351.46704388667712</v>
      </c>
      <c r="I117" s="2">
        <f t="shared" si="36"/>
        <v>401.02255106076279</v>
      </c>
      <c r="J117" s="2">
        <f t="shared" si="36"/>
        <v>454.44862655086757</v>
      </c>
      <c r="K117" s="2">
        <f t="shared" si="36"/>
        <v>511.73185321045645</v>
      </c>
      <c r="L117" s="2">
        <f t="shared" si="36"/>
        <v>572.84515783162897</v>
      </c>
      <c r="M117" s="2">
        <f t="shared" si="36"/>
        <v>637.74729191889242</v>
      </c>
      <c r="N117" s="2">
        <f t="shared" si="36"/>
        <v>706.38309289289964</v>
      </c>
      <c r="O117" s="2">
        <f t="shared" si="36"/>
        <v>778.6842840984682</v>
      </c>
      <c r="P117" s="2">
        <f t="shared" si="36"/>
        <v>854.57018380990598</v>
      </c>
      <c r="Q117" s="2">
        <f t="shared" si="36"/>
        <v>933.94826530009937</v>
      </c>
      <c r="R117" s="2">
        <f t="shared" si="36"/>
        <v>1016.7139641505626</v>
      </c>
      <c r="S117" s="2">
        <f t="shared" si="36"/>
        <v>1102.749444726358</v>
      </c>
      <c r="T117" s="2">
        <f t="shared" si="36"/>
        <v>1191.9200250764929</v>
      </c>
      <c r="U117" s="2">
        <f t="shared" si="36"/>
        <v>1284.066176524397</v>
      </c>
      <c r="V117" s="2">
        <f t="shared" si="36"/>
        <v>1379.1427119862708</v>
      </c>
      <c r="W117" s="2">
        <f t="shared" si="36"/>
        <v>1477.0920462970062</v>
      </c>
      <c r="X117" s="2">
        <f t="shared" si="36"/>
        <v>1577.8522544907926</v>
      </c>
      <c r="Y117" s="2">
        <f t="shared" si="36"/>
        <v>1681.363167573116</v>
      </c>
      <c r="Z117" s="2">
        <f t="shared" si="36"/>
        <v>1787.5714890907711</v>
      </c>
      <c r="AA117" s="2">
        <f t="shared" si="36"/>
        <v>1896.4347966076143</v>
      </c>
      <c r="AB117" s="2">
        <f t="shared" si="36"/>
        <v>2007.9255201534679</v>
      </c>
      <c r="AC117" s="2">
        <f t="shared" si="36"/>
        <v>2122.0347582779395</v>
      </c>
      <c r="AD117" s="2">
        <f t="shared" si="36"/>
        <v>2238.7769412661696</v>
      </c>
      <c r="AE117" s="2">
        <f t="shared" si="36"/>
        <v>2358.1957708086079</v>
      </c>
      <c r="AF117" s="2">
        <f t="shared" si="36"/>
        <v>2478.3633176687945</v>
      </c>
      <c r="AG117" s="2">
        <f t="shared" si="36"/>
        <v>2601.0337218847717</v>
      </c>
      <c r="AH117" s="2">
        <f t="shared" si="36"/>
        <v>2726.1513744099429</v>
      </c>
      <c r="AI117" s="2">
        <f t="shared" ref="AI117:BI117" si="37">+AH117*(1-$B$10)^(AI2-AH2)+AH116*(AI2-AH2)</f>
        <v>2853.6843102342232</v>
      </c>
      <c r="AJ117" s="2">
        <f t="shared" si="37"/>
        <v>2983.6216632079941</v>
      </c>
      <c r="AK117" s="2">
        <f t="shared" si="37"/>
        <v>3115.9729368082781</v>
      </c>
      <c r="AL117" s="2">
        <f t="shared" si="37"/>
        <v>3250.7695429225105</v>
      </c>
      <c r="AM117" s="2">
        <f t="shared" si="37"/>
        <v>3388.0702868851267</v>
      </c>
      <c r="AN117" s="2">
        <f t="shared" si="37"/>
        <v>3527.9732403850639</v>
      </c>
      <c r="AO117" s="2">
        <f t="shared" si="37"/>
        <v>3670.640491956261</v>
      </c>
      <c r="AP117" s="2">
        <f t="shared" si="37"/>
        <v>3816.3444352404285</v>
      </c>
      <c r="AQ117" s="2">
        <f t="shared" si="37"/>
        <v>3965.5558594270969</v>
      </c>
      <c r="AR117" s="2">
        <f t="shared" si="37"/>
        <v>4119.1059971249379</v>
      </c>
      <c r="AS117" s="2">
        <f t="shared" si="37"/>
        <v>4278.4842840558322</v>
      </c>
      <c r="AT117" s="2">
        <f t="shared" si="37"/>
        <v>4446.3788130149505</v>
      </c>
      <c r="AU117" s="2">
        <f t="shared" si="37"/>
        <v>4627.6458379769419</v>
      </c>
      <c r="AV117" s="2">
        <f t="shared" si="37"/>
        <v>4784.7379326629098</v>
      </c>
      <c r="AW117" s="2">
        <f t="shared" si="37"/>
        <v>4936.9702781386131</v>
      </c>
      <c r="AX117" s="2">
        <f t="shared" si="37"/>
        <v>5084.6359903888861</v>
      </c>
      <c r="AY117" s="2">
        <f t="shared" si="37"/>
        <v>5224.7721738594601</v>
      </c>
      <c r="AZ117" s="2">
        <f t="shared" si="37"/>
        <v>5350.0440896174186</v>
      </c>
      <c r="BA117" s="2">
        <f t="shared" si="37"/>
        <v>5639.8491413767479</v>
      </c>
      <c r="BB117" s="2">
        <f t="shared" si="37"/>
        <v>5899.4435403171819</v>
      </c>
      <c r="BC117" s="2">
        <f t="shared" si="37"/>
        <v>6136.8861335091897</v>
      </c>
      <c r="BD117" s="2">
        <f t="shared" si="37"/>
        <v>6358.0749997892508</v>
      </c>
      <c r="BE117" s="2">
        <f t="shared" si="37"/>
        <v>6567.2659857060826</v>
      </c>
      <c r="BF117" s="2">
        <f t="shared" si="37"/>
        <v>6767.4934618357565</v>
      </c>
      <c r="BG117" s="2">
        <f t="shared" si="37"/>
        <v>6960.8968145218969</v>
      </c>
      <c r="BH117" s="2">
        <f t="shared" si="37"/>
        <v>7148.9671047348847</v>
      </c>
      <c r="BI117" s="2">
        <f t="shared" si="37"/>
        <v>7332.730208355395</v>
      </c>
    </row>
    <row r="118" spans="1:124" ht="21" customHeight="1" thickBot="1" x14ac:dyDescent="0.4">
      <c r="A118" s="32" t="s">
        <v>96</v>
      </c>
    </row>
    <row r="119" spans="1:124" ht="21" customHeight="1" thickTop="1" x14ac:dyDescent="0.35">
      <c r="A119" s="13" t="s">
        <v>97</v>
      </c>
      <c r="B119" s="8">
        <f t="shared" ref="B119:AG119" si="38">+B15</f>
        <v>1.4999999999999999E-2</v>
      </c>
      <c r="C119" s="2">
        <f t="shared" si="38"/>
        <v>1.4999999999999999E-2</v>
      </c>
      <c r="D119" s="2">
        <f t="shared" si="38"/>
        <v>1.4999999999999999E-2</v>
      </c>
      <c r="E119" s="2">
        <f t="shared" si="38"/>
        <v>1.4999999999999999E-2</v>
      </c>
      <c r="F119" s="2">
        <f t="shared" si="38"/>
        <v>1.4999999999999999E-2</v>
      </c>
      <c r="G119" s="2">
        <f t="shared" si="38"/>
        <v>1.4999999999999999E-2</v>
      </c>
      <c r="H119" s="2">
        <f t="shared" si="38"/>
        <v>1.4999999999999999E-2</v>
      </c>
      <c r="I119" s="2">
        <f t="shared" si="38"/>
        <v>1.4999999999999999E-2</v>
      </c>
      <c r="J119" s="2">
        <f t="shared" si="38"/>
        <v>1.4999999999999999E-2</v>
      </c>
      <c r="K119" s="2">
        <f t="shared" si="38"/>
        <v>1.4999999999999999E-2</v>
      </c>
      <c r="L119" s="2">
        <f t="shared" si="38"/>
        <v>1.4999999999999999E-2</v>
      </c>
      <c r="M119" s="2">
        <f t="shared" si="38"/>
        <v>1.4999999999999999E-2</v>
      </c>
      <c r="N119" s="2">
        <f t="shared" si="38"/>
        <v>1.4999999999999999E-2</v>
      </c>
      <c r="O119" s="2">
        <f t="shared" si="38"/>
        <v>1.4999999999999999E-2</v>
      </c>
      <c r="P119" s="2">
        <f t="shared" si="38"/>
        <v>1.4999999999999999E-2</v>
      </c>
      <c r="Q119" s="2">
        <f t="shared" si="38"/>
        <v>1.4999999999999999E-2</v>
      </c>
      <c r="R119" s="2">
        <f t="shared" si="38"/>
        <v>1.4999999999999999E-2</v>
      </c>
      <c r="S119" s="2">
        <f t="shared" si="38"/>
        <v>1.4999999999999999E-2</v>
      </c>
      <c r="T119" s="2">
        <f t="shared" si="38"/>
        <v>1.4999999999999999E-2</v>
      </c>
      <c r="U119" s="2">
        <f t="shared" si="38"/>
        <v>1.4999999999999999E-2</v>
      </c>
      <c r="V119" s="2">
        <f t="shared" si="38"/>
        <v>1.4999999999999999E-2</v>
      </c>
      <c r="W119" s="2">
        <f t="shared" si="38"/>
        <v>1.4999999999999999E-2</v>
      </c>
      <c r="X119" s="2">
        <f t="shared" si="38"/>
        <v>1.4999999999999999E-2</v>
      </c>
      <c r="Y119" s="2">
        <f t="shared" si="38"/>
        <v>1.4999999999999999E-2</v>
      </c>
      <c r="Z119" s="2">
        <f t="shared" si="38"/>
        <v>1.4999999999999999E-2</v>
      </c>
      <c r="AA119" s="2">
        <f t="shared" si="38"/>
        <v>1.4999999999999999E-2</v>
      </c>
      <c r="AB119" s="2">
        <f t="shared" si="38"/>
        <v>1.4999999999999999E-2</v>
      </c>
      <c r="AC119" s="2">
        <f t="shared" si="38"/>
        <v>1.4999999999999999E-2</v>
      </c>
      <c r="AD119" s="2">
        <f t="shared" si="38"/>
        <v>1.4999999999999999E-2</v>
      </c>
      <c r="AE119" s="2">
        <f t="shared" si="38"/>
        <v>1.4999999999999999E-2</v>
      </c>
      <c r="AF119" s="2">
        <f t="shared" si="38"/>
        <v>1.4999999999999999E-2</v>
      </c>
      <c r="AG119" s="2">
        <f t="shared" si="38"/>
        <v>1.4999999999999999E-2</v>
      </c>
      <c r="AH119" s="2">
        <f t="shared" ref="AH119:BI119" si="39">+AH15</f>
        <v>1.4999999999999999E-2</v>
      </c>
      <c r="AI119" s="2">
        <f t="shared" si="39"/>
        <v>1.4999999999999999E-2</v>
      </c>
      <c r="AJ119" s="2">
        <f t="shared" si="39"/>
        <v>1.4999999999999999E-2</v>
      </c>
      <c r="AK119" s="2">
        <f t="shared" si="39"/>
        <v>1.4999999999999999E-2</v>
      </c>
      <c r="AL119" s="2">
        <f t="shared" si="39"/>
        <v>1.4999999999999999E-2</v>
      </c>
      <c r="AM119" s="2">
        <f t="shared" si="39"/>
        <v>1.4999999999999999E-2</v>
      </c>
      <c r="AN119" s="2">
        <f t="shared" si="39"/>
        <v>1.4999999999999999E-2</v>
      </c>
      <c r="AO119" s="2">
        <f t="shared" si="39"/>
        <v>1.4999999999999999E-2</v>
      </c>
      <c r="AP119" s="2">
        <f t="shared" si="39"/>
        <v>1.4999999999999999E-2</v>
      </c>
      <c r="AQ119" s="2">
        <f t="shared" si="39"/>
        <v>1.4999999999999999E-2</v>
      </c>
      <c r="AR119" s="2">
        <f t="shared" si="39"/>
        <v>1.4999999999999999E-2</v>
      </c>
      <c r="AS119" s="2">
        <f t="shared" si="39"/>
        <v>1.4999999999999999E-2</v>
      </c>
      <c r="AT119" s="2">
        <f t="shared" si="39"/>
        <v>1.4999999999999999E-2</v>
      </c>
      <c r="AU119" s="2">
        <f t="shared" si="39"/>
        <v>1.4999999999999999E-2</v>
      </c>
      <c r="AV119" s="2">
        <f t="shared" si="39"/>
        <v>1.4999999999999999E-2</v>
      </c>
      <c r="AW119" s="2">
        <f t="shared" si="39"/>
        <v>1.4999999999999999E-2</v>
      </c>
      <c r="AX119" s="2">
        <f t="shared" si="39"/>
        <v>1.4999999999999999E-2</v>
      </c>
      <c r="AY119" s="2">
        <f t="shared" si="39"/>
        <v>1.4999999999999999E-2</v>
      </c>
      <c r="AZ119" s="2">
        <f t="shared" si="39"/>
        <v>1.4999999999999999E-2</v>
      </c>
      <c r="BA119" s="2">
        <f t="shared" si="39"/>
        <v>1.4999999999999999E-2</v>
      </c>
      <c r="BB119" s="2">
        <f t="shared" si="39"/>
        <v>1.4999999999999999E-2</v>
      </c>
      <c r="BC119" s="2">
        <f t="shared" si="39"/>
        <v>1.4999999999999999E-2</v>
      </c>
      <c r="BD119" s="2">
        <f t="shared" si="39"/>
        <v>1.4999999999999999E-2</v>
      </c>
      <c r="BE119" s="2">
        <f t="shared" si="39"/>
        <v>1.4999999999999999E-2</v>
      </c>
      <c r="BF119" s="2">
        <f t="shared" si="39"/>
        <v>1.4999999999999999E-2</v>
      </c>
      <c r="BG119" s="2">
        <f t="shared" si="39"/>
        <v>1.4999999999999999E-2</v>
      </c>
      <c r="BH119" s="2">
        <f t="shared" si="39"/>
        <v>1.4999999999999999E-2</v>
      </c>
      <c r="BI119" s="2">
        <f t="shared" si="39"/>
        <v>1.4999999999999999E-2</v>
      </c>
    </row>
    <row r="120" spans="1:124" ht="21" customHeight="1" x14ac:dyDescent="0.35">
      <c r="A120" s="13" t="s">
        <v>32</v>
      </c>
      <c r="B120" s="8">
        <f t="shared" ref="B120:AG120" si="40">+$B$5*B104/B117</f>
        <v>0.14120486187069389</v>
      </c>
      <c r="C120" s="2">
        <f t="shared" si="40"/>
        <v>0.14079844564982544</v>
      </c>
      <c r="D120" s="2">
        <f t="shared" si="40"/>
        <v>0.13999237216107147</v>
      </c>
      <c r="E120" s="2">
        <f t="shared" si="40"/>
        <v>0.13900312430341288</v>
      </c>
      <c r="F120" s="2">
        <f t="shared" si="40"/>
        <v>0.13795045206385209</v>
      </c>
      <c r="G120" s="2">
        <f t="shared" si="40"/>
        <v>0.13689950279086913</v>
      </c>
      <c r="H120" s="2">
        <f t="shared" si="40"/>
        <v>0.135884896766095</v>
      </c>
      <c r="I120" s="2">
        <f t="shared" si="40"/>
        <v>0.13492433147764404</v>
      </c>
      <c r="J120" s="2">
        <f t="shared" si="40"/>
        <v>0.1340262559481176</v>
      </c>
      <c r="K120" s="2">
        <f t="shared" si="40"/>
        <v>0.13319411408197554</v>
      </c>
      <c r="L120" s="2">
        <f t="shared" si="40"/>
        <v>0.13242863254452136</v>
      </c>
      <c r="M120" s="2">
        <f t="shared" si="40"/>
        <v>0.13172901184040267</v>
      </c>
      <c r="N120" s="2">
        <f t="shared" si="40"/>
        <v>0.13109354451402655</v>
      </c>
      <c r="O120" s="2">
        <f t="shared" si="40"/>
        <v>0.13051994550722718</v>
      </c>
      <c r="P120" s="2">
        <f t="shared" si="40"/>
        <v>0.13000558651018387</v>
      </c>
      <c r="Q120" s="2">
        <f t="shared" si="40"/>
        <v>0.1295476692839852</v>
      </c>
      <c r="R120" s="2">
        <f t="shared" si="40"/>
        <v>0.12914340826949822</v>
      </c>
      <c r="S120" s="2">
        <f t="shared" si="40"/>
        <v>0.12879022777212759</v>
      </c>
      <c r="T120" s="2">
        <f t="shared" si="40"/>
        <v>0.12848605224773643</v>
      </c>
      <c r="U120" s="2">
        <f t="shared" si="40"/>
        <v>0.12822977691615794</v>
      </c>
      <c r="V120" s="2">
        <f t="shared" si="40"/>
        <v>0.1280119660947312</v>
      </c>
      <c r="W120" s="2">
        <f t="shared" si="40"/>
        <v>0.12782541160989624</v>
      </c>
      <c r="X120" s="2">
        <f t="shared" si="40"/>
        <v>0.12766415669336176</v>
      </c>
      <c r="Y120" s="2">
        <f t="shared" si="40"/>
        <v>0.12752293124156502</v>
      </c>
      <c r="Z120" s="2">
        <f t="shared" si="40"/>
        <v>0.12739680893200248</v>
      </c>
      <c r="AA120" s="2">
        <f t="shared" si="40"/>
        <v>0.12728102000553987</v>
      </c>
      <c r="AB120" s="2">
        <f t="shared" si="40"/>
        <v>0.12717082013713035</v>
      </c>
      <c r="AC120" s="2">
        <f t="shared" si="40"/>
        <v>0.12706140530505064</v>
      </c>
      <c r="AD120" s="2">
        <f t="shared" si="40"/>
        <v>0.12694781952358539</v>
      </c>
      <c r="AE120" s="2">
        <f t="shared" si="40"/>
        <v>0.12682484486687734</v>
      </c>
      <c r="AF120" s="2">
        <f t="shared" si="40"/>
        <v>0.12675872940409955</v>
      </c>
      <c r="AG120" s="2">
        <f t="shared" si="40"/>
        <v>0.12667747221310352</v>
      </c>
      <c r="AH120" s="2">
        <f t="shared" ref="AH120:BI120" si="41">+$B$5*AH104/AH117</f>
        <v>0.12658088584749466</v>
      </c>
      <c r="AI120" s="2">
        <f t="shared" si="41"/>
        <v>0.12646808611217908</v>
      </c>
      <c r="AJ120" s="2">
        <f t="shared" si="41"/>
        <v>0.12633773619461455</v>
      </c>
      <c r="AK120" s="2">
        <f t="shared" si="41"/>
        <v>0.12618818563187936</v>
      </c>
      <c r="AL120" s="2">
        <f t="shared" si="41"/>
        <v>0.12601751888115573</v>
      </c>
      <c r="AM120" s="2">
        <f t="shared" si="41"/>
        <v>0.12582349420295033</v>
      </c>
      <c r="AN120" s="2">
        <f t="shared" si="41"/>
        <v>0.12560334343827478</v>
      </c>
      <c r="AO120" s="2">
        <f t="shared" si="41"/>
        <v>0.12535331955702197</v>
      </c>
      <c r="AP120" s="2">
        <f t="shared" si="41"/>
        <v>0.12506787089077431</v>
      </c>
      <c r="AQ120" s="2">
        <f t="shared" si="41"/>
        <v>0.12473811592119044</v>
      </c>
      <c r="AR120" s="2">
        <f t="shared" si="41"/>
        <v>0.12434916948763211</v>
      </c>
      <c r="AS120" s="2">
        <f t="shared" si="41"/>
        <v>0.12387547745724285</v>
      </c>
      <c r="AT120" s="2">
        <f t="shared" si="41"/>
        <v>0.12327287505741173</v>
      </c>
      <c r="AU120" s="2">
        <f t="shared" si="41"/>
        <v>0.1224654959771765</v>
      </c>
      <c r="AV120" s="2">
        <f t="shared" si="41"/>
        <v>0.12214569715549861</v>
      </c>
      <c r="AW120" s="2">
        <f t="shared" si="41"/>
        <v>0.12192640006927889</v>
      </c>
      <c r="AX120" s="2">
        <f t="shared" si="41"/>
        <v>0.12179127252848559</v>
      </c>
      <c r="AY120" s="2">
        <f t="shared" si="41"/>
        <v>0.12177941353469805</v>
      </c>
      <c r="AZ120" s="2">
        <f t="shared" si="41"/>
        <v>0.12199633208692923</v>
      </c>
      <c r="BA120" s="2">
        <f t="shared" si="41"/>
        <v>0.11968678503827444</v>
      </c>
      <c r="BB120" s="2">
        <f t="shared" si="41"/>
        <v>0.11799680573031308</v>
      </c>
      <c r="BC120" s="2">
        <f t="shared" si="41"/>
        <v>0.11672236050822506</v>
      </c>
      <c r="BD120" s="2">
        <f t="shared" si="41"/>
        <v>0.11573149615367574</v>
      </c>
      <c r="BE120" s="2">
        <f t="shared" si="41"/>
        <v>0.11493727004312886</v>
      </c>
      <c r="BF120" s="2">
        <f t="shared" si="41"/>
        <v>0.11428162812489059</v>
      </c>
      <c r="BG120" s="2">
        <f t="shared" si="41"/>
        <v>0.11372542084718902</v>
      </c>
      <c r="BH120" s="2">
        <f t="shared" si="41"/>
        <v>0.11324203693291826</v>
      </c>
      <c r="BI120" s="2">
        <f t="shared" si="41"/>
        <v>0.11281325686319821</v>
      </c>
    </row>
    <row r="121" spans="1:124" ht="21" customHeight="1" x14ac:dyDescent="0.35">
      <c r="A121" s="13" t="s">
        <v>33</v>
      </c>
      <c r="B121" s="2">
        <f>+AVERAGE($B120:B120)</f>
        <v>0.14120486187069389</v>
      </c>
      <c r="C121" s="2">
        <f>+AVERAGE($B120:C120)</f>
        <v>0.14100165376025967</v>
      </c>
      <c r="D121" s="2">
        <f>+AVERAGE($B120:D120)</f>
        <v>0.14066522656053027</v>
      </c>
      <c r="E121" s="2">
        <f>+AVERAGE($B120:E120)</f>
        <v>0.14024970099625092</v>
      </c>
      <c r="F121" s="2">
        <f>+AVERAGE($B120:F120)</f>
        <v>0.13978985120977114</v>
      </c>
      <c r="G121" s="2">
        <f>+AVERAGE($B120:G120)</f>
        <v>0.13930812647328747</v>
      </c>
      <c r="H121" s="2">
        <f>+AVERAGE($B120:H120)</f>
        <v>0.13881909365797426</v>
      </c>
      <c r="I121" s="2">
        <f>+AVERAGE($B120:I120)</f>
        <v>0.13833224838543298</v>
      </c>
      <c r="J121" s="2">
        <f>+AVERAGE($B120:J120)</f>
        <v>0.13785380478128684</v>
      </c>
      <c r="K121" s="2">
        <f>+AVERAGE($B120:K120)</f>
        <v>0.13738783571135568</v>
      </c>
      <c r="L121" s="2">
        <f>+AVERAGE($B120:L120)</f>
        <v>0.13693699905982529</v>
      </c>
      <c r="M121" s="2">
        <f>+AVERAGE($B120:M120)</f>
        <v>0.1365030001248734</v>
      </c>
      <c r="N121" s="2">
        <f>+AVERAGE($B120:N120)</f>
        <v>0.13608688815480827</v>
      </c>
      <c r="O121" s="2">
        <f>+AVERAGE($B120:O120)</f>
        <v>0.13568924939426677</v>
      </c>
      <c r="P121" s="2">
        <f>+AVERAGE($B120:P120)</f>
        <v>0.1353103385353279</v>
      </c>
      <c r="Q121" s="2">
        <f>+AVERAGE($B120:Q120)</f>
        <v>0.13495017170711898</v>
      </c>
      <c r="R121" s="2">
        <f>+AVERAGE($B120:R120)</f>
        <v>0.13460859738725894</v>
      </c>
      <c r="S121" s="2">
        <f>+AVERAGE($B120:S120)</f>
        <v>0.13428535463086277</v>
      </c>
      <c r="T121" s="2">
        <f>+AVERAGE($B120:T120)</f>
        <v>0.13398012818964558</v>
      </c>
      <c r="U121" s="2">
        <f>+AVERAGE($B120:U120)</f>
        <v>0.13369261062597121</v>
      </c>
      <c r="V121" s="2">
        <f>+AVERAGE($B120:V120)</f>
        <v>0.1334221037435312</v>
      </c>
      <c r="W121" s="2">
        <f>+AVERAGE($B120:W120)</f>
        <v>0.13316770864654781</v>
      </c>
      <c r="X121" s="2">
        <f>+AVERAGE($B120:X120)</f>
        <v>0.13292842377901798</v>
      </c>
      <c r="Y121" s="2">
        <f>+AVERAGE($B120:Y120)</f>
        <v>0.13270319492329077</v>
      </c>
      <c r="Z121" s="2">
        <f>+AVERAGE($B120:Z120)</f>
        <v>0.13249093948363921</v>
      </c>
      <c r="AA121" s="2">
        <f>+AVERAGE($B120:AA120)</f>
        <v>0.1322905579652508</v>
      </c>
      <c r="AB121" s="2">
        <f>+AVERAGE($B120:AB120)</f>
        <v>0.13210093804569076</v>
      </c>
      <c r="AC121" s="2">
        <f>+AVERAGE($B120:AC120)</f>
        <v>0.13192095473352505</v>
      </c>
      <c r="AD121" s="2">
        <f>+AVERAGE($B120:AD120)</f>
        <v>0.13174946731249265</v>
      </c>
      <c r="AE121" s="2">
        <f>+AVERAGE($B120:AE120)</f>
        <v>0.13158531323097214</v>
      </c>
      <c r="AF121" s="2">
        <f>+AVERAGE($B120:AF120)</f>
        <v>0.13142961697849237</v>
      </c>
      <c r="AG121" s="2">
        <f>+AVERAGE($B120:AG120)</f>
        <v>0.13128111245457397</v>
      </c>
      <c r="AH121" s="2">
        <f>+AVERAGE($B120:AH120)</f>
        <v>0.13113868134526854</v>
      </c>
      <c r="AI121" s="2">
        <f>+AVERAGE($B120:AI120)</f>
        <v>0.13100131089723649</v>
      </c>
      <c r="AJ121" s="2">
        <f>+AVERAGE($B120:AJ120)</f>
        <v>0.13086806590573299</v>
      </c>
      <c r="AK121" s="2">
        <f>+AVERAGE($B120:AK120)</f>
        <v>0.13073806923145931</v>
      </c>
      <c r="AL121" s="2">
        <f>+AVERAGE($B120:AL120)</f>
        <v>0.13061048678955922</v>
      </c>
      <c r="AM121" s="2">
        <f>+AVERAGE($B120:AM120)</f>
        <v>0.13048451330043792</v>
      </c>
      <c r="AN121" s="2">
        <f>+AVERAGE($B120:AN120)</f>
        <v>0.130359355098844</v>
      </c>
      <c r="AO121" s="2">
        <f>+AVERAGE($B120:AO120)</f>
        <v>0.13023420421029847</v>
      </c>
      <c r="AP121" s="2">
        <f>+AVERAGE($B120:AP120)</f>
        <v>0.13010819608055396</v>
      </c>
      <c r="AQ121" s="2">
        <f>+AVERAGE($B120:AQ120)</f>
        <v>0.12998033702914055</v>
      </c>
      <c r="AR121" s="2">
        <f>+AVERAGE($B120:AR120)</f>
        <v>0.12984937964445431</v>
      </c>
      <c r="AS121" s="2">
        <f>+AVERAGE($B120:AS120)</f>
        <v>0.1297136091401995</v>
      </c>
      <c r="AT121" s="2">
        <f>+AVERAGE($B120:AT120)</f>
        <v>0.12957048171613755</v>
      </c>
      <c r="AU121" s="2">
        <f>+AVERAGE($B120:AU120)</f>
        <v>0.129416025504421</v>
      </c>
      <c r="AV121" s="2">
        <f>+AVERAGE($B120:AV120)</f>
        <v>0.12926133766720987</v>
      </c>
      <c r="AW121" s="2">
        <f>+AVERAGE($B120:AW120)</f>
        <v>0.12910852646725299</v>
      </c>
      <c r="AX121" s="2">
        <f>+AVERAGE($B120:AX120)</f>
        <v>0.12895919475421694</v>
      </c>
      <c r="AY121" s="2">
        <f>+AVERAGE($B120:AY120)</f>
        <v>0.12881559912982657</v>
      </c>
      <c r="AZ121" s="2">
        <f>+AVERAGE($B120:AZ120)</f>
        <v>0.12868188801133837</v>
      </c>
      <c r="BA121" s="2">
        <f>+AVERAGE($B120:BA120)</f>
        <v>0.12850890526185638</v>
      </c>
      <c r="BB121" s="2">
        <f>+AVERAGE($B120:BB120)</f>
        <v>0.12831056376126121</v>
      </c>
      <c r="BC121" s="2">
        <f>+AVERAGE($B120:BC120)</f>
        <v>0.12809596740472351</v>
      </c>
      <c r="BD121" s="2">
        <f>+AVERAGE($B120:BD120)</f>
        <v>0.12787115883652264</v>
      </c>
      <c r="BE121" s="2">
        <f>+AVERAGE($B120:BE120)</f>
        <v>0.1276401965366406</v>
      </c>
      <c r="BF121" s="2">
        <f>+AVERAGE($B120:BF120)</f>
        <v>0.12740583568731167</v>
      </c>
      <c r="BG121" s="2">
        <f>+AVERAGE($B120:BG120)</f>
        <v>0.12716996646593023</v>
      </c>
      <c r="BH121" s="2">
        <f>+AVERAGE($B120:BH120)</f>
        <v>0.12693389986367579</v>
      </c>
      <c r="BI121" s="2">
        <f>+AVERAGE($B120:BI120)</f>
        <v>0.12669855581366785</v>
      </c>
    </row>
    <row r="122" spans="1:124" ht="21" customHeight="1" x14ac:dyDescent="0.35">
      <c r="A122" s="44" t="s">
        <v>52</v>
      </c>
    </row>
    <row r="123" spans="1:124" ht="21" customHeight="1" x14ac:dyDescent="0.35">
      <c r="A123" s="13" t="s">
        <v>45</v>
      </c>
      <c r="B123" s="8">
        <f>B110-B116</f>
        <v>47.0641184813677</v>
      </c>
      <c r="C123" s="2">
        <f>C110-C116</f>
        <v>56.335547096092277</v>
      </c>
      <c r="D123" s="2">
        <f t="shared" ref="D123:AH123" si="42">D110-D116</f>
        <v>66.720968646939554</v>
      </c>
      <c r="E123" s="2">
        <f t="shared" si="42"/>
        <v>78.223121813441466</v>
      </c>
      <c r="F123" s="2">
        <f t="shared" si="42"/>
        <v>90.841057961876189</v>
      </c>
      <c r="G123" s="2">
        <f t="shared" si="42"/>
        <v>104.56980020644892</v>
      </c>
      <c r="H123" s="2">
        <f t="shared" si="42"/>
        <v>119.40016097419264</v>
      </c>
      <c r="I123" s="2">
        <f t="shared" si="42"/>
        <v>135.31868923261783</v>
      </c>
      <c r="J123" s="2">
        <f t="shared" si="42"/>
        <v>152.30761832217723</v>
      </c>
      <c r="K123" s="2">
        <f t="shared" si="42"/>
        <v>170.34485790619493</v>
      </c>
      <c r="L123" s="2">
        <f t="shared" si="42"/>
        <v>189.40406069169944</v>
      </c>
      <c r="M123" s="2">
        <f t="shared" si="42"/>
        <v>209.45482567829634</v>
      </c>
      <c r="N123" s="2">
        <f t="shared" si="42"/>
        <v>230.46302578474192</v>
      </c>
      <c r="O123" s="2">
        <f t="shared" si="42"/>
        <v>252.39131541971875</v>
      </c>
      <c r="P123" s="2">
        <f t="shared" si="42"/>
        <v>275.19966401509316</v>
      </c>
      <c r="Q123" s="2">
        <f t="shared" si="42"/>
        <v>298.84601384579753</v>
      </c>
      <c r="R123" s="2">
        <f t="shared" si="42"/>
        <v>323.28696468590078</v>
      </c>
      <c r="S123" s="2">
        <f t="shared" si="42"/>
        <v>348.4786713603138</v>
      </c>
      <c r="T123" s="2">
        <f t="shared" si="42"/>
        <v>374.37805470635305</v>
      </c>
      <c r="U123" s="2">
        <f t="shared" si="42"/>
        <v>400.95513369059506</v>
      </c>
      <c r="V123" s="2">
        <f t="shared" si="42"/>
        <v>428.17796399490101</v>
      </c>
      <c r="W123" s="2">
        <f t="shared" si="42"/>
        <v>456.01332068638271</v>
      </c>
      <c r="X123" s="2">
        <f t="shared" si="42"/>
        <v>484.42768633756873</v>
      </c>
      <c r="Y123" s="2">
        <f t="shared" si="42"/>
        <v>513.38790934777523</v>
      </c>
      <c r="Z123" s="2">
        <f t="shared" si="42"/>
        <v>542.86180687626256</v>
      </c>
      <c r="AA123" s="2">
        <f t="shared" si="42"/>
        <v>572.81846944444612</v>
      </c>
      <c r="AB123" s="2">
        <f t="shared" si="42"/>
        <v>603.22856056389151</v>
      </c>
      <c r="AC123" s="2">
        <f t="shared" si="42"/>
        <v>634.06437903873962</v>
      </c>
      <c r="AD123" s="2">
        <f t="shared" si="42"/>
        <v>665.29983820119674</v>
      </c>
      <c r="AE123" s="2">
        <f t="shared" si="42"/>
        <v>697.3120848265919</v>
      </c>
      <c r="AF123" s="2">
        <f t="shared" si="42"/>
        <v>729.28279936045749</v>
      </c>
      <c r="AG123" s="2">
        <f t="shared" si="42"/>
        <v>761.62151855937168</v>
      </c>
      <c r="AH123" s="2">
        <f t="shared" si="42"/>
        <v>794.31026582582786</v>
      </c>
      <c r="AI123" s="2">
        <f t="shared" ref="AI123:BI123" si="43">AI110-AI116</f>
        <v>827.33491951333485</v>
      </c>
      <c r="AJ123" s="2">
        <f t="shared" si="43"/>
        <v>860.68480251806966</v>
      </c>
      <c r="AK123" s="2">
        <f t="shared" si="43"/>
        <v>894.35224732378492</v>
      </c>
      <c r="AL123" s="2">
        <f t="shared" si="43"/>
        <v>928.33190147710502</v>
      </c>
      <c r="AM123" s="2">
        <f t="shared" si="43"/>
        <v>962.61966647841166</v>
      </c>
      <c r="AN123" s="2">
        <f t="shared" si="43"/>
        <v>997.21052243697113</v>
      </c>
      <c r="AO123" s="2">
        <f t="shared" si="43"/>
        <v>1032.0949759079451</v>
      </c>
      <c r="AP123" s="2">
        <f t="shared" si="43"/>
        <v>1067.2520181228601</v>
      </c>
      <c r="AQ123" s="2">
        <f t="shared" si="43"/>
        <v>1102.6367148340332</v>
      </c>
      <c r="AR123" s="2">
        <f t="shared" si="43"/>
        <v>1138.1572393775598</v>
      </c>
      <c r="AS123" s="2">
        <f t="shared" si="43"/>
        <v>1173.6336415425139</v>
      </c>
      <c r="AT123" s="2">
        <f t="shared" si="43"/>
        <v>1208.7245088280717</v>
      </c>
      <c r="AU123" s="2">
        <f t="shared" si="43"/>
        <v>1250.5245850939191</v>
      </c>
      <c r="AV123" s="2">
        <f t="shared" si="43"/>
        <v>1290.8731256165213</v>
      </c>
      <c r="AW123" s="2">
        <f t="shared" si="43"/>
        <v>1331.7435483077004</v>
      </c>
      <c r="AX123" s="2">
        <f t="shared" si="43"/>
        <v>1373.6405116725798</v>
      </c>
      <c r="AY123" s="2">
        <f t="shared" si="43"/>
        <v>1417.2197503145123</v>
      </c>
      <c r="AZ123" s="2">
        <f t="shared" si="43"/>
        <v>1424.8132306289167</v>
      </c>
      <c r="BA123" s="2">
        <f t="shared" si="43"/>
        <v>1475.6252837562581</v>
      </c>
      <c r="BB123" s="2">
        <f t="shared" si="43"/>
        <v>1523.9602889609105</v>
      </c>
      <c r="BC123" s="2">
        <f t="shared" si="43"/>
        <v>1570.4726767338575</v>
      </c>
      <c r="BD123" s="2">
        <f t="shared" si="43"/>
        <v>1615.6064782411245</v>
      </c>
      <c r="BE123" s="2">
        <f t="shared" si="43"/>
        <v>1659.6611273479562</v>
      </c>
      <c r="BF123" s="2">
        <f t="shared" si="43"/>
        <v>1702.8362832162068</v>
      </c>
      <c r="BG123" s="2">
        <f t="shared" si="43"/>
        <v>1745.2627703052283</v>
      </c>
      <c r="BH123" s="2">
        <f t="shared" si="43"/>
        <v>1787.0241114882842</v>
      </c>
      <c r="BI123" s="2">
        <f t="shared" si="43"/>
        <v>1828.1715782399499</v>
      </c>
    </row>
    <row r="124" spans="1:124" ht="21" customHeight="1" x14ac:dyDescent="0.35">
      <c r="A124" s="13" t="s">
        <v>108</v>
      </c>
      <c r="B124" s="8">
        <f>+C124</f>
        <v>5.3042632878478004</v>
      </c>
      <c r="C124" s="8">
        <f t="shared" ref="C124:AH124" si="44">+(C117-B117)/(C2-B2)</f>
        <v>5.3042632878478004</v>
      </c>
      <c r="D124" s="8">
        <f t="shared" si="44"/>
        <v>6.0655740268966554</v>
      </c>
      <c r="E124" s="8">
        <f t="shared" si="44"/>
        <v>6.8283667049382135</v>
      </c>
      <c r="F124" s="8">
        <f t="shared" si="44"/>
        <v>7.5944087404062088</v>
      </c>
      <c r="G124" s="8">
        <f t="shared" si="44"/>
        <v>8.3640620030430686</v>
      </c>
      <c r="H124" s="8">
        <f t="shared" si="44"/>
        <v>9.1367340142034781</v>
      </c>
      <c r="I124" s="8">
        <f t="shared" si="44"/>
        <v>9.9111014348171356</v>
      </c>
      <c r="J124" s="8">
        <f t="shared" si="44"/>
        <v>10.685215098020956</v>
      </c>
      <c r="K124" s="8">
        <f t="shared" si="44"/>
        <v>11.456645331917775</v>
      </c>
      <c r="L124" s="8">
        <f t="shared" si="44"/>
        <v>12.222660924234503</v>
      </c>
      <c r="M124" s="8">
        <f t="shared" si="44"/>
        <v>12.98042681745269</v>
      </c>
      <c r="N124" s="8">
        <f t="shared" si="44"/>
        <v>13.727160194801446</v>
      </c>
      <c r="O124" s="8">
        <f t="shared" si="44"/>
        <v>14.460238241113711</v>
      </c>
      <c r="P124" s="8">
        <f t="shared" si="44"/>
        <v>15.177179942287557</v>
      </c>
      <c r="Q124" s="8">
        <f t="shared" si="44"/>
        <v>15.875616298038675</v>
      </c>
      <c r="R124" s="8">
        <f t="shared" si="44"/>
        <v>16.553139770092638</v>
      </c>
      <c r="S124" s="8">
        <f t="shared" si="44"/>
        <v>17.207096115159082</v>
      </c>
      <c r="T124" s="8">
        <f t="shared" si="44"/>
        <v>17.834116070026994</v>
      </c>
      <c r="U124" s="8">
        <f t="shared" si="44"/>
        <v>18.429230289580801</v>
      </c>
      <c r="V124" s="8">
        <f t="shared" si="44"/>
        <v>19.015307092374769</v>
      </c>
      <c r="W124" s="8">
        <f t="shared" si="44"/>
        <v>19.589866862147073</v>
      </c>
      <c r="X124" s="8">
        <f t="shared" si="44"/>
        <v>20.152041638757282</v>
      </c>
      <c r="Y124" s="8">
        <f t="shared" si="44"/>
        <v>20.70218261646469</v>
      </c>
      <c r="Z124" s="8">
        <f t="shared" si="44"/>
        <v>21.241664303531024</v>
      </c>
      <c r="AA124" s="8">
        <f t="shared" si="44"/>
        <v>21.772661503368635</v>
      </c>
      <c r="AB124" s="8">
        <f t="shared" si="44"/>
        <v>22.298144709170721</v>
      </c>
      <c r="AC124" s="8">
        <f t="shared" si="44"/>
        <v>22.821847624894325</v>
      </c>
      <c r="AD124" s="8">
        <f t="shared" si="44"/>
        <v>23.348436597646014</v>
      </c>
      <c r="AE124" s="8">
        <f t="shared" si="44"/>
        <v>23.883765908487657</v>
      </c>
      <c r="AF124" s="8">
        <f t="shared" si="44"/>
        <v>24.033509372037315</v>
      </c>
      <c r="AG124" s="8">
        <f t="shared" si="44"/>
        <v>24.534080843195444</v>
      </c>
      <c r="AH124" s="8">
        <f t="shared" si="44"/>
        <v>25.023530505034252</v>
      </c>
      <c r="AI124" s="8">
        <f t="shared" ref="AI124:BI124" si="45">+(AI117-AH117)/(AI2-AH2)</f>
        <v>25.506587164856047</v>
      </c>
      <c r="AJ124" s="8">
        <f t="shared" si="45"/>
        <v>25.987470594754178</v>
      </c>
      <c r="AK124" s="8">
        <f t="shared" si="45"/>
        <v>26.470254720056801</v>
      </c>
      <c r="AL124" s="8">
        <f t="shared" si="45"/>
        <v>26.959321222846484</v>
      </c>
      <c r="AM124" s="8">
        <f t="shared" si="45"/>
        <v>27.460148792523249</v>
      </c>
      <c r="AN124" s="8">
        <f t="shared" si="45"/>
        <v>27.980590699987442</v>
      </c>
      <c r="AO124" s="8">
        <f t="shared" si="45"/>
        <v>28.533450314239417</v>
      </c>
      <c r="AP124" s="8">
        <f t="shared" si="45"/>
        <v>29.1407886568335</v>
      </c>
      <c r="AQ124" s="8">
        <f t="shared" si="45"/>
        <v>29.842284837333683</v>
      </c>
      <c r="AR124" s="8">
        <f t="shared" si="45"/>
        <v>30.710027539568181</v>
      </c>
      <c r="AS124" s="8">
        <f t="shared" si="45"/>
        <v>31.875657386178865</v>
      </c>
      <c r="AT124" s="8">
        <f t="shared" si="45"/>
        <v>33.578905791823672</v>
      </c>
      <c r="AU124" s="8">
        <f t="shared" si="45"/>
        <v>36.253404992398281</v>
      </c>
      <c r="AV124" s="8">
        <f t="shared" si="45"/>
        <v>31.418418937193564</v>
      </c>
      <c r="AW124" s="8">
        <f t="shared" si="45"/>
        <v>30.446469095140674</v>
      </c>
      <c r="AX124" s="8">
        <f t="shared" si="45"/>
        <v>29.533142450054584</v>
      </c>
      <c r="AY124" s="8">
        <f t="shared" si="45"/>
        <v>28.027236694114798</v>
      </c>
      <c r="AZ124" s="8">
        <f t="shared" si="45"/>
        <v>25.054383151591718</v>
      </c>
      <c r="BA124" s="8">
        <f t="shared" si="45"/>
        <v>57.961010351865845</v>
      </c>
      <c r="BB124" s="8">
        <f t="shared" si="45"/>
        <v>51.918879788086812</v>
      </c>
      <c r="BC124" s="8">
        <f t="shared" si="45"/>
        <v>47.488518638401544</v>
      </c>
      <c r="BD124" s="8">
        <f t="shared" si="45"/>
        <v>44.237773256012225</v>
      </c>
      <c r="BE124" s="8">
        <f t="shared" si="45"/>
        <v>41.838197183366354</v>
      </c>
      <c r="BF124" s="8">
        <f t="shared" si="45"/>
        <v>40.045495225934793</v>
      </c>
      <c r="BG124" s="8">
        <f t="shared" si="45"/>
        <v>38.680670537228067</v>
      </c>
      <c r="BH124" s="8">
        <f t="shared" si="45"/>
        <v>37.61405804259757</v>
      </c>
      <c r="BI124" s="8">
        <f t="shared" si="45"/>
        <v>36.752620724102051</v>
      </c>
      <c r="BJ124" s="8"/>
      <c r="BK124" s="8"/>
      <c r="BL124" s="8"/>
      <c r="BM124" s="8"/>
      <c r="BN124" s="8"/>
      <c r="BO124" s="8"/>
      <c r="BP124" s="8"/>
      <c r="BQ124" s="8"/>
      <c r="BR124" s="8"/>
      <c r="BS124" s="8"/>
      <c r="BT124" s="8"/>
      <c r="BU124" s="8"/>
      <c r="BV124" s="8"/>
      <c r="BW124" s="8"/>
      <c r="BX124" s="8"/>
      <c r="BY124" s="8"/>
      <c r="BZ124" s="8"/>
      <c r="CA124" s="8"/>
      <c r="CB124" s="8"/>
      <c r="CC124" s="8"/>
      <c r="CD124" s="8"/>
      <c r="CE124" s="8"/>
      <c r="CF124" s="8"/>
      <c r="CG124" s="8"/>
      <c r="CH124" s="8"/>
      <c r="CI124" s="8"/>
      <c r="CJ124" s="8"/>
      <c r="CK124" s="8"/>
      <c r="CL124" s="8"/>
      <c r="CM124" s="8"/>
      <c r="CN124" s="8"/>
      <c r="CO124" s="8"/>
      <c r="CP124" s="8"/>
      <c r="CQ124" s="8"/>
      <c r="CR124" s="8"/>
      <c r="CS124" s="8"/>
      <c r="CT124" s="8"/>
      <c r="CU124" s="8"/>
      <c r="CV124" s="8"/>
      <c r="CW124" s="8"/>
      <c r="CX124" s="8"/>
      <c r="CY124" s="8"/>
      <c r="CZ124" s="8"/>
      <c r="DA124" s="8"/>
      <c r="DB124" s="8"/>
      <c r="DC124" s="8"/>
      <c r="DD124" s="8"/>
      <c r="DE124" s="8"/>
      <c r="DF124" s="8"/>
      <c r="DG124" s="8"/>
      <c r="DH124" s="8"/>
      <c r="DI124" s="8"/>
      <c r="DJ124" s="8"/>
      <c r="DK124" s="8"/>
      <c r="DL124" s="8"/>
      <c r="DM124" s="8"/>
      <c r="DN124" s="8"/>
      <c r="DO124" s="8"/>
      <c r="DP124" s="8"/>
      <c r="DQ124" s="8"/>
      <c r="DR124" s="8"/>
      <c r="DS124" s="8"/>
      <c r="DT124" s="8"/>
    </row>
    <row r="125" spans="1:124" ht="21" customHeight="1" x14ac:dyDescent="0.35">
      <c r="A125" s="13" t="s">
        <v>229</v>
      </c>
      <c r="B125" s="8">
        <f t="shared" ref="B125:AG125" si="46">+SUM(B123:B124)</f>
        <v>52.368381769215503</v>
      </c>
      <c r="C125" s="8">
        <f t="shared" si="46"/>
        <v>61.63981038394008</v>
      </c>
      <c r="D125" s="8">
        <f t="shared" si="46"/>
        <v>72.786542673836209</v>
      </c>
      <c r="E125" s="8">
        <f t="shared" si="46"/>
        <v>85.051488518379685</v>
      </c>
      <c r="F125" s="8">
        <f t="shared" si="46"/>
        <v>98.435466702282397</v>
      </c>
      <c r="G125" s="8">
        <f t="shared" si="46"/>
        <v>112.93386220949199</v>
      </c>
      <c r="H125" s="8">
        <f t="shared" si="46"/>
        <v>128.53689498839611</v>
      </c>
      <c r="I125" s="8">
        <f t="shared" si="46"/>
        <v>145.22979066743497</v>
      </c>
      <c r="J125" s="8">
        <f t="shared" si="46"/>
        <v>162.9928334201982</v>
      </c>
      <c r="K125" s="8">
        <f t="shared" si="46"/>
        <v>181.8015032381127</v>
      </c>
      <c r="L125" s="8">
        <f t="shared" si="46"/>
        <v>201.62672161593395</v>
      </c>
      <c r="M125" s="8">
        <f t="shared" si="46"/>
        <v>222.43525249574904</v>
      </c>
      <c r="N125" s="8">
        <f t="shared" si="46"/>
        <v>244.19018597954337</v>
      </c>
      <c r="O125" s="8">
        <f t="shared" si="46"/>
        <v>266.85155366083245</v>
      </c>
      <c r="P125" s="8">
        <f t="shared" si="46"/>
        <v>290.37684395738074</v>
      </c>
      <c r="Q125" s="8">
        <f t="shared" si="46"/>
        <v>314.72163014383619</v>
      </c>
      <c r="R125" s="8">
        <f t="shared" si="46"/>
        <v>339.84010445599341</v>
      </c>
      <c r="S125" s="8">
        <f t="shared" si="46"/>
        <v>365.68576747547286</v>
      </c>
      <c r="T125" s="8">
        <f t="shared" si="46"/>
        <v>392.21217077638005</v>
      </c>
      <c r="U125" s="8">
        <f t="shared" si="46"/>
        <v>419.38436398017586</v>
      </c>
      <c r="V125" s="8">
        <f t="shared" si="46"/>
        <v>447.19327108727578</v>
      </c>
      <c r="W125" s="8">
        <f t="shared" si="46"/>
        <v>475.60318754852977</v>
      </c>
      <c r="X125" s="8">
        <f t="shared" si="46"/>
        <v>504.57972797632601</v>
      </c>
      <c r="Y125" s="8">
        <f t="shared" si="46"/>
        <v>534.09009196423995</v>
      </c>
      <c r="Z125" s="8">
        <f t="shared" si="46"/>
        <v>564.10347117979359</v>
      </c>
      <c r="AA125" s="8">
        <f t="shared" si="46"/>
        <v>594.5911309478148</v>
      </c>
      <c r="AB125" s="8">
        <f t="shared" si="46"/>
        <v>625.52670527306225</v>
      </c>
      <c r="AC125" s="8">
        <f t="shared" si="46"/>
        <v>656.88622666363392</v>
      </c>
      <c r="AD125" s="8">
        <f t="shared" si="46"/>
        <v>688.64827479884275</v>
      </c>
      <c r="AE125" s="8">
        <f t="shared" si="46"/>
        <v>721.1958507350796</v>
      </c>
      <c r="AF125" s="8">
        <f t="shared" si="46"/>
        <v>753.3163087324948</v>
      </c>
      <c r="AG125" s="8">
        <f t="shared" si="46"/>
        <v>786.15559940256708</v>
      </c>
      <c r="AH125" s="8">
        <f t="shared" ref="AH125:BI125" si="47">+SUM(AH123:AH124)</f>
        <v>819.33379633086213</v>
      </c>
      <c r="AI125" s="8">
        <f t="shared" si="47"/>
        <v>852.84150667819085</v>
      </c>
      <c r="AJ125" s="8">
        <f t="shared" si="47"/>
        <v>886.67227311282386</v>
      </c>
      <c r="AK125" s="8">
        <f t="shared" si="47"/>
        <v>920.82250204384172</v>
      </c>
      <c r="AL125" s="8">
        <f t="shared" si="47"/>
        <v>955.2912226999515</v>
      </c>
      <c r="AM125" s="8">
        <f t="shared" si="47"/>
        <v>990.07981527093489</v>
      </c>
      <c r="AN125" s="8">
        <f t="shared" si="47"/>
        <v>1025.1911131369586</v>
      </c>
      <c r="AO125" s="8">
        <f t="shared" si="47"/>
        <v>1060.6284262221845</v>
      </c>
      <c r="AP125" s="8">
        <f t="shared" si="47"/>
        <v>1096.3928067796937</v>
      </c>
      <c r="AQ125" s="8">
        <f t="shared" si="47"/>
        <v>1132.4789996713669</v>
      </c>
      <c r="AR125" s="8">
        <f t="shared" si="47"/>
        <v>1168.8672669171281</v>
      </c>
      <c r="AS125" s="8">
        <f t="shared" si="47"/>
        <v>1205.5092989286927</v>
      </c>
      <c r="AT125" s="8">
        <f t="shared" si="47"/>
        <v>1242.3034146198954</v>
      </c>
      <c r="AU125" s="8">
        <f t="shared" si="47"/>
        <v>1286.7779900863175</v>
      </c>
      <c r="AV125" s="8">
        <f t="shared" si="47"/>
        <v>1322.2915445537149</v>
      </c>
      <c r="AW125" s="8">
        <f t="shared" si="47"/>
        <v>1362.190017402841</v>
      </c>
      <c r="AX125" s="8">
        <f t="shared" si="47"/>
        <v>1403.1736541226344</v>
      </c>
      <c r="AY125" s="8">
        <f t="shared" si="47"/>
        <v>1445.2469870086272</v>
      </c>
      <c r="AZ125" s="8">
        <f t="shared" si="47"/>
        <v>1449.8676137805085</v>
      </c>
      <c r="BA125" s="8">
        <f t="shared" si="47"/>
        <v>1533.5862941081239</v>
      </c>
      <c r="BB125" s="8">
        <f t="shared" si="47"/>
        <v>1575.8791687489972</v>
      </c>
      <c r="BC125" s="8">
        <f t="shared" si="47"/>
        <v>1617.961195372259</v>
      </c>
      <c r="BD125" s="8">
        <f t="shared" si="47"/>
        <v>1659.8442514971366</v>
      </c>
      <c r="BE125" s="8">
        <f t="shared" si="47"/>
        <v>1701.4993245313226</v>
      </c>
      <c r="BF125" s="8">
        <f t="shared" si="47"/>
        <v>1742.8817784421415</v>
      </c>
      <c r="BG125" s="8">
        <f t="shared" si="47"/>
        <v>1783.9434408424563</v>
      </c>
      <c r="BH125" s="8">
        <f t="shared" si="47"/>
        <v>1824.6381695308819</v>
      </c>
      <c r="BI125" s="8">
        <f t="shared" si="47"/>
        <v>1864.924198964052</v>
      </c>
      <c r="BJ125" s="8"/>
      <c r="BK125" s="8"/>
      <c r="BL125" s="8"/>
      <c r="BM125" s="8"/>
      <c r="BN125" s="8"/>
      <c r="BO125" s="8"/>
      <c r="BP125" s="8"/>
      <c r="BQ125" s="8"/>
      <c r="BR125" s="8"/>
      <c r="BS125" s="8"/>
      <c r="BT125" s="8"/>
      <c r="BU125" s="8"/>
      <c r="BV125" s="8"/>
      <c r="BW125" s="8"/>
      <c r="BX125" s="8"/>
      <c r="BY125" s="8"/>
      <c r="BZ125" s="8"/>
      <c r="CA125" s="8"/>
      <c r="CB125" s="8"/>
      <c r="CC125" s="8"/>
      <c r="CD125" s="8"/>
      <c r="CE125" s="8"/>
      <c r="CF125" s="8"/>
      <c r="CG125" s="8"/>
      <c r="CH125" s="8"/>
      <c r="CI125" s="8"/>
      <c r="CJ125" s="8"/>
      <c r="CK125" s="8"/>
      <c r="CL125" s="8"/>
      <c r="CM125" s="8"/>
      <c r="CN125" s="8"/>
      <c r="CO125" s="8"/>
      <c r="CP125" s="8"/>
      <c r="CQ125" s="8"/>
      <c r="CR125" s="8"/>
      <c r="CS125" s="8"/>
      <c r="CT125" s="8"/>
      <c r="CU125" s="8"/>
      <c r="CV125" s="8"/>
      <c r="CW125" s="8"/>
      <c r="CX125" s="8"/>
      <c r="CY125" s="8"/>
      <c r="CZ125" s="8"/>
      <c r="DA125" s="8"/>
      <c r="DB125" s="8"/>
      <c r="DC125" s="8"/>
      <c r="DD125" s="8"/>
      <c r="DE125" s="8"/>
      <c r="DF125" s="8"/>
      <c r="DG125" s="8"/>
      <c r="DH125" s="8"/>
      <c r="DI125" s="8"/>
      <c r="DJ125" s="8"/>
      <c r="DK125" s="8"/>
      <c r="DL125" s="8"/>
      <c r="DM125" s="8"/>
      <c r="DN125" s="8"/>
      <c r="DO125" s="8"/>
      <c r="DP125" s="8"/>
      <c r="DQ125" s="8"/>
      <c r="DR125" s="8"/>
      <c r="DS125" s="8"/>
      <c r="DT125" s="8"/>
    </row>
    <row r="126" spans="1:124" ht="21" customHeight="1" x14ac:dyDescent="0.35">
      <c r="A126" s="13" t="s">
        <v>65</v>
      </c>
      <c r="B126" s="2">
        <f t="shared" ref="B126:AG126" si="48">(B123/B53)*1000</f>
        <v>6.8827315708347028</v>
      </c>
      <c r="C126" s="2">
        <f t="shared" si="48"/>
        <v>7.7768421712482816</v>
      </c>
      <c r="D126" s="2">
        <f t="shared" si="48"/>
        <v>8.7619741902123831</v>
      </c>
      <c r="E126" s="2">
        <f t="shared" si="48"/>
        <v>9.838061335877498</v>
      </c>
      <c r="F126" s="2">
        <f t="shared" si="48"/>
        <v>11.005633790636878</v>
      </c>
      <c r="G126" s="2">
        <f t="shared" si="48"/>
        <v>12.265407041946226</v>
      </c>
      <c r="H126" s="2">
        <f t="shared" si="48"/>
        <v>13.618019866936397</v>
      </c>
      <c r="I126" s="2">
        <f t="shared" si="48"/>
        <v>15.063867545486755</v>
      </c>
      <c r="J126" s="2">
        <f t="shared" si="48"/>
        <v>16.602986469912818</v>
      </c>
      <c r="K126" s="2">
        <f t="shared" si="48"/>
        <v>18.234978440906279</v>
      </c>
      <c r="L126" s="2">
        <f t="shared" si="48"/>
        <v>19.958966818259796</v>
      </c>
      <c r="M126" s="2">
        <f t="shared" si="48"/>
        <v>21.773583444368949</v>
      </c>
      <c r="N126" s="2">
        <f t="shared" si="48"/>
        <v>23.676979627181311</v>
      </c>
      <c r="O126" s="2">
        <f t="shared" si="48"/>
        <v>25.666863352451898</v>
      </c>
      <c r="P126" s="2">
        <f t="shared" si="48"/>
        <v>27.740544495871376</v>
      </c>
      <c r="Q126" s="2">
        <f t="shared" si="48"/>
        <v>29.894996890374021</v>
      </c>
      <c r="R126" s="2">
        <f t="shared" si="48"/>
        <v>32.126926225621425</v>
      </c>
      <c r="S126" s="2">
        <f t="shared" si="48"/>
        <v>34.432861556028918</v>
      </c>
      <c r="T126" s="2">
        <f t="shared" si="48"/>
        <v>36.809279074081338</v>
      </c>
      <c r="U126" s="2">
        <f t="shared" si="48"/>
        <v>39.253815106303477</v>
      </c>
      <c r="V126" s="2">
        <f t="shared" si="48"/>
        <v>41.763783546557235</v>
      </c>
      <c r="W126" s="2">
        <f t="shared" si="48"/>
        <v>44.336263301411122</v>
      </c>
      <c r="X126" s="2">
        <f t="shared" si="48"/>
        <v>46.968211620870029</v>
      </c>
      <c r="Y126" s="2">
        <f t="shared" si="48"/>
        <v>49.656542223163996</v>
      </c>
      <c r="Z126" s="2">
        <f t="shared" si="48"/>
        <v>52.398195966057187</v>
      </c>
      <c r="AA126" s="2">
        <f t="shared" si="48"/>
        <v>55.190181088148435</v>
      </c>
      <c r="AB126" s="2">
        <f t="shared" si="48"/>
        <v>58.029611789452545</v>
      </c>
      <c r="AC126" s="2">
        <f t="shared" si="48"/>
        <v>60.913722884566042</v>
      </c>
      <c r="AD126" s="2">
        <f t="shared" si="48"/>
        <v>63.839875574148259</v>
      </c>
      <c r="AE126" s="2">
        <f t="shared" si="48"/>
        <v>66.844063365717489</v>
      </c>
      <c r="AF126" s="2">
        <f t="shared" si="48"/>
        <v>69.847633028090371</v>
      </c>
      <c r="AG126" s="2">
        <f t="shared" si="48"/>
        <v>72.889689107973339</v>
      </c>
      <c r="AH126" s="2">
        <f t="shared" ref="AH126:BI126" si="49">(AH123/AH53)*1000</f>
        <v>75.968309256091032</v>
      </c>
      <c r="AI126" s="2">
        <f t="shared" si="49"/>
        <v>79.081939273060584</v>
      </c>
      <c r="AJ126" s="2">
        <f t="shared" si="49"/>
        <v>82.229356042617525</v>
      </c>
      <c r="AK126" s="2">
        <f t="shared" si="49"/>
        <v>85.409627901837197</v>
      </c>
      <c r="AL126" s="2">
        <f t="shared" si="49"/>
        <v>88.622049966008518</v>
      </c>
      <c r="AM126" s="2">
        <f t="shared" si="49"/>
        <v>91.866044229409326</v>
      </c>
      <c r="AN126" s="2">
        <f t="shared" si="49"/>
        <v>95.140953157910928</v>
      </c>
      <c r="AO126" s="2">
        <f t="shared" si="49"/>
        <v>98.445701879827709</v>
      </c>
      <c r="AP126" s="2">
        <f t="shared" si="49"/>
        <v>101.77812760701981</v>
      </c>
      <c r="AQ126" s="2">
        <f t="shared" si="49"/>
        <v>105.13379745696476</v>
      </c>
      <c r="AR126" s="2">
        <f t="shared" si="49"/>
        <v>108.50382038282385</v>
      </c>
      <c r="AS126" s="2">
        <f t="shared" si="49"/>
        <v>111.87091913258924</v>
      </c>
      <c r="AT126" s="2">
        <f t="shared" si="49"/>
        <v>115.20244365903714</v>
      </c>
      <c r="AU126" s="2">
        <f t="shared" si="49"/>
        <v>119.17442580767697</v>
      </c>
      <c r="AV126" s="2">
        <f t="shared" si="49"/>
        <v>123.00895192282496</v>
      </c>
      <c r="AW126" s="2">
        <f t="shared" si="49"/>
        <v>126.89401885087797</v>
      </c>
      <c r="AX126" s="2">
        <f t="shared" si="49"/>
        <v>130.87762897327565</v>
      </c>
      <c r="AY126" s="2">
        <f t="shared" si="49"/>
        <v>135.02217419003145</v>
      </c>
      <c r="AZ126" s="2">
        <f t="shared" si="49"/>
        <v>135.73901655697912</v>
      </c>
      <c r="BA126" s="2">
        <f t="shared" si="49"/>
        <v>140.57385298378867</v>
      </c>
      <c r="BB126" s="2">
        <f t="shared" si="49"/>
        <v>145.17314103029869</v>
      </c>
      <c r="BC126" s="2">
        <f t="shared" si="49"/>
        <v>149.59921013016867</v>
      </c>
      <c r="BD126" s="2">
        <f t="shared" si="49"/>
        <v>153.89433649571711</v>
      </c>
      <c r="BE126" s="2">
        <f t="shared" si="49"/>
        <v>158.08701721161378</v>
      </c>
      <c r="BF126" s="2">
        <f t="shared" si="49"/>
        <v>162.19624331646602</v>
      </c>
      <c r="BG126" s="2">
        <f t="shared" si="49"/>
        <v>166.23444896494559</v>
      </c>
      <c r="BH126" s="2">
        <f t="shared" si="49"/>
        <v>170.20956363696706</v>
      </c>
      <c r="BI126" s="2">
        <f t="shared" si="49"/>
        <v>174.12644628823398</v>
      </c>
    </row>
    <row r="127" spans="1:124" ht="21" customHeight="1" x14ac:dyDescent="0.35">
      <c r="A127" s="13" t="s">
        <v>230</v>
      </c>
      <c r="B127" s="2">
        <f>((B126)^(1-$B$19)-1)/(1-$B$19)-1</f>
        <v>0.28940810148560803</v>
      </c>
      <c r="C127" s="2">
        <f t="shared" ref="C127:BI127" si="50">((C126)^(1-$B$19)-1)/(1-$B$19)-1</f>
        <v>0.33929276205219927</v>
      </c>
      <c r="D127" s="2">
        <f t="shared" si="50"/>
        <v>0.38543199414188445</v>
      </c>
      <c r="E127" s="2">
        <f t="shared" si="50"/>
        <v>0.42793385963515806</v>
      </c>
      <c r="F127" s="2">
        <f t="shared" si="50"/>
        <v>0.46702443242069425</v>
      </c>
      <c r="G127" s="2">
        <f t="shared" si="50"/>
        <v>0.50297101116823995</v>
      </c>
      <c r="H127" s="2">
        <f t="shared" si="50"/>
        <v>0.53604514976724316</v>
      </c>
      <c r="I127" s="2">
        <f t="shared" si="50"/>
        <v>0.56650579109803911</v>
      </c>
      <c r="J127" s="2">
        <f t="shared" si="50"/>
        <v>0.59459222838363601</v>
      </c>
      <c r="K127" s="2">
        <f t="shared" si="50"/>
        <v>0.62052206933745002</v>
      </c>
      <c r="L127" s="2">
        <f t="shared" si="50"/>
        <v>0.64449163549413191</v>
      </c>
      <c r="M127" s="2">
        <f t="shared" si="50"/>
        <v>0.66667749920628183</v>
      </c>
      <c r="N127" s="2">
        <f t="shared" si="50"/>
        <v>0.68723839783904661</v>
      </c>
      <c r="O127" s="2">
        <f t="shared" si="50"/>
        <v>0.70631723414577019</v>
      </c>
      <c r="P127" s="2">
        <f t="shared" si="50"/>
        <v>0.72404284582372558</v>
      </c>
      <c r="Q127" s="2">
        <f t="shared" si="50"/>
        <v>0.74053163969167657</v>
      </c>
      <c r="R127" s="2">
        <f t="shared" si="50"/>
        <v>0.75588899921600761</v>
      </c>
      <c r="S127" s="2">
        <f t="shared" si="50"/>
        <v>0.77021061851680073</v>
      </c>
      <c r="T127" s="2">
        <f t="shared" si="50"/>
        <v>0.78358377450511751</v>
      </c>
      <c r="U127" s="2">
        <f t="shared" si="50"/>
        <v>0.79609366112656099</v>
      </c>
      <c r="V127" s="2">
        <f t="shared" si="50"/>
        <v>0.807814766884837</v>
      </c>
      <c r="W127" s="2">
        <f t="shared" si="50"/>
        <v>0.81881293077007067</v>
      </c>
      <c r="X127" s="2">
        <f t="shared" si="50"/>
        <v>0.82914699389763546</v>
      </c>
      <c r="Y127" s="2">
        <f t="shared" si="50"/>
        <v>0.83886992276464478</v>
      </c>
      <c r="Z127" s="2">
        <f t="shared" si="50"/>
        <v>0.84802967314832589</v>
      </c>
      <c r="AA127" s="2">
        <f t="shared" si="50"/>
        <v>0.85666979858833225</v>
      </c>
      <c r="AB127" s="2">
        <f t="shared" si="50"/>
        <v>0.86482996709823956</v>
      </c>
      <c r="AC127" s="2">
        <f t="shared" si="50"/>
        <v>0.87254634603685433</v>
      </c>
      <c r="AD127" s="2">
        <f t="shared" si="50"/>
        <v>0.87985193129578976</v>
      </c>
      <c r="AE127" s="2">
        <f t="shared" si="50"/>
        <v>0.88686380811240473</v>
      </c>
      <c r="AF127" s="2">
        <f t="shared" si="50"/>
        <v>0.89343174984206186</v>
      </c>
      <c r="AG127" s="2">
        <f t="shared" si="50"/>
        <v>0.89967913225030571</v>
      </c>
      <c r="AH127" s="2">
        <f t="shared" si="50"/>
        <v>0.90562807726730599</v>
      </c>
      <c r="AI127" s="2">
        <f t="shared" si="50"/>
        <v>0.91129933176588152</v>
      </c>
      <c r="AJ127" s="2">
        <f t="shared" si="50"/>
        <v>0.91671225326225403</v>
      </c>
      <c r="AK127" s="2">
        <f t="shared" si="50"/>
        <v>0.9218848249736149</v>
      </c>
      <c r="AL127" s="2">
        <f t="shared" si="50"/>
        <v>0.92683365658503214</v>
      </c>
      <c r="AM127" s="2">
        <f t="shared" si="50"/>
        <v>0.93157396108889778</v>
      </c>
      <c r="AN127" s="2">
        <f t="shared" si="50"/>
        <v>0.93611941960154166</v>
      </c>
      <c r="AO127" s="2">
        <f t="shared" si="50"/>
        <v>0.94048194060522339</v>
      </c>
      <c r="AP127" s="2">
        <f t="shared" si="50"/>
        <v>0.94467110451772807</v>
      </c>
      <c r="AQ127" s="2">
        <f t="shared" si="50"/>
        <v>0.94869319053646395</v>
      </c>
      <c r="AR127" s="2">
        <f t="shared" si="50"/>
        <v>0.95254937355393232</v>
      </c>
      <c r="AS127" s="2">
        <f t="shared" si="50"/>
        <v>0.95623256891238295</v>
      </c>
      <c r="AT127" s="2">
        <f t="shared" si="50"/>
        <v>0.95972196995735648</v>
      </c>
      <c r="AU127" s="2">
        <f t="shared" si="50"/>
        <v>0.96369569904782404</v>
      </c>
      <c r="AV127" s="2">
        <f t="shared" si="50"/>
        <v>0.96735383954711596</v>
      </c>
      <c r="AW127" s="2">
        <f t="shared" si="50"/>
        <v>0.97089532608536788</v>
      </c>
      <c r="AX127" s="2">
        <f t="shared" si="50"/>
        <v>0.97436701477987042</v>
      </c>
      <c r="AY127" s="2">
        <f t="shared" si="50"/>
        <v>0.97781997624725658</v>
      </c>
      <c r="AZ127" s="2">
        <f t="shared" si="50"/>
        <v>0.97840163552403991</v>
      </c>
      <c r="BA127" s="2">
        <f t="shared" si="50"/>
        <v>0.98221161296772053</v>
      </c>
      <c r="BB127" s="2">
        <f t="shared" si="50"/>
        <v>0.98566366478712997</v>
      </c>
      <c r="BC127" s="2">
        <f t="shared" si="50"/>
        <v>0.98883917769482466</v>
      </c>
      <c r="BD127" s="2">
        <f t="shared" si="50"/>
        <v>0.99179313509195133</v>
      </c>
      <c r="BE127" s="2">
        <f t="shared" si="50"/>
        <v>0.99456355247411299</v>
      </c>
      <c r="BF127" s="2">
        <f t="shared" si="50"/>
        <v>0.99717734560944482</v>
      </c>
      <c r="BG127" s="2">
        <f t="shared" si="50"/>
        <v>0.99965406831359438</v>
      </c>
      <c r="BH127" s="2">
        <f t="shared" si="50"/>
        <v>1.0020083340791319</v>
      </c>
      <c r="BI127" s="2">
        <f t="shared" si="50"/>
        <v>1.0042514038709447</v>
      </c>
    </row>
    <row r="128" spans="1:124" ht="21" customHeight="1" x14ac:dyDescent="0.35">
      <c r="A128" s="13" t="s">
        <v>231</v>
      </c>
      <c r="B128" s="8">
        <f t="shared" ref="B128:AG128" si="51">B$18*B$53*B127</f>
        <v>1978.9725979585876</v>
      </c>
      <c r="C128" s="8">
        <f t="shared" si="51"/>
        <v>2281.516505715394</v>
      </c>
      <c r="D128" s="8">
        <f t="shared" si="51"/>
        <v>2528.9934970446802</v>
      </c>
      <c r="E128" s="8">
        <f t="shared" si="51"/>
        <v>2721.5206591668707</v>
      </c>
      <c r="F128" s="8">
        <f t="shared" si="51"/>
        <v>2862.1071073594121</v>
      </c>
      <c r="G128" s="8">
        <f t="shared" si="51"/>
        <v>2955.3996107904431</v>
      </c>
      <c r="H128" s="8">
        <f t="shared" si="51"/>
        <v>3006.8450760734108</v>
      </c>
      <c r="I128" s="8">
        <f t="shared" si="51"/>
        <v>3022.1371469118094</v>
      </c>
      <c r="J128" s="8">
        <f t="shared" si="51"/>
        <v>3006.858225906853</v>
      </c>
      <c r="K128" s="8">
        <f t="shared" si="51"/>
        <v>2966.2592466617029</v>
      </c>
      <c r="L128" s="8">
        <f t="shared" si="51"/>
        <v>2905.1355603152601</v>
      </c>
      <c r="M128" s="8">
        <f t="shared" si="51"/>
        <v>2827.7690349813561</v>
      </c>
      <c r="N128" s="8">
        <f t="shared" si="51"/>
        <v>2737.9142414169592</v>
      </c>
      <c r="O128" s="8">
        <f t="shared" si="51"/>
        <v>2638.8133077910516</v>
      </c>
      <c r="P128" s="8">
        <f t="shared" si="51"/>
        <v>2533.2276948346821</v>
      </c>
      <c r="Q128" s="8">
        <f t="shared" si="51"/>
        <v>2423.4798038575032</v>
      </c>
      <c r="R128" s="8">
        <f t="shared" si="51"/>
        <v>2311.4987486612272</v>
      </c>
      <c r="S128" s="8">
        <f t="shared" si="51"/>
        <v>2198.8671763751618</v>
      </c>
      <c r="T128" s="8">
        <f t="shared" si="51"/>
        <v>2086.8666745290011</v>
      </c>
      <c r="U128" s="8">
        <f t="shared" si="51"/>
        <v>1976.5329472139597</v>
      </c>
      <c r="V128" s="8">
        <f t="shared" si="51"/>
        <v>1868.6675302711365</v>
      </c>
      <c r="W128" s="8">
        <f t="shared" si="51"/>
        <v>1763.8786265786475</v>
      </c>
      <c r="X128" s="8">
        <f t="shared" si="51"/>
        <v>1662.6154627772862</v>
      </c>
      <c r="Y128" s="8">
        <f t="shared" si="51"/>
        <v>1565.1967103702746</v>
      </c>
      <c r="Z128" s="8">
        <f t="shared" si="51"/>
        <v>1471.8343418925385</v>
      </c>
      <c r="AA128" s="8">
        <f t="shared" si="51"/>
        <v>1382.6535360962498</v>
      </c>
      <c r="AB128" s="8">
        <f t="shared" si="51"/>
        <v>1297.7094518100671</v>
      </c>
      <c r="AC128" s="8">
        <f t="shared" si="51"/>
        <v>1217.0012183907124</v>
      </c>
      <c r="AD128" s="8">
        <f t="shared" si="51"/>
        <v>1140.4836476421497</v>
      </c>
      <c r="AE128" s="8">
        <f t="shared" si="51"/>
        <v>1068.1817547959265</v>
      </c>
      <c r="AF128" s="8">
        <f t="shared" si="51"/>
        <v>999.76820627181439</v>
      </c>
      <c r="AG128" s="8">
        <f t="shared" si="51"/>
        <v>935.24244096635005</v>
      </c>
      <c r="AH128" s="8">
        <f t="shared" ref="AH128:BI128" si="52">AH$18*AH$53*AH127</f>
        <v>874.46178136453364</v>
      </c>
      <c r="AI128" s="8">
        <f t="shared" si="52"/>
        <v>817.27483214169172</v>
      </c>
      <c r="AJ128" s="8">
        <f t="shared" si="52"/>
        <v>763.52471458457876</v>
      </c>
      <c r="AK128" s="8">
        <f t="shared" si="52"/>
        <v>713.0517422547673</v>
      </c>
      <c r="AL128" s="8">
        <f t="shared" si="52"/>
        <v>665.69558173004157</v>
      </c>
      <c r="AM128" s="8">
        <f t="shared" si="52"/>
        <v>621.29697471134602</v>
      </c>
      <c r="AN128" s="8">
        <f t="shared" si="52"/>
        <v>579.69904081213883</v>
      </c>
      <c r="AO128" s="8">
        <f t="shared" si="52"/>
        <v>540.74825447610283</v>
      </c>
      <c r="AP128" s="8">
        <f t="shared" si="52"/>
        <v>504.29505466072533</v>
      </c>
      <c r="AQ128" s="8">
        <f t="shared" si="52"/>
        <v>470.19414835849346</v>
      </c>
      <c r="AR128" s="8">
        <f t="shared" si="52"/>
        <v>438.30442854485239</v>
      </c>
      <c r="AS128" s="8">
        <f t="shared" si="52"/>
        <v>408.48845950677708</v>
      </c>
      <c r="AT128" s="8">
        <f t="shared" si="52"/>
        <v>380.6113883772299</v>
      </c>
      <c r="AU128" s="8">
        <f t="shared" si="52"/>
        <v>354.80487699965738</v>
      </c>
      <c r="AV128" s="8">
        <f t="shared" si="52"/>
        <v>330.63017249053235</v>
      </c>
      <c r="AW128" s="8">
        <f t="shared" si="52"/>
        <v>308.05760255186539</v>
      </c>
      <c r="AX128" s="8">
        <f t="shared" si="52"/>
        <v>286.99881637236854</v>
      </c>
      <c r="AY128" s="8">
        <f t="shared" si="52"/>
        <v>267.36875477829659</v>
      </c>
      <c r="AZ128" s="8">
        <f t="shared" si="52"/>
        <v>248.34753208368258</v>
      </c>
      <c r="BA128" s="8">
        <f t="shared" si="52"/>
        <v>231.4386196582216</v>
      </c>
      <c r="BB128" s="8">
        <f t="shared" si="52"/>
        <v>215.59820424977815</v>
      </c>
      <c r="BC128" s="8">
        <f t="shared" si="52"/>
        <v>200.78235930581792</v>
      </c>
      <c r="BD128" s="8">
        <f t="shared" si="52"/>
        <v>186.94017245499401</v>
      </c>
      <c r="BE128" s="8">
        <f t="shared" si="52"/>
        <v>174.01798596823591</v>
      </c>
      <c r="BF128" s="8">
        <f t="shared" si="52"/>
        <v>161.96183098013123</v>
      </c>
      <c r="BG128" s="8">
        <f t="shared" si="52"/>
        <v>150.71882270086502</v>
      </c>
      <c r="BH128" s="8">
        <f t="shared" si="52"/>
        <v>140.23794380200181</v>
      </c>
      <c r="BI128" s="8">
        <f t="shared" si="52"/>
        <v>130.47046198533636</v>
      </c>
      <c r="BJ128" s="8"/>
      <c r="BK128" s="8"/>
      <c r="BL128" s="8"/>
      <c r="BM128" s="8"/>
      <c r="BN128" s="8"/>
      <c r="BO128" s="8"/>
      <c r="BP128" s="8"/>
      <c r="BQ128" s="8"/>
      <c r="BR128" s="8"/>
      <c r="BS128" s="8"/>
      <c r="BT128" s="8"/>
      <c r="BU128" s="8"/>
      <c r="BV128" s="8"/>
      <c r="BW128" s="8"/>
      <c r="BX128" s="8"/>
      <c r="BY128" s="8"/>
      <c r="BZ128" s="8"/>
      <c r="CA128" s="8"/>
      <c r="CB128" s="8"/>
      <c r="CC128" s="8"/>
      <c r="CD128" s="8"/>
      <c r="CE128" s="8"/>
      <c r="CF128" s="8"/>
      <c r="CG128" s="8"/>
      <c r="CH128" s="8"/>
      <c r="CI128" s="8"/>
      <c r="CJ128" s="8"/>
      <c r="CK128" s="8"/>
      <c r="CL128" s="8"/>
      <c r="CM128" s="8"/>
      <c r="CN128" s="8"/>
      <c r="CO128" s="8"/>
      <c r="CP128" s="8"/>
      <c r="CQ128" s="8"/>
      <c r="CR128" s="8"/>
      <c r="CS128" s="8"/>
      <c r="CT128" s="8"/>
      <c r="CU128" s="8"/>
      <c r="CV128" s="8"/>
      <c r="CW128" s="8"/>
      <c r="CX128" s="8"/>
      <c r="CY128" s="8"/>
      <c r="CZ128" s="8"/>
      <c r="DA128" s="8"/>
      <c r="DB128" s="8"/>
      <c r="DC128" s="8"/>
      <c r="DD128" s="8"/>
      <c r="DE128" s="8"/>
      <c r="DF128" s="8"/>
      <c r="DG128" s="8"/>
      <c r="DH128" s="8"/>
      <c r="DI128" s="8"/>
      <c r="DJ128" s="8"/>
      <c r="DK128" s="8"/>
      <c r="DL128" s="8"/>
      <c r="DM128" s="8"/>
      <c r="DN128" s="8"/>
      <c r="DO128" s="8"/>
      <c r="DP128" s="8"/>
      <c r="DQ128" s="8"/>
      <c r="DR128" s="8"/>
      <c r="DS128" s="8"/>
      <c r="DT128" s="8"/>
    </row>
    <row r="129" spans="1:124" ht="30" customHeight="1" x14ac:dyDescent="0.35">
      <c r="A129" s="45" t="s">
        <v>232</v>
      </c>
      <c r="B129" s="91">
        <f>SUM(B128:DQ128)*5*B49+B50</f>
        <v>2694.6370357384585</v>
      </c>
      <c r="C129" s="91">
        <v>2688.7871864330928</v>
      </c>
      <c r="D129" s="12">
        <f>+B129-C129</f>
        <v>5.8498493053657512</v>
      </c>
    </row>
    <row r="130" spans="1:124" ht="37.25" customHeight="1" thickBot="1" x14ac:dyDescent="0.4">
      <c r="A130" s="46" t="s">
        <v>27</v>
      </c>
      <c r="C130" s="47"/>
      <c r="D130" s="47"/>
    </row>
    <row r="131" spans="1:124" s="119" customFormat="1" ht="23.4" customHeight="1" thickTop="1" x14ac:dyDescent="0.35">
      <c r="A131" s="116" t="s">
        <v>90</v>
      </c>
      <c r="B131" s="147">
        <v>0.25795812594001399</v>
      </c>
      <c r="C131" s="117">
        <v>0.25511678812409011</v>
      </c>
      <c r="D131" s="117">
        <v>0.25252802427428017</v>
      </c>
      <c r="E131" s="117">
        <v>0.25020956772436381</v>
      </c>
      <c r="F131" s="117">
        <v>0.2481552469823238</v>
      </c>
      <c r="G131" s="117">
        <v>0.24634814996173846</v>
      </c>
      <c r="H131" s="117">
        <v>0.24476698996275215</v>
      </c>
      <c r="I131" s="117">
        <v>0.24338909993327604</v>
      </c>
      <c r="J131" s="117">
        <v>0.24219227400546323</v>
      </c>
      <c r="K131" s="117">
        <v>0.24115588214534792</v>
      </c>
      <c r="L131" s="117">
        <v>0.24026150867249696</v>
      </c>
      <c r="M131" s="117">
        <v>0.23949311141371168</v>
      </c>
      <c r="N131" s="117">
        <v>0.23883689427227053</v>
      </c>
      <c r="O131" s="117">
        <v>0.23828078897803687</v>
      </c>
      <c r="P131" s="117">
        <v>0.23781401494219165</v>
      </c>
      <c r="Q131" s="117">
        <v>0.23742642550701054</v>
      </c>
      <c r="R131" s="117">
        <v>0.23710785652392138</v>
      </c>
      <c r="S131" s="117">
        <v>0.23684703205480417</v>
      </c>
      <c r="T131" s="117">
        <v>0.23662980779339443</v>
      </c>
      <c r="U131" s="117">
        <v>0.2364766752320539</v>
      </c>
      <c r="V131" s="117">
        <v>0.23638152967662066</v>
      </c>
      <c r="W131" s="117">
        <v>0.23634043118378459</v>
      </c>
      <c r="X131" s="117">
        <v>0.23635103874149985</v>
      </c>
      <c r="Y131" s="117">
        <v>0.23641234945292194</v>
      </c>
      <c r="Z131" s="117">
        <v>0.23652439593263558</v>
      </c>
      <c r="AA131" s="117">
        <v>0.23668823907344283</v>
      </c>
      <c r="AB131" s="117">
        <v>0.23690591864236035</v>
      </c>
      <c r="AC131" s="117">
        <v>0.23718064345108103</v>
      </c>
      <c r="AD131" s="117">
        <v>0.23751707143668549</v>
      </c>
      <c r="AE131" s="117">
        <v>0.23748240011358901</v>
      </c>
      <c r="AF131" s="117">
        <v>0.23778955120526299</v>
      </c>
      <c r="AG131" s="117">
        <v>0.23813080763560601</v>
      </c>
      <c r="AH131" s="117">
        <v>0.238505650017792</v>
      </c>
      <c r="AI131" s="117">
        <v>0.238913716179254</v>
      </c>
      <c r="AJ131" s="117">
        <v>0.23935495851553501</v>
      </c>
      <c r="AK131" s="117">
        <v>0.239829922012531</v>
      </c>
      <c r="AL131" s="117">
        <v>0.24034033132468099</v>
      </c>
      <c r="AM131" s="117">
        <v>0.24089009911753201</v>
      </c>
      <c r="AN131" s="117">
        <v>0.24148736410706301</v>
      </c>
      <c r="AO131" s="117">
        <v>0.24214788078489</v>
      </c>
      <c r="AP131" s="117">
        <v>0.24290140488952799</v>
      </c>
      <c r="AQ131" s="117">
        <v>0.24380273491736701</v>
      </c>
      <c r="AR131" s="117">
        <v>0.24495135804013099</v>
      </c>
      <c r="AS131" s="117">
        <v>0.24652554216615</v>
      </c>
      <c r="AT131" s="117">
        <v>0.24884063584274799</v>
      </c>
      <c r="AU131" s="117">
        <v>0.24710573688184301</v>
      </c>
      <c r="AV131" s="117">
        <v>0.24651311712087301</v>
      </c>
      <c r="AW131" s="117">
        <v>0.24573792403446401</v>
      </c>
      <c r="AX131" s="117">
        <v>0.244467711019796</v>
      </c>
      <c r="AY131" s="117">
        <v>0.242206858344204</v>
      </c>
      <c r="AZ131" s="117">
        <v>0.258278145695364</v>
      </c>
      <c r="BA131" s="117">
        <v>0.258278145695364</v>
      </c>
      <c r="BB131" s="117">
        <v>0.258278145695364</v>
      </c>
      <c r="BC131" s="117">
        <v>0.258278145695364</v>
      </c>
      <c r="BD131" s="117">
        <v>0.258278145695364</v>
      </c>
      <c r="BE131" s="117">
        <v>0.258278145695364</v>
      </c>
      <c r="BF131" s="117">
        <v>0.258278145695364</v>
      </c>
      <c r="BG131" s="117">
        <v>0.258278145695364</v>
      </c>
      <c r="BH131" s="117">
        <v>0.258278145695364</v>
      </c>
      <c r="BI131" s="117">
        <v>0.258278145695364</v>
      </c>
      <c r="BJ131" s="118"/>
      <c r="BK131" s="118"/>
      <c r="BL131" s="118"/>
      <c r="BM131" s="118"/>
      <c r="BN131" s="118"/>
      <c r="BO131" s="118"/>
      <c r="BP131" s="118"/>
      <c r="BQ131" s="118"/>
      <c r="BR131" s="118"/>
      <c r="BS131" s="118"/>
      <c r="BT131" s="118"/>
      <c r="BU131" s="118"/>
      <c r="BV131" s="118"/>
      <c r="BW131" s="118"/>
      <c r="BX131" s="118"/>
      <c r="BY131" s="118"/>
      <c r="BZ131" s="118"/>
      <c r="CA131" s="118"/>
      <c r="CB131" s="118"/>
      <c r="CC131" s="118"/>
      <c r="CD131" s="118"/>
      <c r="CE131" s="118"/>
      <c r="CF131" s="118"/>
      <c r="CG131" s="118"/>
      <c r="CH131" s="118"/>
      <c r="CI131" s="118"/>
      <c r="CJ131" s="118"/>
      <c r="CK131" s="118"/>
      <c r="CL131" s="118"/>
      <c r="CM131" s="118"/>
      <c r="CN131" s="118"/>
      <c r="CO131" s="118"/>
      <c r="CP131" s="118"/>
      <c r="CQ131" s="118"/>
      <c r="CR131" s="118"/>
      <c r="CS131" s="118"/>
      <c r="CT131" s="118"/>
      <c r="CU131" s="118"/>
      <c r="CV131" s="118"/>
      <c r="CW131" s="118"/>
      <c r="CX131" s="118"/>
      <c r="CY131" s="118"/>
      <c r="CZ131" s="118"/>
      <c r="DA131" s="118"/>
      <c r="DB131" s="118"/>
      <c r="DC131" s="118"/>
      <c r="DD131" s="118"/>
      <c r="DE131" s="118"/>
      <c r="DF131" s="118"/>
      <c r="DG131" s="118"/>
      <c r="DH131" s="118"/>
      <c r="DI131" s="118"/>
      <c r="DJ131" s="118"/>
      <c r="DK131" s="118"/>
      <c r="DL131" s="118"/>
      <c r="DM131" s="118"/>
      <c r="DN131" s="118"/>
      <c r="DO131" s="118"/>
      <c r="DP131" s="118"/>
      <c r="DQ131" s="118"/>
      <c r="DR131" s="118"/>
      <c r="DS131" s="118"/>
      <c r="DT131" s="118"/>
    </row>
    <row r="132" spans="1:124" s="172" customFormat="1" ht="21" customHeight="1" x14ac:dyDescent="0.35">
      <c r="A132" s="168" t="s">
        <v>301</v>
      </c>
      <c r="B132" s="169">
        <v>1</v>
      </c>
      <c r="C132" s="170">
        <v>1.1040808032</v>
      </c>
      <c r="D132" s="170">
        <v>1.21899442</v>
      </c>
      <c r="E132" s="170">
        <v>1.3458683383000001</v>
      </c>
      <c r="F132" s="170">
        <v>1.485947396</v>
      </c>
      <c r="G132" s="170">
        <v>1.6406059945</v>
      </c>
      <c r="H132" s="170">
        <v>1.8113615840999999</v>
      </c>
      <c r="I132" s="170">
        <v>1.9998895527</v>
      </c>
      <c r="J132" s="170">
        <v>2.2080396636000001</v>
      </c>
      <c r="K132" s="170">
        <v>2.4378542052999999</v>
      </c>
      <c r="L132" s="170">
        <v>2.6915880291000001</v>
      </c>
      <c r="M132" s="170">
        <v>2.9717306730000002</v>
      </c>
      <c r="N132" s="170">
        <v>3.2810307883999998</v>
      </c>
      <c r="O132" s="170">
        <v>3.6225231081000002</v>
      </c>
      <c r="P132" s="170">
        <v>3.9995582228000002</v>
      </c>
      <c r="Q132" s="170">
        <v>4.4158354550999999</v>
      </c>
      <c r="R132" s="170">
        <v>4.8754391560999997</v>
      </c>
      <c r="S132" s="170">
        <v>5.3828787794000004</v>
      </c>
      <c r="T132" s="170">
        <v>5.9431331263000002</v>
      </c>
      <c r="U132" s="170">
        <v>6.5616991956000001</v>
      </c>
      <c r="V132" s="170">
        <v>7.2446461183000004</v>
      </c>
      <c r="W132" s="170">
        <v>7.9986747051</v>
      </c>
      <c r="X132" s="170">
        <v>8.8311831929999993</v>
      </c>
      <c r="Y132" s="170">
        <v>9.7503398328999999</v>
      </c>
      <c r="Z132" s="170">
        <v>10.7651630342</v>
      </c>
      <c r="AA132" s="170">
        <v>11.8856098494</v>
      </c>
      <c r="AB132" s="170">
        <v>13.122673668999999</v>
      </c>
      <c r="AC132" s="170">
        <v>14.488492084600001</v>
      </c>
      <c r="AD132" s="170">
        <v>15.996465978</v>
      </c>
      <c r="AE132" s="170">
        <v>17.661391005300001</v>
      </c>
      <c r="AF132" s="170">
        <v>19.499602766799999</v>
      </c>
      <c r="AG132" s="170">
        <v>21.529137084799999</v>
      </c>
      <c r="AH132" s="170">
        <v>23.769906964800001</v>
      </c>
      <c r="AI132" s="170">
        <v>26.243897973700001</v>
      </c>
      <c r="AJ132" s="170">
        <v>28.9753839539</v>
      </c>
      <c r="AK132" s="170">
        <v>31.9911651888</v>
      </c>
      <c r="AL132" s="170">
        <v>35.320831357000003</v>
      </c>
      <c r="AM132" s="170">
        <v>38.997051854299997</v>
      </c>
      <c r="AN132" s="170">
        <v>43.055896333699998</v>
      </c>
      <c r="AO132" s="170">
        <v>47.537188606699999</v>
      </c>
      <c r="AP132" s="170">
        <v>52.484897378699998</v>
      </c>
      <c r="AQ132" s="170">
        <v>57.9475676538</v>
      </c>
      <c r="AR132" s="170">
        <v>63.9787970386</v>
      </c>
      <c r="AS132" s="170">
        <v>70.637761622200003</v>
      </c>
      <c r="AT132" s="170">
        <v>77.989796588100006</v>
      </c>
      <c r="AU132" s="170">
        <v>152.8594849383</v>
      </c>
      <c r="AV132" s="170">
        <v>149.03799781480001</v>
      </c>
      <c r="AW132" s="170">
        <v>145.31204786949999</v>
      </c>
      <c r="AX132" s="170">
        <v>141.6792466727</v>
      </c>
      <c r="AY132" s="170">
        <v>138.13726550589999</v>
      </c>
      <c r="AZ132" s="170">
        <v>134.68383386830001</v>
      </c>
      <c r="BA132" s="170">
        <v>131.3167380216</v>
      </c>
      <c r="BB132" s="170">
        <v>128.03381957100001</v>
      </c>
      <c r="BC132" s="170">
        <v>124.8329740817</v>
      </c>
      <c r="BD132" s="170">
        <v>121.7121497297</v>
      </c>
      <c r="BE132" s="170">
        <v>118.66934598650001</v>
      </c>
      <c r="BF132" s="170">
        <v>109.98559139379999</v>
      </c>
      <c r="BG132" s="170">
        <v>63.4998585612</v>
      </c>
      <c r="BH132" s="170">
        <v>24.595649848600001</v>
      </c>
      <c r="BI132" s="170">
        <v>0</v>
      </c>
      <c r="BJ132" s="171"/>
      <c r="BK132" s="171"/>
      <c r="BL132" s="171"/>
      <c r="BM132" s="171"/>
      <c r="BN132" s="171"/>
      <c r="BO132" s="171"/>
      <c r="BP132" s="171"/>
      <c r="BQ132" s="171"/>
      <c r="BR132" s="171"/>
      <c r="BS132" s="171"/>
      <c r="BT132" s="171"/>
      <c r="BU132" s="171"/>
      <c r="BV132" s="171"/>
      <c r="BW132" s="171"/>
      <c r="BX132" s="171"/>
      <c r="BY132" s="171"/>
      <c r="BZ132" s="171"/>
      <c r="CA132" s="171"/>
      <c r="CB132" s="171"/>
      <c r="CC132" s="171"/>
      <c r="CD132" s="171"/>
      <c r="CE132" s="171"/>
      <c r="CF132" s="171"/>
      <c r="CG132" s="171"/>
      <c r="CH132" s="171"/>
      <c r="CI132" s="171"/>
      <c r="CJ132" s="171"/>
      <c r="CK132" s="171"/>
      <c r="CL132" s="171"/>
      <c r="CM132" s="171"/>
      <c r="CN132" s="171"/>
      <c r="CO132" s="171"/>
      <c r="CP132" s="171"/>
      <c r="CQ132" s="171"/>
      <c r="CR132" s="171"/>
      <c r="CS132" s="171"/>
      <c r="CT132" s="171"/>
      <c r="CU132" s="171"/>
      <c r="CV132" s="171"/>
      <c r="CW132" s="171"/>
      <c r="CX132" s="171"/>
      <c r="CY132" s="171"/>
      <c r="CZ132" s="171"/>
      <c r="DA132" s="171"/>
      <c r="DB132" s="171"/>
      <c r="DC132" s="171"/>
      <c r="DD132" s="171"/>
      <c r="DE132" s="171"/>
      <c r="DF132" s="171"/>
      <c r="DG132" s="171"/>
      <c r="DH132" s="171"/>
      <c r="DI132" s="171"/>
      <c r="DJ132" s="171"/>
      <c r="DK132" s="171"/>
      <c r="DL132" s="171"/>
      <c r="DM132" s="171"/>
      <c r="DN132" s="171"/>
      <c r="DO132" s="171"/>
      <c r="DP132" s="171"/>
      <c r="DQ132" s="171"/>
      <c r="DR132" s="171"/>
      <c r="DS132" s="171"/>
      <c r="DT132" s="171"/>
    </row>
    <row r="133" spans="1:124" s="110" customFormat="1" ht="23.4" customHeight="1" x14ac:dyDescent="0.35">
      <c r="A133" s="108" t="s">
        <v>302</v>
      </c>
      <c r="B133" s="109">
        <f>+MIN(B132+B97*Parameters!$B$30,B34)</f>
        <v>1</v>
      </c>
      <c r="C133" s="109">
        <f>+MIN(C132+C97*Parameters!$B$30,C34)</f>
        <v>1.1040808032</v>
      </c>
      <c r="D133" s="109">
        <f>+MIN(D132+D97*Parameters!$B$30,D34)</f>
        <v>1.21899442</v>
      </c>
      <c r="E133" s="109">
        <f>+MIN(E132+E97*Parameters!$B$30,E34)</f>
        <v>1.3458683383000001</v>
      </c>
      <c r="F133" s="109">
        <f>+MIN(F132+F97*Parameters!$B$30,F34)</f>
        <v>1.485947396</v>
      </c>
      <c r="G133" s="109">
        <f>+MIN(G132+G97*Parameters!$B$30,G34)</f>
        <v>1.6406059945</v>
      </c>
      <c r="H133" s="109">
        <f>+MIN(H132+H97*Parameters!$B$30,H34)</f>
        <v>1.8113615840999999</v>
      </c>
      <c r="I133" s="109">
        <f>+MIN(I132+I97*Parameters!$B$30,I34)</f>
        <v>1.9998895527</v>
      </c>
      <c r="J133" s="109">
        <f>+MIN(J132+J97*Parameters!$B$30,J34)</f>
        <v>2.2080396636000001</v>
      </c>
      <c r="K133" s="109">
        <f>+MIN(K132+K97*Parameters!$B$30,K34)</f>
        <v>2.4378542052999999</v>
      </c>
      <c r="L133" s="109">
        <f>+MIN(L132+L97*Parameters!$B$30,L34)</f>
        <v>2.6915880291000001</v>
      </c>
      <c r="M133" s="109">
        <f>+MIN(M132+M97*Parameters!$B$30,M34)</f>
        <v>2.9717306730000002</v>
      </c>
      <c r="N133" s="109">
        <f>+MIN(N132+N97*Parameters!$B$30,N34)</f>
        <v>3.2810307883999998</v>
      </c>
      <c r="O133" s="109">
        <f>+MIN(O132+O97*Parameters!$B$30,O34)</f>
        <v>3.6225231081000002</v>
      </c>
      <c r="P133" s="109">
        <f>+MIN(P132+P97*Parameters!$B$30,P34)</f>
        <v>3.9995582228000002</v>
      </c>
      <c r="Q133" s="109">
        <f>+MIN(Q132+Q97*Parameters!$B$30,Q34)</f>
        <v>4.4158354550999999</v>
      </c>
      <c r="R133" s="109">
        <f>+MIN(R132+R97*Parameters!$B$30,R34)</f>
        <v>4.8754391560999997</v>
      </c>
      <c r="S133" s="109">
        <f>+MIN(S132+S97*Parameters!$B$30,S34)</f>
        <v>5.3828787794000004</v>
      </c>
      <c r="T133" s="109">
        <f>+MIN(T132+T97*Parameters!$B$30,T34)</f>
        <v>5.9431331263000002</v>
      </c>
      <c r="U133" s="109">
        <f>+MIN(U132+U97*Parameters!$B$30,U34)</f>
        <v>6.5616991956000001</v>
      </c>
      <c r="V133" s="109">
        <f>+MIN(V132+V97*Parameters!$B$30,V34)</f>
        <v>7.2446461183000004</v>
      </c>
      <c r="W133" s="109">
        <f>+MIN(W132+W97*Parameters!$B$30,W34)</f>
        <v>7.9986747051</v>
      </c>
      <c r="X133" s="109">
        <f>+MIN(X132+X97*Parameters!$B$30,X34)</f>
        <v>8.8311831929999993</v>
      </c>
      <c r="Y133" s="109">
        <f>+MIN(Y132+Y97*Parameters!$B$30,Y34)</f>
        <v>9.7503398328999999</v>
      </c>
      <c r="Z133" s="109">
        <f>+MIN(Z132+Z97*Parameters!$B$30,Z34)</f>
        <v>10.7651630342</v>
      </c>
      <c r="AA133" s="109">
        <f>+MIN(AA132+AA97*Parameters!$B$30,AA34)</f>
        <v>11.8856098494</v>
      </c>
      <c r="AB133" s="109">
        <f>+MIN(AB132+AB97*Parameters!$B$30,AB34)</f>
        <v>13.122673668999999</v>
      </c>
      <c r="AC133" s="109">
        <f>+MIN(AC132+AC97*Parameters!$B$30,AC34)</f>
        <v>14.488492084600001</v>
      </c>
      <c r="AD133" s="109">
        <f>+MIN(AD132+AD97*Parameters!$B$30,AD34)</f>
        <v>15.996465978</v>
      </c>
      <c r="AE133" s="109">
        <f>+MIN(AE132+AE97*Parameters!$B$30,AE34)</f>
        <v>17.661391005300001</v>
      </c>
      <c r="AF133" s="109">
        <f>+MIN(AF132+AF97*Parameters!$B$30,AF34)</f>
        <v>19.499602766799999</v>
      </c>
      <c r="AG133" s="109">
        <f>+MIN(AG132+AG97*Parameters!$B$30,AG34)</f>
        <v>21.529137084799999</v>
      </c>
      <c r="AH133" s="109">
        <f>+MIN(AH132+AH97*Parameters!$B$30,AH34)</f>
        <v>23.769906964800001</v>
      </c>
      <c r="AI133" s="109">
        <f>+MIN(AI132+AI97*Parameters!$B$30,AI34)</f>
        <v>26.243897973700001</v>
      </c>
      <c r="AJ133" s="109">
        <f>+MIN(AJ132+AJ97*Parameters!$B$30,AJ34)</f>
        <v>28.9753839539</v>
      </c>
      <c r="AK133" s="109">
        <f>+MIN(AK132+AK97*Parameters!$B$30,AK34)</f>
        <v>31.9911651888</v>
      </c>
      <c r="AL133" s="109">
        <f>+MIN(AL132+AL97*Parameters!$B$30,AL34)</f>
        <v>35.320831357000003</v>
      </c>
      <c r="AM133" s="109">
        <f>+MIN(AM132+AM97*Parameters!$B$30,AM34)</f>
        <v>38.997051854299997</v>
      </c>
      <c r="AN133" s="109">
        <f>+MIN(AN132+AN97*Parameters!$B$30,AN34)</f>
        <v>43.055896333699998</v>
      </c>
      <c r="AO133" s="109">
        <f>+MIN(AO132+AO97*Parameters!$B$30,AO34)</f>
        <v>47.537188606699999</v>
      </c>
      <c r="AP133" s="109">
        <f>+MIN(AP132+AP97*Parameters!$B$30,AP34)</f>
        <v>52.484897378699998</v>
      </c>
      <c r="AQ133" s="109">
        <f>+MIN(AQ132+AQ97*Parameters!$B$30,AQ34)</f>
        <v>57.9475676538</v>
      </c>
      <c r="AR133" s="109">
        <f>+MIN(AR132+AR97*Parameters!$B$30,AR34)</f>
        <v>63.9787970386</v>
      </c>
      <c r="AS133" s="109">
        <f>+MIN(AS132+AS97*Parameters!$B$30,AS34)</f>
        <v>70.637761622200003</v>
      </c>
      <c r="AT133" s="109">
        <f>+MIN(AT132+AT97*Parameters!$B$30,AT34)</f>
        <v>77.989796588100006</v>
      </c>
      <c r="AU133" s="109">
        <f>+MIN(AU132+AU97*Parameters!$B$30,AU34)</f>
        <v>110.09463323492842</v>
      </c>
      <c r="AV133" s="109">
        <f>+MIN(AV132+AV97*Parameters!$B$30,AV34)</f>
        <v>107.34226740405521</v>
      </c>
      <c r="AW133" s="109">
        <f>+MIN(AW132+AW97*Parameters!$B$30,AW34)</f>
        <v>104.65871071895383</v>
      </c>
      <c r="AX133" s="109">
        <f>+MIN(AX132+AX97*Parameters!$B$30,AX34)</f>
        <v>102.04224295097998</v>
      </c>
      <c r="AY133" s="109">
        <f>+MIN(AY132+AY97*Parameters!$B$30,AY34)</f>
        <v>99.491186877205479</v>
      </c>
      <c r="AZ133" s="109">
        <f>+MIN(AZ132+AZ97*Parameters!$B$30,AZ34)</f>
        <v>97.00390720527534</v>
      </c>
      <c r="BA133" s="109">
        <f>+MIN(BA132+BA97*Parameters!$B$30,BA34)</f>
        <v>94.578809525143456</v>
      </c>
      <c r="BB133" s="109">
        <f>+MIN(BB132+BB97*Parameters!$B$30,BB34)</f>
        <v>92.214339287014866</v>
      </c>
      <c r="BC133" s="109">
        <f>+MIN(BC132+BC97*Parameters!$B$30,BC34)</f>
        <v>89.908980804839487</v>
      </c>
      <c r="BD133" s="109">
        <f>+MIN(BD132+BD97*Parameters!$B$30,BD34)</f>
        <v>87.661256284718505</v>
      </c>
      <c r="BE133" s="109">
        <f>+MIN(BE132+BE97*Parameters!$B$30,BE34)</f>
        <v>85.469724877600541</v>
      </c>
      <c r="BF133" s="109">
        <f>+MIN(BF132+BF97*Parameters!$B$30,BF34)</f>
        <v>83.332981755660526</v>
      </c>
      <c r="BG133" s="109">
        <f>+MIN(BG132+BG97*Parameters!$B$30,BG34)</f>
        <v>63.4998585612</v>
      </c>
      <c r="BH133" s="109">
        <f>+MIN(BH132+BH97*Parameters!$B$30,BH34)</f>
        <v>24.595649848600001</v>
      </c>
      <c r="BI133" s="109">
        <f>+MIN(BI132+BI97*Parameters!$B$30,BI34)</f>
        <v>0</v>
      </c>
      <c r="BJ133" s="109"/>
      <c r="BK133" s="109"/>
      <c r="BL133" s="109"/>
      <c r="BM133" s="109"/>
      <c r="BN133" s="109"/>
      <c r="BO133" s="109"/>
      <c r="BP133" s="109"/>
      <c r="BQ133" s="109"/>
      <c r="BR133" s="109"/>
      <c r="BS133" s="109"/>
      <c r="BT133" s="109"/>
      <c r="BU133" s="109"/>
      <c r="BV133" s="109"/>
      <c r="BW133" s="109"/>
      <c r="BX133" s="109"/>
      <c r="BY133" s="109"/>
      <c r="BZ133" s="109"/>
      <c r="CA133" s="109"/>
      <c r="CB133" s="109"/>
      <c r="CC133" s="109"/>
      <c r="CD133" s="109"/>
      <c r="CE133" s="109"/>
      <c r="CF133" s="109"/>
      <c r="CG133" s="109"/>
      <c r="CH133" s="109"/>
      <c r="CI133" s="109"/>
      <c r="CJ133" s="109"/>
      <c r="CK133" s="109"/>
      <c r="CL133" s="109"/>
      <c r="CM133" s="109"/>
      <c r="CN133" s="109"/>
      <c r="CO133" s="109"/>
      <c r="CP133" s="109"/>
      <c r="CQ133" s="109"/>
      <c r="CR133" s="109"/>
      <c r="CS133" s="109"/>
      <c r="CT133" s="109"/>
      <c r="CU133" s="109"/>
      <c r="CV133" s="109"/>
      <c r="CW133" s="109"/>
      <c r="CX133" s="109"/>
      <c r="CY133" s="109"/>
      <c r="CZ133" s="109"/>
      <c r="DA133" s="109"/>
      <c r="DB133" s="109"/>
      <c r="DC133" s="109"/>
      <c r="DD133" s="109"/>
      <c r="DE133" s="109"/>
      <c r="DF133" s="109"/>
      <c r="DG133" s="109"/>
      <c r="DH133" s="109"/>
      <c r="DI133" s="109"/>
      <c r="DJ133" s="109"/>
      <c r="DK133" s="109"/>
      <c r="DL133" s="109"/>
      <c r="DM133" s="109"/>
      <c r="DN133" s="109"/>
      <c r="DO133" s="109"/>
      <c r="DP133" s="109"/>
      <c r="DQ133" s="109"/>
      <c r="DR133" s="109"/>
      <c r="DS133" s="109"/>
      <c r="DT133" s="109"/>
    </row>
    <row r="134" spans="1:124" s="110" customFormat="1" ht="23.4" customHeight="1" x14ac:dyDescent="0.35">
      <c r="A134" s="111" t="s">
        <v>305</v>
      </c>
      <c r="B134" s="109">
        <f t="shared" ref="B134" si="53">+B132*3.666</f>
        <v>3.6659999999999999</v>
      </c>
      <c r="C134" s="109">
        <f t="shared" ref="C134:BI134" si="54">+C132*3.666</f>
        <v>4.0475602245311997</v>
      </c>
      <c r="D134" s="109">
        <f t="shared" si="54"/>
        <v>4.4688335437199997</v>
      </c>
      <c r="E134" s="109">
        <f t="shared" si="54"/>
        <v>4.9339533282078003</v>
      </c>
      <c r="F134" s="109">
        <f t="shared" si="54"/>
        <v>5.447483153736</v>
      </c>
      <c r="G134" s="109">
        <f t="shared" si="54"/>
        <v>6.0144615758370001</v>
      </c>
      <c r="H134" s="109">
        <f t="shared" si="54"/>
        <v>6.6404515673105999</v>
      </c>
      <c r="I134" s="109">
        <f t="shared" si="54"/>
        <v>7.3315951001982</v>
      </c>
      <c r="J134" s="109">
        <f t="shared" si="54"/>
        <v>8.0946734067576003</v>
      </c>
      <c r="K134" s="109">
        <f t="shared" si="54"/>
        <v>8.9371735166297999</v>
      </c>
      <c r="L134" s="109">
        <f t="shared" si="54"/>
        <v>9.8673617146805999</v>
      </c>
      <c r="M134" s="109">
        <f t="shared" si="54"/>
        <v>10.894364647218</v>
      </c>
      <c r="N134" s="109">
        <f t="shared" si="54"/>
        <v>12.028258870274399</v>
      </c>
      <c r="O134" s="109">
        <f t="shared" si="54"/>
        <v>13.280169714294601</v>
      </c>
      <c r="P134" s="109">
        <f t="shared" si="54"/>
        <v>14.6623804447848</v>
      </c>
      <c r="Q134" s="109">
        <f t="shared" si="54"/>
        <v>16.188452778396599</v>
      </c>
      <c r="R134" s="109">
        <f t="shared" si="54"/>
        <v>17.8733599462626</v>
      </c>
      <c r="S134" s="109">
        <f t="shared" si="54"/>
        <v>19.733633605280399</v>
      </c>
      <c r="T134" s="109">
        <f t="shared" si="54"/>
        <v>21.787526041015802</v>
      </c>
      <c r="U134" s="109">
        <f t="shared" si="54"/>
        <v>24.055189251069599</v>
      </c>
      <c r="V134" s="109">
        <f t="shared" si="54"/>
        <v>26.558872669687801</v>
      </c>
      <c r="W134" s="109">
        <f t="shared" si="54"/>
        <v>29.323141468896598</v>
      </c>
      <c r="X134" s="109">
        <f t="shared" si="54"/>
        <v>32.375117585538</v>
      </c>
      <c r="Y134" s="109">
        <f t="shared" si="54"/>
        <v>35.7447458274114</v>
      </c>
      <c r="Z134" s="109">
        <f t="shared" si="54"/>
        <v>39.465087683377199</v>
      </c>
      <c r="AA134" s="109">
        <f t="shared" si="54"/>
        <v>43.572645707900399</v>
      </c>
      <c r="AB134" s="109">
        <f t="shared" si="54"/>
        <v>48.107721670554</v>
      </c>
      <c r="AC134" s="109">
        <f t="shared" si="54"/>
        <v>53.1148119821436</v>
      </c>
      <c r="AD134" s="109">
        <f t="shared" si="54"/>
        <v>58.643044275347997</v>
      </c>
      <c r="AE134" s="109">
        <f t="shared" si="54"/>
        <v>64.746659425429797</v>
      </c>
      <c r="AF134" s="109">
        <f t="shared" si="54"/>
        <v>71.485543743088797</v>
      </c>
      <c r="AG134" s="109">
        <f t="shared" si="54"/>
        <v>78.925816552876796</v>
      </c>
      <c r="AH134" s="109">
        <f t="shared" si="54"/>
        <v>87.140478932956796</v>
      </c>
      <c r="AI134" s="109">
        <f t="shared" si="54"/>
        <v>96.210129971584209</v>
      </c>
      <c r="AJ134" s="109">
        <f t="shared" si="54"/>
        <v>106.22375757499739</v>
      </c>
      <c r="AK134" s="109">
        <f t="shared" si="54"/>
        <v>117.2796115821408</v>
      </c>
      <c r="AL134" s="109">
        <f t="shared" si="54"/>
        <v>129.48616775476202</v>
      </c>
      <c r="AM134" s="109">
        <f t="shared" si="54"/>
        <v>142.96319209786378</v>
      </c>
      <c r="AN134" s="109">
        <f t="shared" si="54"/>
        <v>157.8429159593442</v>
      </c>
      <c r="AO134" s="109">
        <f t="shared" si="54"/>
        <v>174.27133343216218</v>
      </c>
      <c r="AP134" s="109">
        <f t="shared" si="54"/>
        <v>192.40963379031419</v>
      </c>
      <c r="AQ134" s="109">
        <f t="shared" si="54"/>
        <v>212.43578301883079</v>
      </c>
      <c r="AR134" s="109">
        <f t="shared" si="54"/>
        <v>234.54626994350758</v>
      </c>
      <c r="AS134" s="109">
        <f t="shared" si="54"/>
        <v>258.95803410698522</v>
      </c>
      <c r="AT134" s="109">
        <f t="shared" si="54"/>
        <v>285.91059429197463</v>
      </c>
      <c r="AU134" s="109">
        <f t="shared" si="54"/>
        <v>560.38287178380779</v>
      </c>
      <c r="AV134" s="109">
        <f t="shared" si="54"/>
        <v>546.37329998905682</v>
      </c>
      <c r="AW134" s="109">
        <f t="shared" si="54"/>
        <v>532.71396748958693</v>
      </c>
      <c r="AX134" s="109">
        <f t="shared" si="54"/>
        <v>519.39611830211823</v>
      </c>
      <c r="AY134" s="109">
        <f t="shared" si="54"/>
        <v>506.41121534462934</v>
      </c>
      <c r="AZ134" s="109">
        <f t="shared" si="54"/>
        <v>493.75093496118785</v>
      </c>
      <c r="BA134" s="109">
        <f t="shared" si="54"/>
        <v>481.40716158718561</v>
      </c>
      <c r="BB134" s="109">
        <f t="shared" si="54"/>
        <v>469.37198254728605</v>
      </c>
      <c r="BC134" s="109">
        <f t="shared" si="54"/>
        <v>457.63768298351221</v>
      </c>
      <c r="BD134" s="109">
        <f t="shared" si="54"/>
        <v>446.19674090908018</v>
      </c>
      <c r="BE134" s="109">
        <f t="shared" si="54"/>
        <v>435.04182238650901</v>
      </c>
      <c r="BF134" s="109">
        <f t="shared" si="54"/>
        <v>403.20717804967074</v>
      </c>
      <c r="BG134" s="109">
        <f t="shared" si="54"/>
        <v>232.79048148535921</v>
      </c>
      <c r="BH134" s="109">
        <f t="shared" si="54"/>
        <v>90.167652344967607</v>
      </c>
      <c r="BI134" s="109">
        <f t="shared" si="54"/>
        <v>0</v>
      </c>
      <c r="BJ134" s="109"/>
      <c r="BK134" s="109"/>
      <c r="BL134" s="109"/>
      <c r="BM134" s="109"/>
      <c r="BN134" s="109"/>
      <c r="BO134" s="109"/>
      <c r="BP134" s="109"/>
      <c r="BQ134" s="109"/>
      <c r="BR134" s="109"/>
      <c r="BS134" s="109"/>
      <c r="BT134" s="109"/>
      <c r="BU134" s="109"/>
      <c r="BV134" s="109"/>
      <c r="BW134" s="109"/>
      <c r="BX134" s="109"/>
      <c r="BY134" s="109"/>
      <c r="BZ134" s="109"/>
      <c r="CA134" s="109"/>
      <c r="CB134" s="109"/>
      <c r="CC134" s="109"/>
      <c r="CD134" s="109"/>
      <c r="CE134" s="109"/>
      <c r="CF134" s="109"/>
      <c r="CG134" s="109"/>
      <c r="CH134" s="109"/>
      <c r="CI134" s="109"/>
      <c r="CJ134" s="109"/>
      <c r="CK134" s="109"/>
      <c r="CL134" s="109"/>
      <c r="CM134" s="109"/>
      <c r="CN134" s="109"/>
      <c r="CO134" s="109"/>
      <c r="CP134" s="109"/>
      <c r="CQ134" s="109"/>
      <c r="CR134" s="109"/>
      <c r="CS134" s="109"/>
      <c r="CT134" s="109"/>
      <c r="CU134" s="109"/>
      <c r="CV134" s="109"/>
      <c r="CW134" s="109"/>
      <c r="CX134" s="109"/>
      <c r="CY134" s="109"/>
      <c r="CZ134" s="109"/>
      <c r="DA134" s="109"/>
      <c r="DB134" s="109"/>
      <c r="DC134" s="109"/>
      <c r="DD134" s="109"/>
      <c r="DE134" s="109"/>
      <c r="DF134" s="109"/>
      <c r="DG134" s="109"/>
      <c r="DH134" s="109"/>
      <c r="DI134" s="109"/>
      <c r="DJ134" s="109"/>
      <c r="DK134" s="109"/>
      <c r="DL134" s="109"/>
      <c r="DM134" s="109"/>
      <c r="DN134" s="109"/>
      <c r="DO134" s="109"/>
      <c r="DP134" s="109"/>
      <c r="DQ134" s="109"/>
      <c r="DR134" s="109"/>
      <c r="DS134" s="109"/>
      <c r="DT134" s="109"/>
    </row>
    <row r="135" spans="1:124" s="112" customFormat="1" ht="23.4" customHeight="1" x14ac:dyDescent="0.35">
      <c r="A135" s="111" t="s">
        <v>303</v>
      </c>
      <c r="B135" s="110">
        <f t="shared" ref="B135:AT135" si="55">+B136*B47</f>
        <v>3.8976322961607419E-2</v>
      </c>
      <c r="C135" s="110">
        <f t="shared" si="55"/>
        <v>4.1763681789451099E-2</v>
      </c>
      <c r="D135" s="110">
        <f t="shared" si="55"/>
        <v>4.4750376230533087E-2</v>
      </c>
      <c r="E135" s="110">
        <f t="shared" si="55"/>
        <v>4.7950661602123634E-2</v>
      </c>
      <c r="F135" s="110">
        <f t="shared" si="55"/>
        <v>5.1379812681496398E-2</v>
      </c>
      <c r="G135" s="110">
        <f t="shared" si="55"/>
        <v>5.5054196604270633E-2</v>
      </c>
      <c r="H135" s="110">
        <f t="shared" si="55"/>
        <v>5.899135098992387E-2</v>
      </c>
      <c r="I135" s="110">
        <f t="shared" si="55"/>
        <v>6.3210067648711482E-2</v>
      </c>
      <c r="J135" s="110">
        <f t="shared" si="55"/>
        <v>6.7730482265692796E-2</v>
      </c>
      <c r="K135" s="110">
        <f t="shared" si="55"/>
        <v>7.2574170518508646E-2</v>
      </c>
      <c r="L135" s="110">
        <f t="shared" si="55"/>
        <v>7.7764251047267016E-2</v>
      </c>
      <c r="M135" s="110">
        <f t="shared" si="55"/>
        <v>8.3325495801654187E-2</v>
      </c>
      <c r="N135" s="110">
        <f t="shared" si="55"/>
        <v>8.9284448280865125E-2</v>
      </c>
      <c r="O135" s="110">
        <f t="shared" si="55"/>
        <v>9.5669550213232396E-2</v>
      </c>
      <c r="P135" s="110">
        <f t="shared" si="55"/>
        <v>0.10251127732033963</v>
      </c>
      <c r="Q135" s="110">
        <f t="shared" si="55"/>
        <v>0.10984228476523736</v>
      </c>
      <c r="R135" s="110">
        <f t="shared" si="55"/>
        <v>0.117697563017892</v>
      </c>
      <c r="S135" s="110">
        <f t="shared" si="55"/>
        <v>0.12611460486164955</v>
      </c>
      <c r="T135" s="110">
        <f t="shared" si="55"/>
        <v>0.13513358434653355</v>
      </c>
      <c r="U135" s="110">
        <f t="shared" si="55"/>
        <v>0.14479754853404289</v>
      </c>
      <c r="V135" s="110">
        <f t="shared" si="55"/>
        <v>0.15515262296177337</v>
      </c>
      <c r="W135" s="110">
        <f t="shared" si="55"/>
        <v>0.16624823179229323</v>
      </c>
      <c r="X135" s="110">
        <f t="shared" si="55"/>
        <v>0.1781373337217208</v>
      </c>
      <c r="Y135" s="110">
        <f t="shared" si="55"/>
        <v>0.19087667473632991</v>
      </c>
      <c r="Z135" s="110">
        <f t="shared" si="55"/>
        <v>0.20452705896799719</v>
      </c>
      <c r="AA135" s="110">
        <f t="shared" si="55"/>
        <v>0.21915363890262818</v>
      </c>
      <c r="AB135" s="110">
        <f t="shared" si="55"/>
        <v>0.23482622635097872</v>
      </c>
      <c r="AC135" s="110">
        <f t="shared" si="55"/>
        <v>0.25161962565837315</v>
      </c>
      <c r="AD135" s="110">
        <f t="shared" si="55"/>
        <v>0.26961399073885811</v>
      </c>
      <c r="AE135" s="110">
        <f t="shared" si="55"/>
        <v>0.28889520764374826</v>
      </c>
      <c r="AF135" s="110">
        <f t="shared" si="55"/>
        <v>0.30955530449675772</v>
      </c>
      <c r="AG135" s="110">
        <f t="shared" si="55"/>
        <v>0.33169289073156716</v>
      </c>
      <c r="AH135" s="110">
        <f t="shared" si="55"/>
        <v>0.35541362775511665</v>
      </c>
      <c r="AI135" s="110">
        <f t="shared" si="55"/>
        <v>0.38083073325887362</v>
      </c>
      <c r="AJ135" s="110">
        <f t="shared" si="55"/>
        <v>0.40806552160225951</v>
      </c>
      <c r="AK135" s="110">
        <f t="shared" si="55"/>
        <v>0.43724798283859007</v>
      </c>
      <c r="AL135" s="110">
        <f t="shared" si="55"/>
        <v>0.4685174031514211</v>
      </c>
      <c r="AM135" s="110">
        <f t="shared" si="55"/>
        <v>0.50202302965577317</v>
      </c>
      <c r="AN135" s="110">
        <f t="shared" si="55"/>
        <v>0.53792478274989508</v>
      </c>
      <c r="AO135" s="110">
        <f t="shared" si="55"/>
        <v>0.5763940194045446</v>
      </c>
      <c r="AP135" s="110">
        <f t="shared" si="55"/>
        <v>0.6176143510369575</v>
      </c>
      <c r="AQ135" s="110">
        <f t="shared" si="55"/>
        <v>0.66178251988334214</v>
      </c>
      <c r="AR135" s="110">
        <f t="shared" si="55"/>
        <v>0.70910933803147658</v>
      </c>
      <c r="AS135" s="110">
        <f t="shared" si="55"/>
        <v>0.75982069362106486</v>
      </c>
      <c r="AT135" s="110">
        <f t="shared" si="55"/>
        <v>0.81415862898843427</v>
      </c>
      <c r="AU135" s="110">
        <v>1</v>
      </c>
      <c r="AV135" s="110">
        <v>1</v>
      </c>
      <c r="AW135" s="110">
        <v>1</v>
      </c>
      <c r="AX135" s="110">
        <v>1</v>
      </c>
      <c r="AY135" s="110">
        <v>1</v>
      </c>
      <c r="AZ135" s="110">
        <v>1</v>
      </c>
      <c r="BA135" s="110">
        <v>1</v>
      </c>
      <c r="BB135" s="110">
        <v>1</v>
      </c>
      <c r="BC135" s="110">
        <v>1</v>
      </c>
      <c r="BD135" s="110">
        <v>1</v>
      </c>
      <c r="BE135" s="110">
        <v>1</v>
      </c>
      <c r="BF135" s="110">
        <v>1</v>
      </c>
      <c r="BG135" s="110">
        <v>1</v>
      </c>
      <c r="BH135" s="110">
        <v>1</v>
      </c>
      <c r="BI135" s="110">
        <v>1</v>
      </c>
      <c r="BJ135" s="110"/>
      <c r="BK135" s="110"/>
      <c r="BL135" s="110"/>
      <c r="BM135" s="110"/>
      <c r="BN135" s="110"/>
      <c r="BO135" s="110"/>
      <c r="BP135" s="110"/>
      <c r="BQ135" s="110"/>
      <c r="BR135" s="110"/>
      <c r="BS135" s="110"/>
      <c r="BT135" s="110"/>
      <c r="BU135" s="110"/>
      <c r="BV135" s="110"/>
      <c r="BW135" s="110"/>
      <c r="BX135" s="110"/>
      <c r="BY135" s="110"/>
      <c r="BZ135" s="110"/>
      <c r="CA135" s="110"/>
      <c r="CB135" s="110"/>
      <c r="CC135" s="110"/>
      <c r="CD135" s="110"/>
      <c r="CE135" s="110"/>
      <c r="CF135" s="110"/>
      <c r="CG135" s="110"/>
      <c r="CH135" s="110"/>
      <c r="CI135" s="110"/>
      <c r="CJ135" s="110"/>
      <c r="CK135" s="110"/>
      <c r="CL135" s="110"/>
      <c r="CM135" s="110"/>
      <c r="CN135" s="110"/>
      <c r="CO135" s="110"/>
      <c r="CP135" s="110"/>
      <c r="CQ135" s="110"/>
      <c r="CR135" s="110"/>
      <c r="CS135" s="110"/>
      <c r="CT135" s="110"/>
      <c r="CU135" s="110"/>
      <c r="CV135" s="110"/>
      <c r="CW135" s="110"/>
      <c r="CX135" s="110"/>
      <c r="CY135" s="110"/>
      <c r="CZ135" s="110"/>
      <c r="DA135" s="110"/>
      <c r="DB135" s="110"/>
      <c r="DC135" s="110"/>
      <c r="DD135" s="110"/>
      <c r="DE135" s="110"/>
      <c r="DF135" s="110"/>
      <c r="DG135" s="110"/>
      <c r="DH135" s="110"/>
      <c r="DI135" s="110"/>
      <c r="DJ135" s="110"/>
      <c r="DK135" s="110"/>
      <c r="DL135" s="110"/>
      <c r="DM135" s="110"/>
      <c r="DN135" s="110"/>
      <c r="DO135" s="110"/>
      <c r="DP135" s="110"/>
      <c r="DQ135" s="110"/>
      <c r="DR135" s="110"/>
      <c r="DS135" s="110"/>
      <c r="DT135" s="110"/>
    </row>
    <row r="136" spans="1:124" s="112" customFormat="1" ht="23.4" customHeight="1" x14ac:dyDescent="0.35">
      <c r="A136" s="111" t="s">
        <v>304</v>
      </c>
      <c r="B136" s="173">
        <f>+MIN(((B133)/(B$34))^(1/($B$39-1)),Parameters!$B$42)</f>
        <v>3.8976322961607419E-2</v>
      </c>
      <c r="C136" s="173">
        <f>+MIN(((C133)/(C$34))^(1/($B$39-1)),Parameters!$B$42)</f>
        <v>4.1763681789451099E-2</v>
      </c>
      <c r="D136" s="173">
        <f>+MIN(((D133)/(D$34))^(1/($B$39-1)),Parameters!$B$42)</f>
        <v>4.4750376230533087E-2</v>
      </c>
      <c r="E136" s="173">
        <f>+MIN(((E133)/(E$34))^(1/($B$39-1)),Parameters!$B$42)</f>
        <v>4.7950661602123634E-2</v>
      </c>
      <c r="F136" s="110">
        <f>+MIN(((F133)/(F$34))^(1/($B$39-1)),Parameters!$B$42)</f>
        <v>5.1379812681496398E-2</v>
      </c>
      <c r="G136" s="110">
        <f>+MIN(((G133)/(G$34))^(1/($B$39-1)),Parameters!$B$42)</f>
        <v>5.5054196604270633E-2</v>
      </c>
      <c r="H136" s="110">
        <f>+MIN(((H133)/(H$34))^(1/($B$39-1)),Parameters!$B$42)</f>
        <v>5.899135098992387E-2</v>
      </c>
      <c r="I136" s="110">
        <f>+MIN(((I133)/(I$34))^(1/($B$39-1)),Parameters!$B$42)</f>
        <v>6.3210067648711482E-2</v>
      </c>
      <c r="J136" s="110">
        <f>+MIN(((J133)/(J$34))^(1/($B$39-1)),Parameters!$B$42)</f>
        <v>6.7730482265692796E-2</v>
      </c>
      <c r="K136" s="110">
        <f>+MIN(((K133)/(K$34))^(1/($B$39-1)),Parameters!$B$42)</f>
        <v>7.2574170518508646E-2</v>
      </c>
      <c r="L136" s="110">
        <f>+MIN(((L133)/(L$34))^(1/($B$39-1)),Parameters!$B$42)</f>
        <v>7.7764251047267016E-2</v>
      </c>
      <c r="M136" s="110">
        <f>+MIN(((M133)/(M$34))^(1/($B$39-1)),Parameters!$B$42)</f>
        <v>8.3325495801654187E-2</v>
      </c>
      <c r="N136" s="110">
        <f>+MIN(((N133)/(N$34))^(1/($B$39-1)),Parameters!$B$42)</f>
        <v>8.9284448280865125E-2</v>
      </c>
      <c r="O136" s="110">
        <f>+MIN(((O133)/(O$34))^(1/($B$39-1)),Parameters!$B$42)</f>
        <v>9.5669550213232396E-2</v>
      </c>
      <c r="P136" s="110">
        <f>+MIN(((P133)/(P$34))^(1/($B$39-1)),Parameters!$B$42)</f>
        <v>0.10251127732033963</v>
      </c>
      <c r="Q136" s="110">
        <f>+MIN(((Q133)/(Q$34))^(1/($B$39-1)),Parameters!$B$42)</f>
        <v>0.10984228476523736</v>
      </c>
      <c r="R136" s="110">
        <f>+MIN(((R133)/(R$34))^(1/($B$39-1)),Parameters!$B$42)</f>
        <v>0.117697563017892</v>
      </c>
      <c r="S136" s="110">
        <f>+MIN(((S133)/(S$34))^(1/($B$39-1)),Parameters!$B$42)</f>
        <v>0.12611460486164955</v>
      </c>
      <c r="T136" s="110">
        <f>+MIN(((T133)/(T$34))^(1/($B$39-1)),Parameters!$B$42)</f>
        <v>0.13513358434653355</v>
      </c>
      <c r="U136" s="110">
        <f>+MIN(((U133)/(U$34))^(1/($B$39-1)),Parameters!$B$42)</f>
        <v>0.14479754853404289</v>
      </c>
      <c r="V136" s="110">
        <f>+MIN(((V133)/(V$34))^(1/($B$39-1)),Parameters!$B$42)</f>
        <v>0.15515262296177337</v>
      </c>
      <c r="W136" s="110">
        <f>+MIN(((W133)/(W$34))^(1/($B$39-1)),Parameters!$B$42)</f>
        <v>0.16624823179229323</v>
      </c>
      <c r="X136" s="110">
        <f>+MIN(((X133)/(X$34))^(1/($B$39-1)),Parameters!$B$42)</f>
        <v>0.1781373337217208</v>
      </c>
      <c r="Y136" s="110">
        <f>+MIN(((Y133)/(Y$34))^(1/($B$39-1)),Parameters!$B$42)</f>
        <v>0.19087667473632991</v>
      </c>
      <c r="Z136" s="110">
        <f>+MIN(((Z133)/(Z$34))^(1/($B$39-1)),Parameters!$B$42)</f>
        <v>0.20452705896799719</v>
      </c>
      <c r="AA136" s="110">
        <f>+MIN(((AA133)/(AA$34))^(1/($B$39-1)),Parameters!$B$42)</f>
        <v>0.21915363890262818</v>
      </c>
      <c r="AB136" s="110">
        <f>+MIN(((AB133)/(AB$34))^(1/($B$39-1)),Parameters!$B$42)</f>
        <v>0.23482622635097872</v>
      </c>
      <c r="AC136" s="110">
        <f>+MIN(((AC133)/(AC$34))^(1/($B$39-1)),Parameters!$B$42)</f>
        <v>0.25161962565837315</v>
      </c>
      <c r="AD136" s="110">
        <f>+MIN(((AD133)/(AD$34))^(1/($B$39-1)),Parameters!$B$42)</f>
        <v>0.26961399073885811</v>
      </c>
      <c r="AE136" s="110">
        <f>+MIN(((AE133)/(AE$34))^(1/($B$39-1)),Parameters!$B$42)</f>
        <v>0.28889520764374826</v>
      </c>
      <c r="AF136" s="110">
        <f>+MIN(((AF133)/(AF$34))^(1/($B$39-1)),Parameters!$B$42)</f>
        <v>0.30955530449675772</v>
      </c>
      <c r="AG136" s="110">
        <f>+MIN(((AG133)/(AG$34))^(1/($B$39-1)),Parameters!$B$42)</f>
        <v>0.33169289073156716</v>
      </c>
      <c r="AH136" s="110">
        <f>+MIN(((AH133)/(AH$34))^(1/($B$39-1)),Parameters!$B$42)</f>
        <v>0.35541362775511665</v>
      </c>
      <c r="AI136" s="110">
        <f>+MIN(((AI133)/(AI$34))^(1/($B$39-1)),Parameters!$B$42)</f>
        <v>0.38083073325887362</v>
      </c>
      <c r="AJ136" s="110">
        <f>+MIN(((AJ133)/(AJ$34))^(1/($B$39-1)),Parameters!$B$42)</f>
        <v>0.40806552160225951</v>
      </c>
      <c r="AK136" s="110">
        <f>+MIN(((AK133)/(AK$34))^(1/($B$39-1)),Parameters!$B$42)</f>
        <v>0.43724798283859007</v>
      </c>
      <c r="AL136" s="110">
        <f>+MIN(((AL133)/(AL$34))^(1/($B$39-1)),Parameters!$B$42)</f>
        <v>0.4685174031514211</v>
      </c>
      <c r="AM136" s="110">
        <f>+MIN(((AM133)/(AM$34))^(1/($B$39-1)),Parameters!$B$42)</f>
        <v>0.50202302965577317</v>
      </c>
      <c r="AN136" s="110">
        <f>+MIN(((AN133)/(AN$34))^(1/($B$39-1)),Parameters!$B$42)</f>
        <v>0.53792478274989508</v>
      </c>
      <c r="AO136" s="110">
        <f>+MIN(((AO133)/(AO$34))^(1/($B$39-1)),Parameters!$B$42)</f>
        <v>0.5763940194045446</v>
      </c>
      <c r="AP136" s="110">
        <f>+MIN(((AP133)/(AP$34))^(1/($B$39-1)),Parameters!$B$42)</f>
        <v>0.6176143510369575</v>
      </c>
      <c r="AQ136" s="110">
        <f>+MIN(((AQ133)/(AQ$34))^(1/($B$39-1)),Parameters!$B$42)</f>
        <v>0.66178251988334214</v>
      </c>
      <c r="AR136" s="110">
        <f>+MIN(((AR133)/(AR$34))^(1/($B$39-1)),Parameters!$B$42)</f>
        <v>0.70910933803147658</v>
      </c>
      <c r="AS136" s="110">
        <f>+MIN(((AS133)/(AS$34))^(1/($B$39-1)),Parameters!$B$42)</f>
        <v>0.75982069362106486</v>
      </c>
      <c r="AT136" s="110">
        <f>+MIN(((AT133)/(AT$34))^(1/($B$39-1)),Parameters!$B$42)</f>
        <v>0.81415862898843427</v>
      </c>
      <c r="AU136" s="110">
        <f>+MIN(((AU133)/(AU$34))^(1/($B$39-1)),Parameters!$B$42)</f>
        <v>1</v>
      </c>
      <c r="AV136" s="110">
        <f>+MIN(((AV133)/(AV$34))^(1/($B$39-1)),Parameters!$B$42)</f>
        <v>1</v>
      </c>
      <c r="AW136" s="110">
        <f>+MIN(((AW133)/(AW$34))^(1/($B$39-1)),Parameters!$B$42)</f>
        <v>1</v>
      </c>
      <c r="AX136" s="110">
        <f>+MIN(((AX133)/(AX$34))^(1/($B$39-1)),Parameters!$B$42)</f>
        <v>1</v>
      </c>
      <c r="AY136" s="110">
        <f>+MIN(((AY133)/(AY$34))^(1/($B$39-1)),Parameters!$B$42)</f>
        <v>1</v>
      </c>
      <c r="AZ136" s="110">
        <f>+MIN(((AZ133)/(AZ$34))^(1/($B$39-1)),Parameters!$B$42)</f>
        <v>1</v>
      </c>
      <c r="BA136" s="110">
        <f>+MIN(((BA133)/(BA$34))^(1/($B$39-1)),Parameters!$B$42)</f>
        <v>1</v>
      </c>
      <c r="BB136" s="110">
        <f>+MIN(((BB133)/(BB$34))^(1/($B$39-1)),Parameters!$B$42)</f>
        <v>1</v>
      </c>
      <c r="BC136" s="110">
        <f>+MIN(((BC133)/(BC$34))^(1/($B$39-1)),Parameters!$B$42)</f>
        <v>1</v>
      </c>
      <c r="BD136" s="110">
        <f>+MIN(((BD133)/(BD$34))^(1/($B$39-1)),Parameters!$B$42)</f>
        <v>1</v>
      </c>
      <c r="BE136" s="110">
        <f>+MIN(((BE133)/(BE$34))^(1/($B$39-1)),Parameters!$B$42)</f>
        <v>1</v>
      </c>
      <c r="BF136" s="110">
        <f>+MIN(((BF133)/(BF$34))^(1/($B$39-1)),Parameters!$B$42)</f>
        <v>1</v>
      </c>
      <c r="BG136" s="110">
        <f>+MIN(((BG133)/(BG$34))^(1/($B$39-1)),Parameters!$B$42)</f>
        <v>0.87202403622467362</v>
      </c>
      <c r="BH136" s="110">
        <f>+MIN(((BH133)/(BH$34))^(1/($B$39-1)),Parameters!$B$42)</f>
        <v>0.52215042772676967</v>
      </c>
      <c r="BI136" s="110">
        <f>+MIN(((BI133)/(BI$34))^(1/($B$39-1)),Parameters!$B$42)</f>
        <v>0</v>
      </c>
      <c r="BJ136" s="110"/>
      <c r="BK136" s="110"/>
      <c r="BL136" s="110"/>
      <c r="BM136" s="110"/>
      <c r="BN136" s="110"/>
      <c r="BO136" s="110"/>
      <c r="BP136" s="110"/>
      <c r="BQ136" s="110"/>
      <c r="BR136" s="110"/>
      <c r="BS136" s="110"/>
      <c r="BT136" s="110"/>
      <c r="BU136" s="110"/>
      <c r="BV136" s="110"/>
      <c r="BW136" s="110"/>
      <c r="BX136" s="110"/>
      <c r="BY136" s="110"/>
      <c r="BZ136" s="110"/>
      <c r="CA136" s="110"/>
      <c r="CB136" s="110"/>
      <c r="CC136" s="110"/>
      <c r="CD136" s="110"/>
      <c r="CE136" s="110"/>
      <c r="CF136" s="110"/>
      <c r="CG136" s="110"/>
      <c r="CH136" s="110"/>
      <c r="CI136" s="110"/>
      <c r="CJ136" s="110"/>
      <c r="CK136" s="110"/>
      <c r="CL136" s="110"/>
      <c r="CM136" s="110"/>
      <c r="CN136" s="110"/>
      <c r="CO136" s="110"/>
      <c r="CP136" s="110"/>
      <c r="CQ136" s="110"/>
      <c r="CR136" s="110"/>
      <c r="CS136" s="110"/>
      <c r="CT136" s="110"/>
      <c r="CU136" s="110"/>
      <c r="CV136" s="110"/>
      <c r="CW136" s="110"/>
      <c r="CX136" s="110"/>
      <c r="CY136" s="110"/>
      <c r="CZ136" s="110"/>
      <c r="DA136" s="110"/>
      <c r="DB136" s="110"/>
      <c r="DC136" s="110"/>
      <c r="DD136" s="110"/>
      <c r="DE136" s="110"/>
      <c r="DF136" s="110"/>
      <c r="DG136" s="110"/>
      <c r="DH136" s="110"/>
      <c r="DI136" s="110"/>
      <c r="DJ136" s="110"/>
      <c r="DK136" s="110"/>
      <c r="DL136" s="110"/>
      <c r="DM136" s="110"/>
      <c r="DN136" s="110"/>
      <c r="DO136" s="110"/>
      <c r="DP136" s="110"/>
      <c r="DQ136" s="110"/>
      <c r="DR136" s="110"/>
      <c r="DS136" s="110"/>
      <c r="DT136" s="110"/>
    </row>
    <row r="137" spans="1:124" s="122" customFormat="1" ht="23.4" customHeight="1" x14ac:dyDescent="0.35">
      <c r="A137" s="120" t="s">
        <v>306</v>
      </c>
      <c r="B137" s="121">
        <f t="shared" ref="B137:AG137" si="56">+B133*B47</f>
        <v>1</v>
      </c>
      <c r="C137" s="121">
        <f t="shared" si="56"/>
        <v>1.1040808032</v>
      </c>
      <c r="D137" s="121">
        <f t="shared" si="56"/>
        <v>1.21899442</v>
      </c>
      <c r="E137" s="121">
        <f t="shared" si="56"/>
        <v>1.3458683383000001</v>
      </c>
      <c r="F137" s="121">
        <f t="shared" si="56"/>
        <v>1.485947396</v>
      </c>
      <c r="G137" s="121">
        <f t="shared" si="56"/>
        <v>1.6406059945</v>
      </c>
      <c r="H137" s="121">
        <f t="shared" si="56"/>
        <v>1.8113615840999999</v>
      </c>
      <c r="I137" s="121">
        <f t="shared" si="56"/>
        <v>1.9998895527</v>
      </c>
      <c r="J137" s="121">
        <f t="shared" si="56"/>
        <v>2.2080396636000001</v>
      </c>
      <c r="K137" s="121">
        <f t="shared" si="56"/>
        <v>2.4378542052999999</v>
      </c>
      <c r="L137" s="121">
        <f t="shared" si="56"/>
        <v>2.6915880291000001</v>
      </c>
      <c r="M137" s="121">
        <f t="shared" si="56"/>
        <v>2.9717306730000002</v>
      </c>
      <c r="N137" s="121">
        <f t="shared" si="56"/>
        <v>3.2810307883999998</v>
      </c>
      <c r="O137" s="121">
        <f t="shared" si="56"/>
        <v>3.6225231081000002</v>
      </c>
      <c r="P137" s="121">
        <f t="shared" si="56"/>
        <v>3.9995582228000002</v>
      </c>
      <c r="Q137" s="121">
        <f t="shared" si="56"/>
        <v>4.4158354550999999</v>
      </c>
      <c r="R137" s="121">
        <f t="shared" si="56"/>
        <v>4.8754391560999997</v>
      </c>
      <c r="S137" s="121">
        <f t="shared" si="56"/>
        <v>5.3828787794000004</v>
      </c>
      <c r="T137" s="121">
        <f t="shared" si="56"/>
        <v>5.9431331263000002</v>
      </c>
      <c r="U137" s="121">
        <f t="shared" si="56"/>
        <v>6.5616991956000001</v>
      </c>
      <c r="V137" s="121">
        <f t="shared" si="56"/>
        <v>7.2446461183000004</v>
      </c>
      <c r="W137" s="121">
        <f t="shared" si="56"/>
        <v>7.9986747051</v>
      </c>
      <c r="X137" s="121">
        <f t="shared" si="56"/>
        <v>8.8311831929999993</v>
      </c>
      <c r="Y137" s="121">
        <f t="shared" si="56"/>
        <v>9.7503398328999999</v>
      </c>
      <c r="Z137" s="121">
        <f t="shared" si="56"/>
        <v>10.7651630342</v>
      </c>
      <c r="AA137" s="121">
        <f t="shared" si="56"/>
        <v>11.8856098494</v>
      </c>
      <c r="AB137" s="121">
        <f t="shared" si="56"/>
        <v>13.122673668999999</v>
      </c>
      <c r="AC137" s="121">
        <f t="shared" si="56"/>
        <v>14.488492084600001</v>
      </c>
      <c r="AD137" s="121">
        <f t="shared" si="56"/>
        <v>15.996465978</v>
      </c>
      <c r="AE137" s="121">
        <f t="shared" si="56"/>
        <v>17.661391005300001</v>
      </c>
      <c r="AF137" s="121">
        <f t="shared" si="56"/>
        <v>19.499602766799999</v>
      </c>
      <c r="AG137" s="121">
        <f t="shared" si="56"/>
        <v>21.529137084799999</v>
      </c>
      <c r="AH137" s="121">
        <f t="shared" ref="AH137:BI137" si="57">+AH133*AH47</f>
        <v>23.769906964800001</v>
      </c>
      <c r="AI137" s="121">
        <f t="shared" si="57"/>
        <v>26.243897973700001</v>
      </c>
      <c r="AJ137" s="121">
        <f t="shared" si="57"/>
        <v>28.9753839539</v>
      </c>
      <c r="AK137" s="121">
        <f t="shared" si="57"/>
        <v>31.9911651888</v>
      </c>
      <c r="AL137" s="121">
        <f t="shared" si="57"/>
        <v>35.320831357000003</v>
      </c>
      <c r="AM137" s="121">
        <f t="shared" si="57"/>
        <v>38.997051854299997</v>
      </c>
      <c r="AN137" s="121">
        <f t="shared" si="57"/>
        <v>43.055896333699998</v>
      </c>
      <c r="AO137" s="121">
        <f t="shared" si="57"/>
        <v>47.537188606699999</v>
      </c>
      <c r="AP137" s="121">
        <f t="shared" si="57"/>
        <v>52.484897378699998</v>
      </c>
      <c r="AQ137" s="121">
        <f t="shared" si="57"/>
        <v>57.9475676538</v>
      </c>
      <c r="AR137" s="121">
        <f t="shared" si="57"/>
        <v>63.9787970386</v>
      </c>
      <c r="AS137" s="121">
        <f t="shared" si="57"/>
        <v>70.637761622200003</v>
      </c>
      <c r="AT137" s="121">
        <f t="shared" si="57"/>
        <v>77.989796588100006</v>
      </c>
      <c r="AU137" s="121">
        <f t="shared" si="57"/>
        <v>110.09463323492842</v>
      </c>
      <c r="AV137" s="121">
        <f t="shared" si="57"/>
        <v>107.34226740405521</v>
      </c>
      <c r="AW137" s="121">
        <f t="shared" si="57"/>
        <v>104.65871071895383</v>
      </c>
      <c r="AX137" s="121">
        <f t="shared" si="57"/>
        <v>102.04224295097998</v>
      </c>
      <c r="AY137" s="121">
        <f t="shared" si="57"/>
        <v>99.491186877205479</v>
      </c>
      <c r="AZ137" s="121">
        <f t="shared" si="57"/>
        <v>97.00390720527534</v>
      </c>
      <c r="BA137" s="121">
        <f t="shared" si="57"/>
        <v>94.578809525143456</v>
      </c>
      <c r="BB137" s="121">
        <f t="shared" si="57"/>
        <v>92.214339287014866</v>
      </c>
      <c r="BC137" s="121">
        <f t="shared" si="57"/>
        <v>89.908980804839487</v>
      </c>
      <c r="BD137" s="121">
        <f t="shared" si="57"/>
        <v>87.661256284718505</v>
      </c>
      <c r="BE137" s="121">
        <f t="shared" si="57"/>
        <v>85.469724877600541</v>
      </c>
      <c r="BF137" s="121">
        <f t="shared" si="57"/>
        <v>83.332981755660526</v>
      </c>
      <c r="BG137" s="121">
        <f t="shared" si="57"/>
        <v>63.4998585612</v>
      </c>
      <c r="BH137" s="121">
        <f t="shared" si="57"/>
        <v>24.595649848600001</v>
      </c>
      <c r="BI137" s="121">
        <f t="shared" si="57"/>
        <v>0</v>
      </c>
      <c r="BJ137" s="121"/>
      <c r="BK137" s="121"/>
      <c r="BL137" s="121"/>
      <c r="BM137" s="121"/>
      <c r="BN137" s="121"/>
      <c r="BO137" s="121"/>
      <c r="BP137" s="121"/>
      <c r="BQ137" s="121"/>
      <c r="BR137" s="121"/>
      <c r="BS137" s="121"/>
      <c r="BT137" s="121"/>
      <c r="BU137" s="121"/>
      <c r="BV137" s="121"/>
      <c r="BW137" s="121"/>
      <c r="BX137" s="121"/>
      <c r="BY137" s="121"/>
      <c r="BZ137" s="121"/>
      <c r="CA137" s="121"/>
      <c r="CB137" s="121"/>
      <c r="CC137" s="121"/>
      <c r="CD137" s="121"/>
      <c r="CE137" s="121"/>
      <c r="CF137" s="121"/>
      <c r="CG137" s="121"/>
      <c r="CH137" s="121"/>
      <c r="CI137" s="121"/>
      <c r="CJ137" s="121"/>
      <c r="CK137" s="121"/>
      <c r="CL137" s="121"/>
      <c r="CM137" s="121"/>
      <c r="CN137" s="121"/>
      <c r="CO137" s="121"/>
      <c r="CP137" s="121"/>
      <c r="CQ137" s="121"/>
      <c r="CR137" s="121"/>
      <c r="CS137" s="121"/>
      <c r="CT137" s="121"/>
      <c r="CU137" s="121"/>
      <c r="CV137" s="121"/>
      <c r="CW137" s="121"/>
      <c r="CX137" s="121"/>
      <c r="CY137" s="121"/>
      <c r="CZ137" s="121"/>
      <c r="DA137" s="121"/>
      <c r="DB137" s="121"/>
      <c r="DC137" s="121"/>
      <c r="DD137" s="121"/>
      <c r="DE137" s="121"/>
      <c r="DF137" s="121"/>
      <c r="DG137" s="121"/>
      <c r="DH137" s="121"/>
      <c r="DI137" s="121"/>
      <c r="DJ137" s="121"/>
      <c r="DK137" s="121"/>
      <c r="DL137" s="121"/>
      <c r="DM137" s="121"/>
      <c r="DN137" s="121"/>
      <c r="DO137" s="121"/>
      <c r="DP137" s="121"/>
      <c r="DQ137" s="121"/>
      <c r="DR137" s="121"/>
      <c r="DS137" s="121"/>
      <c r="DT137" s="121"/>
    </row>
    <row r="138" spans="1:124" s="162" customFormat="1" ht="23.4" customHeight="1" x14ac:dyDescent="0.35">
      <c r="A138" s="160" t="s">
        <v>316</v>
      </c>
      <c r="B138" s="161">
        <f>+C154</f>
        <v>5.1594615223018003E-2</v>
      </c>
      <c r="C138" s="161">
        <f t="shared" ref="C138:BH138" si="58">+D154</f>
        <v>5.0721601094942725E-2</v>
      </c>
      <c r="D138" s="161">
        <f t="shared" si="58"/>
        <v>4.9675917957545446E-2</v>
      </c>
      <c r="E138" s="161">
        <f t="shared" si="58"/>
        <v>4.8553626146752515E-2</v>
      </c>
      <c r="F138" s="161">
        <f t="shared" si="58"/>
        <v>4.7406935926568528E-2</v>
      </c>
      <c r="G138" s="161">
        <f t="shared" si="58"/>
        <v>4.6264094867610073E-2</v>
      </c>
      <c r="H138" s="161">
        <f t="shared" si="58"/>
        <v>4.514025251833309E-2</v>
      </c>
      <c r="I138" s="161">
        <f t="shared" si="58"/>
        <v>4.4043184586864736E-2</v>
      </c>
      <c r="J138" s="161">
        <f t="shared" si="58"/>
        <v>4.2976597860111987E-2</v>
      </c>
      <c r="K138" s="161">
        <f t="shared" si="58"/>
        <v>4.194202473491826E-2</v>
      </c>
      <c r="L138" s="161">
        <f t="shared" si="58"/>
        <v>4.0939958004671206E-2</v>
      </c>
      <c r="M138" s="161">
        <f t="shared" si="58"/>
        <v>3.9970440776678995E-2</v>
      </c>
      <c r="N138" s="161">
        <f t="shared" si="58"/>
        <v>3.9033443977856352E-2</v>
      </c>
      <c r="O138" s="161">
        <f t="shared" si="58"/>
        <v>3.812888543794557E-2</v>
      </c>
      <c r="P138" s="161">
        <f t="shared" si="58"/>
        <v>3.7256741975219221E-2</v>
      </c>
      <c r="Q138" s="161">
        <f t="shared" si="58"/>
        <v>3.641701594532698E-2</v>
      </c>
      <c r="R138" s="161">
        <f t="shared" si="58"/>
        <v>3.5609879758786933E-2</v>
      </c>
      <c r="S138" s="161">
        <f t="shared" si="58"/>
        <v>3.4835833873789079E-2</v>
      </c>
      <c r="T138" s="161">
        <f t="shared" si="58"/>
        <v>3.4103873504358173E-2</v>
      </c>
      <c r="U138" s="161">
        <f t="shared" si="58"/>
        <v>3.3409029056844952E-2</v>
      </c>
      <c r="V138" s="161">
        <f t="shared" si="58"/>
        <v>3.2747673131793054E-2</v>
      </c>
      <c r="W138" s="161">
        <f t="shared" si="58"/>
        <v>3.2117338583000699E-2</v>
      </c>
      <c r="X138" s="161">
        <f t="shared" si="58"/>
        <v>3.1516199831903347E-2</v>
      </c>
      <c r="Y138" s="161">
        <f t="shared" si="58"/>
        <v>3.0942875427817373E-2</v>
      </c>
      <c r="Z138" s="161">
        <f t="shared" si="58"/>
        <v>3.0396162767439394E-2</v>
      </c>
      <c r="AA138" s="161">
        <f t="shared" si="58"/>
        <v>2.9875004183853138E-2</v>
      </c>
      <c r="AB138" s="161">
        <f t="shared" si="58"/>
        <v>2.9378352367509963E-2</v>
      </c>
      <c r="AC138" s="161">
        <f t="shared" si="58"/>
        <v>2.8905147508369256E-2</v>
      </c>
      <c r="AD138" s="161">
        <f t="shared" si="58"/>
        <v>2.8626188788366536E-2</v>
      </c>
      <c r="AE138" s="161">
        <f t="shared" si="58"/>
        <v>2.802058047323297E-2</v>
      </c>
      <c r="AF138" s="161">
        <f t="shared" si="58"/>
        <v>2.7626321062167225E-2</v>
      </c>
      <c r="AG138" s="161">
        <f t="shared" si="58"/>
        <v>2.7250325455625113E-2</v>
      </c>
      <c r="AH138" s="161">
        <f t="shared" si="58"/>
        <v>2.6892657777352946E-2</v>
      </c>
      <c r="AI138" s="161">
        <f t="shared" si="58"/>
        <v>2.655310283794754E-2</v>
      </c>
      <c r="AJ138" s="161">
        <f t="shared" si="58"/>
        <v>2.623122566814251E-2</v>
      </c>
      <c r="AK138" s="161">
        <f t="shared" si="58"/>
        <v>2.5926342390159451E-2</v>
      </c>
      <c r="AL138" s="161">
        <f t="shared" si="58"/>
        <v>2.5637466630319405E-2</v>
      </c>
      <c r="AM138" s="161">
        <f t="shared" si="58"/>
        <v>2.5363047412806594E-2</v>
      </c>
      <c r="AN138" s="161">
        <f t="shared" si="58"/>
        <v>2.510069538612969E-2</v>
      </c>
      <c r="AO138" s="161">
        <f t="shared" si="58"/>
        <v>2.4846387183290686E-2</v>
      </c>
      <c r="AP138" s="161">
        <f t="shared" si="58"/>
        <v>2.4593347290408296E-2</v>
      </c>
      <c r="AQ138" s="161">
        <f t="shared" si="58"/>
        <v>2.4329827070075805E-2</v>
      </c>
      <c r="AR138" s="161">
        <f t="shared" si="58"/>
        <v>2.4035407882181392E-2</v>
      </c>
      <c r="AS138" s="161">
        <f t="shared" si="58"/>
        <v>2.3674636479431355E-2</v>
      </c>
      <c r="AT138" s="161">
        <f t="shared" si="58"/>
        <v>2.5026849689567143E-2</v>
      </c>
      <c r="AU138" s="161">
        <f t="shared" si="58"/>
        <v>2.4364692126560339E-2</v>
      </c>
      <c r="AV138" s="161">
        <f t="shared" si="58"/>
        <v>2.4194237703163424E-2</v>
      </c>
      <c r="AW138" s="161">
        <f t="shared" si="58"/>
        <v>2.4139412204661648E-2</v>
      </c>
      <c r="AX138" s="161">
        <f t="shared" si="58"/>
        <v>2.4218341843437186E-2</v>
      </c>
      <c r="AY138" s="161">
        <f t="shared" si="58"/>
        <v>1.6559788755514671E-2</v>
      </c>
      <c r="AZ138" s="161">
        <f t="shared" si="58"/>
        <v>2.5354398591283411E-2</v>
      </c>
      <c r="BA138" s="161">
        <f t="shared" si="58"/>
        <v>2.4520711626317082E-2</v>
      </c>
      <c r="BB138" s="161">
        <f t="shared" si="58"/>
        <v>2.3878727622943297E-2</v>
      </c>
      <c r="BC138" s="161">
        <f t="shared" si="58"/>
        <v>2.3366296866754288E-2</v>
      </c>
      <c r="BD138" s="161">
        <f t="shared" si="58"/>
        <v>2.2942863561626003E-2</v>
      </c>
      <c r="BE138" s="161">
        <f t="shared" si="58"/>
        <v>2.2581595877444904E-2</v>
      </c>
      <c r="BF138" s="161">
        <f t="shared" si="58"/>
        <v>2.2264574358544342E-2</v>
      </c>
      <c r="BG138" s="161">
        <f t="shared" si="58"/>
        <v>2.1979753383442047E-2</v>
      </c>
      <c r="BH138" s="161">
        <f t="shared" si="58"/>
        <v>2.1718996068706975E-2</v>
      </c>
      <c r="BI138" s="161"/>
    </row>
    <row r="139" spans="1:124" ht="23.4" customHeight="1" x14ac:dyDescent="0.35"/>
    <row r="140" spans="1:124" ht="23.4" customHeight="1" x14ac:dyDescent="0.35"/>
    <row r="141" spans="1:124" ht="23.4" customHeight="1" x14ac:dyDescent="0.35">
      <c r="C141" s="8"/>
      <c r="D141" s="8"/>
      <c r="E141" s="8"/>
    </row>
    <row r="142" spans="1:124" ht="23.4" customHeight="1" x14ac:dyDescent="0.35">
      <c r="B142" s="123"/>
      <c r="C142" s="123"/>
      <c r="D142" s="123"/>
      <c r="E142" s="123"/>
    </row>
    <row r="143" spans="1:124" ht="23.4" customHeight="1" x14ac:dyDescent="0.35"/>
    <row r="144" spans="1:124" ht="23.4" customHeight="1" x14ac:dyDescent="0.35">
      <c r="A144" s="2"/>
      <c r="B144" s="2"/>
    </row>
    <row r="145" spans="1:124" ht="23.4" customHeight="1" x14ac:dyDescent="0.35">
      <c r="A145" s="2"/>
      <c r="B145" s="2"/>
    </row>
    <row r="146" spans="1:124" ht="23.4" customHeight="1" thickBot="1" x14ac:dyDescent="0.4">
      <c r="A146" s="95" t="s">
        <v>339</v>
      </c>
      <c r="B146" s="2"/>
    </row>
    <row r="147" spans="1:124" ht="21" customHeight="1" thickTop="1" x14ac:dyDescent="0.35">
      <c r="A147" s="13" t="s">
        <v>237</v>
      </c>
      <c r="B147" s="2"/>
    </row>
    <row r="148" spans="1:124" ht="21" customHeight="1" x14ac:dyDescent="0.35">
      <c r="A148" s="13" t="s">
        <v>238</v>
      </c>
      <c r="B148" s="2"/>
      <c r="C148" s="2">
        <f t="shared" ref="C148:AH148" si="59">+(C53/B53)^0.2</f>
        <v>1.0116028097333745</v>
      </c>
      <c r="D148" s="2">
        <f t="shared" si="59"/>
        <v>1.0100345466701126</v>
      </c>
      <c r="E148" s="2">
        <f t="shared" si="59"/>
        <v>1.0086791622039537</v>
      </c>
      <c r="F148" s="2">
        <f t="shared" si="59"/>
        <v>1.0075075318291871</v>
      </c>
      <c r="G148" s="2">
        <f t="shared" si="59"/>
        <v>1.0064945727522834</v>
      </c>
      <c r="H148" s="2">
        <f t="shared" si="59"/>
        <v>1.0056186687743522</v>
      </c>
      <c r="I148" s="2">
        <f t="shared" si="59"/>
        <v>1.0048611805233922</v>
      </c>
      <c r="J148" s="2">
        <f t="shared" si="59"/>
        <v>1.0042060275191533</v>
      </c>
      <c r="K148" s="2">
        <f t="shared" si="59"/>
        <v>1.0036393308936822</v>
      </c>
      <c r="L148" s="2">
        <f t="shared" si="59"/>
        <v>1.0031491074812331</v>
      </c>
      <c r="M148" s="2">
        <f t="shared" si="59"/>
        <v>1.0027250075278795</v>
      </c>
      <c r="N148" s="2">
        <f t="shared" si="59"/>
        <v>1.0023580895273503</v>
      </c>
      <c r="O148" s="2">
        <f t="shared" si="59"/>
        <v>1.00204062672215</v>
      </c>
      <c r="P148" s="2">
        <f t="shared" si="59"/>
        <v>1.0017659406620689</v>
      </c>
      <c r="Q148" s="2">
        <f t="shared" si="59"/>
        <v>1.0015282579203173</v>
      </c>
      <c r="R148" s="2">
        <f t="shared" si="59"/>
        <v>1.0013225866579545</v>
      </c>
      <c r="S148" s="2">
        <f t="shared" si="59"/>
        <v>1.0011446102215715</v>
      </c>
      <c r="T148" s="2">
        <f t="shared" si="59"/>
        <v>1.0009905953745444</v>
      </c>
      <c r="U148" s="2">
        <f t="shared" si="59"/>
        <v>1.0008573131123586</v>
      </c>
      <c r="V148" s="2">
        <f t="shared" si="59"/>
        <v>1.0007419703086711</v>
      </c>
      <c r="W148" s="2">
        <f t="shared" si="59"/>
        <v>1.0006421506899126</v>
      </c>
      <c r="X148" s="2">
        <f t="shared" si="59"/>
        <v>1.0005557638497422</v>
      </c>
      <c r="Y148" s="2">
        <f t="shared" si="59"/>
        <v>1.0004810011965555</v>
      </c>
      <c r="Z148" s="2">
        <f t="shared" si="59"/>
        <v>1.00041629788252</v>
      </c>
      <c r="AA148" s="2">
        <f t="shared" si="59"/>
        <v>1.0003602998953873</v>
      </c>
      <c r="AB148" s="2">
        <f t="shared" si="59"/>
        <v>1.0003118356080356</v>
      </c>
      <c r="AC148" s="2">
        <f t="shared" si="59"/>
        <v>1.0002698911782073</v>
      </c>
      <c r="AD148" s="2">
        <f t="shared" si="59"/>
        <v>1.0002335892746335</v>
      </c>
      <c r="AE148" s="2">
        <f t="shared" si="59"/>
        <v>1.00020217067768</v>
      </c>
      <c r="AF148" s="2">
        <f t="shared" si="59"/>
        <v>1.0001749783645633</v>
      </c>
      <c r="AG148" s="2">
        <f t="shared" si="59"/>
        <v>1.0001514437424595</v>
      </c>
      <c r="AH148" s="2">
        <f t="shared" si="59"/>
        <v>1.0001310747387555</v>
      </c>
      <c r="AI148" s="2">
        <f t="shared" ref="AI148:BI148" si="60">+(AI53/AH53)^0.2</f>
        <v>1.0001134454972587</v>
      </c>
      <c r="AJ148" s="2">
        <f t="shared" si="60"/>
        <v>1.0000981874633217</v>
      </c>
      <c r="AK148" s="2">
        <f t="shared" si="60"/>
        <v>1.0000849816702952</v>
      </c>
      <c r="AL148" s="2">
        <f t="shared" si="60"/>
        <v>1.0000735520651485</v>
      </c>
      <c r="AM148" s="2">
        <f t="shared" si="60"/>
        <v>1.0000636597330521</v>
      </c>
      <c r="AN148" s="2">
        <f t="shared" si="60"/>
        <v>1.0000550978996956</v>
      </c>
      <c r="AO148" s="2">
        <f t="shared" si="60"/>
        <v>1.0000476876064832</v>
      </c>
      <c r="AP148" s="2">
        <f t="shared" si="60"/>
        <v>1.0000412739679339</v>
      </c>
      <c r="AQ148" s="2">
        <f t="shared" si="60"/>
        <v>1.0000357229328398</v>
      </c>
      <c r="AR148" s="2">
        <f t="shared" si="60"/>
        <v>1.000030918481331</v>
      </c>
      <c r="AS148" s="2">
        <f t="shared" si="60"/>
        <v>1.0000267601991399</v>
      </c>
      <c r="AT148" s="2">
        <f t="shared" si="60"/>
        <v>1.0000231611782795</v>
      </c>
      <c r="AU148" s="2">
        <f t="shared" si="60"/>
        <v>1.0000200462001916</v>
      </c>
      <c r="AV148" s="2">
        <f t="shared" si="60"/>
        <v>1.0000173501633398</v>
      </c>
      <c r="AW148" s="2">
        <f t="shared" si="60"/>
        <v>1.0000150167223523</v>
      </c>
      <c r="AX148" s="2">
        <f t="shared" si="60"/>
        <v>1.0000129971102385</v>
      </c>
      <c r="AY148" s="2">
        <f t="shared" si="60"/>
        <v>1.0000112491190509</v>
      </c>
      <c r="AZ148" s="2">
        <f t="shared" si="60"/>
        <v>1.000009736217665</v>
      </c>
      <c r="BA148" s="2">
        <f t="shared" si="60"/>
        <v>1.0000084267882341</v>
      </c>
      <c r="BB148" s="2">
        <f t="shared" si="60"/>
        <v>1.0000072934653517</v>
      </c>
      <c r="BC148" s="2">
        <f t="shared" si="60"/>
        <v>1.0000063125641003</v>
      </c>
      <c r="BD148" s="2">
        <f t="shared" si="60"/>
        <v>1.0000054635850353</v>
      </c>
      <c r="BE148" s="2">
        <f t="shared" si="60"/>
        <v>1.0000047287857465</v>
      </c>
      <c r="BF148" s="2">
        <f t="shared" si="60"/>
        <v>1.0000040928100502</v>
      </c>
      <c r="BG148" s="2">
        <f t="shared" si="60"/>
        <v>1.0000035423670515</v>
      </c>
      <c r="BH148" s="2">
        <f t="shared" si="60"/>
        <v>1.0000030659533765</v>
      </c>
      <c r="BI148" s="2">
        <f t="shared" si="60"/>
        <v>1.0000026536127598</v>
      </c>
    </row>
    <row r="149" spans="1:124" ht="21" customHeight="1" x14ac:dyDescent="0.35">
      <c r="A149" s="13" t="s">
        <v>239</v>
      </c>
      <c r="B149" s="2"/>
      <c r="C149" s="2">
        <f t="shared" ref="C149:AH149" si="61">+(B18/C18)^0.2</f>
        <v>1.0149999999999999</v>
      </c>
      <c r="D149" s="2">
        <f t="shared" si="61"/>
        <v>1.0149999999999999</v>
      </c>
      <c r="E149" s="2">
        <f t="shared" si="61"/>
        <v>1.0149999999999999</v>
      </c>
      <c r="F149" s="2">
        <f t="shared" si="61"/>
        <v>1.0149999999999999</v>
      </c>
      <c r="G149" s="2">
        <f t="shared" si="61"/>
        <v>1.0149999999999999</v>
      </c>
      <c r="H149" s="2">
        <f t="shared" si="61"/>
        <v>1.0149999999999999</v>
      </c>
      <c r="I149" s="2">
        <f t="shared" si="61"/>
        <v>1.0149999999999999</v>
      </c>
      <c r="J149" s="2">
        <f t="shared" si="61"/>
        <v>1.0149999999999999</v>
      </c>
      <c r="K149" s="2">
        <f t="shared" si="61"/>
        <v>1.0149999999999999</v>
      </c>
      <c r="L149" s="2">
        <f t="shared" si="61"/>
        <v>1.0149999999999999</v>
      </c>
      <c r="M149" s="2">
        <f t="shared" si="61"/>
        <v>1.0149999999999999</v>
      </c>
      <c r="N149" s="2">
        <f t="shared" si="61"/>
        <v>1.0149999999999999</v>
      </c>
      <c r="O149" s="2">
        <f t="shared" si="61"/>
        <v>1.0149999999999999</v>
      </c>
      <c r="P149" s="2">
        <f t="shared" si="61"/>
        <v>1.0149999999999999</v>
      </c>
      <c r="Q149" s="2">
        <f t="shared" si="61"/>
        <v>1.0149999999999999</v>
      </c>
      <c r="R149" s="2">
        <f t="shared" si="61"/>
        <v>1.0149999999999999</v>
      </c>
      <c r="S149" s="2">
        <f t="shared" si="61"/>
        <v>1.0149999999999999</v>
      </c>
      <c r="T149" s="2">
        <f t="shared" si="61"/>
        <v>1.0149999999999999</v>
      </c>
      <c r="U149" s="2">
        <f t="shared" si="61"/>
        <v>1.0149999999999999</v>
      </c>
      <c r="V149" s="2">
        <f t="shared" si="61"/>
        <v>1.0149999999999999</v>
      </c>
      <c r="W149" s="2">
        <f t="shared" si="61"/>
        <v>1.0149999999999999</v>
      </c>
      <c r="X149" s="2">
        <f t="shared" si="61"/>
        <v>1.0149999999999999</v>
      </c>
      <c r="Y149" s="2">
        <f t="shared" si="61"/>
        <v>1.0149999999999999</v>
      </c>
      <c r="Z149" s="2">
        <f t="shared" si="61"/>
        <v>1.0149999999999999</v>
      </c>
      <c r="AA149" s="2">
        <f t="shared" si="61"/>
        <v>1.0149999999999999</v>
      </c>
      <c r="AB149" s="2">
        <f t="shared" si="61"/>
        <v>1.0149999999999999</v>
      </c>
      <c r="AC149" s="2">
        <f t="shared" si="61"/>
        <v>1.0149999999999999</v>
      </c>
      <c r="AD149" s="2">
        <f t="shared" si="61"/>
        <v>1.0149999999999999</v>
      </c>
      <c r="AE149" s="2">
        <f t="shared" si="61"/>
        <v>1.0149999999999999</v>
      </c>
      <c r="AF149" s="2">
        <f t="shared" si="61"/>
        <v>1.0149999999999999</v>
      </c>
      <c r="AG149" s="2">
        <f t="shared" si="61"/>
        <v>1.0149999999999999</v>
      </c>
      <c r="AH149" s="2">
        <f t="shared" si="61"/>
        <v>1.0149999999999999</v>
      </c>
      <c r="AI149" s="2">
        <f t="shared" ref="AI149:BI149" si="62">+(AH18/AI18)^0.2</f>
        <v>1.0149999999999999</v>
      </c>
      <c r="AJ149" s="2">
        <f t="shared" si="62"/>
        <v>1.0149999999999999</v>
      </c>
      <c r="AK149" s="2">
        <f t="shared" si="62"/>
        <v>1.0149999999999999</v>
      </c>
      <c r="AL149" s="2">
        <f t="shared" si="62"/>
        <v>1.0149999999999999</v>
      </c>
      <c r="AM149" s="2">
        <f t="shared" si="62"/>
        <v>1.0149999999999999</v>
      </c>
      <c r="AN149" s="2">
        <f t="shared" si="62"/>
        <v>1.0149999999999999</v>
      </c>
      <c r="AO149" s="2">
        <f t="shared" si="62"/>
        <v>1.0149999999999999</v>
      </c>
      <c r="AP149" s="2">
        <f t="shared" si="62"/>
        <v>1.0149999999999999</v>
      </c>
      <c r="AQ149" s="2">
        <f t="shared" si="62"/>
        <v>1.0149999999999999</v>
      </c>
      <c r="AR149" s="2">
        <f t="shared" si="62"/>
        <v>1.0149999999999999</v>
      </c>
      <c r="AS149" s="2">
        <f t="shared" si="62"/>
        <v>1.0149999999999999</v>
      </c>
      <c r="AT149" s="2">
        <f t="shared" si="62"/>
        <v>1.0149999999999999</v>
      </c>
      <c r="AU149" s="2">
        <f t="shared" si="62"/>
        <v>1.0149999999999999</v>
      </c>
      <c r="AV149" s="2">
        <f t="shared" si="62"/>
        <v>1.0149999999999999</v>
      </c>
      <c r="AW149" s="2">
        <f t="shared" si="62"/>
        <v>1.0149999999999999</v>
      </c>
      <c r="AX149" s="2">
        <f t="shared" si="62"/>
        <v>1.0149999999999999</v>
      </c>
      <c r="AY149" s="2">
        <f t="shared" si="62"/>
        <v>1.0149999999999999</v>
      </c>
      <c r="AZ149" s="2">
        <f t="shared" si="62"/>
        <v>1.0149999999999999</v>
      </c>
      <c r="BA149" s="2">
        <f t="shared" si="62"/>
        <v>1.0149999999999999</v>
      </c>
      <c r="BB149" s="2">
        <f t="shared" si="62"/>
        <v>1.0149999999999999</v>
      </c>
      <c r="BC149" s="2">
        <f t="shared" si="62"/>
        <v>1.0149999999999999</v>
      </c>
      <c r="BD149" s="2">
        <f t="shared" si="62"/>
        <v>1.0149999999999999</v>
      </c>
      <c r="BE149" s="2">
        <f t="shared" si="62"/>
        <v>1.0149999999999999</v>
      </c>
      <c r="BF149" s="2">
        <f t="shared" si="62"/>
        <v>1.0149999999999999</v>
      </c>
      <c r="BG149" s="2">
        <f t="shared" si="62"/>
        <v>1.0149999999999999</v>
      </c>
      <c r="BH149" s="2">
        <f t="shared" si="62"/>
        <v>1.0149999999999999</v>
      </c>
      <c r="BI149" s="2">
        <f t="shared" si="62"/>
        <v>1.0149999999999999</v>
      </c>
    </row>
    <row r="150" spans="1:124" ht="21" customHeight="1" x14ac:dyDescent="0.35">
      <c r="A150" s="13" t="s">
        <v>240</v>
      </c>
      <c r="B150" s="2"/>
      <c r="C150" s="2">
        <f t="shared" ref="C150:AH150" si="63">+((C126/B126)^($B$19))^0.2</f>
        <v>1.0360538081014956</v>
      </c>
      <c r="D150" s="2">
        <f t="shared" si="63"/>
        <v>1.0351936956600423</v>
      </c>
      <c r="E150" s="2">
        <f t="shared" si="63"/>
        <v>1.0341634659680252</v>
      </c>
      <c r="F150" s="2">
        <f t="shared" si="63"/>
        <v>1.0330577597504953</v>
      </c>
      <c r="G150" s="2">
        <f t="shared" si="63"/>
        <v>1.0319280156912005</v>
      </c>
      <c r="H150" s="2">
        <f t="shared" si="63"/>
        <v>1.0308020639089754</v>
      </c>
      <c r="I150" s="2">
        <f t="shared" si="63"/>
        <v>1.0296948300673234</v>
      </c>
      <c r="J150" s="2">
        <f t="shared" si="63"/>
        <v>1.0286139749624283</v>
      </c>
      <c r="K150" s="2">
        <f t="shared" si="63"/>
        <v>1.0275631506010956</v>
      </c>
      <c r="L150" s="2">
        <f t="shared" si="63"/>
        <v>1.0265438667339097</v>
      </c>
      <c r="M150" s="2">
        <f t="shared" si="63"/>
        <v>1.0255566088715973</v>
      </c>
      <c r="N150" s="2">
        <f t="shared" si="63"/>
        <v>1.0246014194844129</v>
      </c>
      <c r="O150" s="2">
        <f t="shared" si="63"/>
        <v>1.0236782699289226</v>
      </c>
      <c r="P150" s="2">
        <f t="shared" si="63"/>
        <v>1.0227870792492075</v>
      </c>
      <c r="Q150" s="2">
        <f t="shared" si="63"/>
        <v>1.0219278246061274</v>
      </c>
      <c r="R150" s="2">
        <f t="shared" si="63"/>
        <v>1.0211005083205194</v>
      </c>
      <c r="S150" s="2">
        <f t="shared" si="63"/>
        <v>1.0203053002549627</v>
      </c>
      <c r="T150" s="2">
        <f t="shared" si="63"/>
        <v>1.0195426934717136</v>
      </c>
      <c r="U150" s="2">
        <f t="shared" si="63"/>
        <v>1.0188215502505993</v>
      </c>
      <c r="V150" s="2">
        <f t="shared" si="63"/>
        <v>1.0181369744402415</v>
      </c>
      <c r="W150" s="2">
        <f t="shared" si="63"/>
        <v>1.017485392248072</v>
      </c>
      <c r="X150" s="2">
        <f t="shared" si="63"/>
        <v>1.0168643729881781</v>
      </c>
      <c r="Y150" s="2">
        <f t="shared" si="63"/>
        <v>1.0162721180609886</v>
      </c>
      <c r="Z150" s="2">
        <f t="shared" si="63"/>
        <v>1.0157072664313473</v>
      </c>
      <c r="AA150" s="2">
        <f t="shared" si="63"/>
        <v>1.0151686332684133</v>
      </c>
      <c r="AB150" s="2">
        <f t="shared" si="63"/>
        <v>1.0146551765358161</v>
      </c>
      <c r="AC150" s="2">
        <f t="shared" si="63"/>
        <v>1.0141658644014877</v>
      </c>
      <c r="AD150" s="2">
        <f t="shared" si="63"/>
        <v>1.0136996527176052</v>
      </c>
      <c r="AE150" s="2">
        <f t="shared" si="63"/>
        <v>1.0134248165402626</v>
      </c>
      <c r="AF150" s="2">
        <f t="shared" si="63"/>
        <v>1.0128281581017076</v>
      </c>
      <c r="AG150" s="2">
        <f t="shared" si="63"/>
        <v>1.0124397251844013</v>
      </c>
      <c r="AH150" s="2">
        <f t="shared" si="63"/>
        <v>1.0120692861631775</v>
      </c>
      <c r="AI150" s="2">
        <f t="shared" ref="AI150:BI150" si="64">+((AI126/AH126)^($B$19))^0.2</f>
        <v>1.011716904214141</v>
      </c>
      <c r="AJ150" s="2">
        <f t="shared" si="64"/>
        <v>1.0113823673280273</v>
      </c>
      <c r="AK150" s="2">
        <f t="shared" si="64"/>
        <v>1.0110652469636874</v>
      </c>
      <c r="AL150" s="2">
        <f t="shared" si="64"/>
        <v>1.0107648693499109</v>
      </c>
      <c r="AM150" s="2">
        <f t="shared" si="64"/>
        <v>1.01048026268997</v>
      </c>
      <c r="AN150" s="2">
        <f t="shared" si="64"/>
        <v>1.0102098989288737</v>
      </c>
      <c r="AO150" s="2">
        <f t="shared" si="64"/>
        <v>1.0099514240257437</v>
      </c>
      <c r="AP150" s="2">
        <f t="shared" si="64"/>
        <v>1.0097008740722078</v>
      </c>
      <c r="AQ150" s="2">
        <f t="shared" si="64"/>
        <v>1.0094515736851315</v>
      </c>
      <c r="AR150" s="2">
        <f t="shared" si="64"/>
        <v>1.0091919478522915</v>
      </c>
      <c r="AS150" s="2">
        <f t="shared" si="64"/>
        <v>1.0089018796868783</v>
      </c>
      <c r="AT150" s="2">
        <f t="shared" si="64"/>
        <v>1.0085464398812132</v>
      </c>
      <c r="AU150" s="2">
        <f t="shared" si="64"/>
        <v>1.0098786696448938</v>
      </c>
      <c r="AV150" s="2">
        <f t="shared" si="64"/>
        <v>1.009226297661636</v>
      </c>
      <c r="AW150" s="2">
        <f t="shared" si="64"/>
        <v>1.0090583622691267</v>
      </c>
      <c r="AX150" s="2">
        <f t="shared" si="64"/>
        <v>1.0090043469996668</v>
      </c>
      <c r="AY150" s="2">
        <f t="shared" si="64"/>
        <v>1.0090821101905787</v>
      </c>
      <c r="AZ150" s="2">
        <f t="shared" si="64"/>
        <v>1.0015367376901623</v>
      </c>
      <c r="BA150" s="2">
        <f t="shared" si="64"/>
        <v>1.0102013779224468</v>
      </c>
      <c r="BB150" s="2">
        <f t="shared" si="64"/>
        <v>1.0093800114544997</v>
      </c>
      <c r="BC150" s="2">
        <f t="shared" si="64"/>
        <v>1.0087475148994516</v>
      </c>
      <c r="BD150" s="2">
        <f t="shared" si="64"/>
        <v>1.0082426570115808</v>
      </c>
      <c r="BE150" s="2">
        <f t="shared" si="64"/>
        <v>1.0078254813415035</v>
      </c>
      <c r="BF150" s="2">
        <f t="shared" si="64"/>
        <v>1.0074695525886157</v>
      </c>
      <c r="BG150" s="2">
        <f t="shared" si="64"/>
        <v>1.0071572161167925</v>
      </c>
      <c r="BH150" s="2">
        <f t="shared" si="64"/>
        <v>1.0068766043186621</v>
      </c>
      <c r="BI150" s="2">
        <f t="shared" si="64"/>
        <v>1.0066197005603026</v>
      </c>
    </row>
    <row r="151" spans="1:124" ht="21" customHeight="1" x14ac:dyDescent="0.35">
      <c r="A151" s="13" t="s">
        <v>241</v>
      </c>
      <c r="B151" s="2"/>
      <c r="C151" s="2">
        <f>+C150*C149</f>
        <v>1.051594615223018</v>
      </c>
      <c r="D151" s="2">
        <f t="shared" ref="D151:BI151" si="65">+D150*D149</f>
        <v>1.0507216010949427</v>
      </c>
      <c r="E151" s="2">
        <f t="shared" si="65"/>
        <v>1.0496759179575454</v>
      </c>
      <c r="F151" s="2">
        <f t="shared" si="65"/>
        <v>1.0485536261467525</v>
      </c>
      <c r="G151" s="2">
        <f t="shared" si="65"/>
        <v>1.0474069359265685</v>
      </c>
      <c r="H151" s="2">
        <f t="shared" si="65"/>
        <v>1.0462640948676101</v>
      </c>
      <c r="I151" s="2">
        <f t="shared" si="65"/>
        <v>1.0451402525183331</v>
      </c>
      <c r="J151" s="2">
        <f t="shared" si="65"/>
        <v>1.0440431845868647</v>
      </c>
      <c r="K151" s="2">
        <f t="shared" si="65"/>
        <v>1.042976597860112</v>
      </c>
      <c r="L151" s="2">
        <f t="shared" si="65"/>
        <v>1.0419420247349183</v>
      </c>
      <c r="M151" s="2">
        <f t="shared" si="65"/>
        <v>1.0409399580046712</v>
      </c>
      <c r="N151" s="2">
        <f t="shared" si="65"/>
        <v>1.039970440776679</v>
      </c>
      <c r="O151" s="2">
        <f t="shared" si="65"/>
        <v>1.0390334439778564</v>
      </c>
      <c r="P151" s="2">
        <f t="shared" si="65"/>
        <v>1.0381288854379456</v>
      </c>
      <c r="Q151" s="2">
        <f t="shared" si="65"/>
        <v>1.0372567419752192</v>
      </c>
      <c r="R151" s="2">
        <f t="shared" si="65"/>
        <v>1.036417015945327</v>
      </c>
      <c r="S151" s="2">
        <f t="shared" si="65"/>
        <v>1.0356098797587869</v>
      </c>
      <c r="T151" s="2">
        <f t="shared" si="65"/>
        <v>1.0348358338737891</v>
      </c>
      <c r="U151" s="2">
        <f t="shared" si="65"/>
        <v>1.0341038735043582</v>
      </c>
      <c r="V151" s="2">
        <f t="shared" si="65"/>
        <v>1.033409029056845</v>
      </c>
      <c r="W151" s="2">
        <f t="shared" si="65"/>
        <v>1.0327476731317931</v>
      </c>
      <c r="X151" s="2">
        <f t="shared" si="65"/>
        <v>1.0321173385830007</v>
      </c>
      <c r="Y151" s="2">
        <f t="shared" si="65"/>
        <v>1.0315161998319033</v>
      </c>
      <c r="Z151" s="2">
        <f t="shared" si="65"/>
        <v>1.0309428754278174</v>
      </c>
      <c r="AA151" s="2">
        <f t="shared" si="65"/>
        <v>1.0303961627674394</v>
      </c>
      <c r="AB151" s="2">
        <f t="shared" si="65"/>
        <v>1.0298750041838531</v>
      </c>
      <c r="AC151" s="2">
        <f t="shared" si="65"/>
        <v>1.02937835236751</v>
      </c>
      <c r="AD151" s="2">
        <f t="shared" si="65"/>
        <v>1.0289051475083693</v>
      </c>
      <c r="AE151" s="2">
        <f t="shared" si="65"/>
        <v>1.0286261887883665</v>
      </c>
      <c r="AF151" s="2">
        <f t="shared" si="65"/>
        <v>1.028020580473233</v>
      </c>
      <c r="AG151" s="2">
        <f t="shared" si="65"/>
        <v>1.0276263210621672</v>
      </c>
      <c r="AH151" s="2">
        <f t="shared" si="65"/>
        <v>1.0272503254556251</v>
      </c>
      <c r="AI151" s="2">
        <f t="shared" si="65"/>
        <v>1.0268926577773529</v>
      </c>
      <c r="AJ151" s="2">
        <f t="shared" si="65"/>
        <v>1.0265531028379475</v>
      </c>
      <c r="AK151" s="2">
        <f t="shared" si="65"/>
        <v>1.0262312256681425</v>
      </c>
      <c r="AL151" s="2">
        <f t="shared" si="65"/>
        <v>1.0259263423901595</v>
      </c>
      <c r="AM151" s="2">
        <f t="shared" si="65"/>
        <v>1.0256374666303194</v>
      </c>
      <c r="AN151" s="2">
        <f t="shared" si="65"/>
        <v>1.0253630474128066</v>
      </c>
      <c r="AO151" s="2">
        <f t="shared" si="65"/>
        <v>1.0251006953861297</v>
      </c>
      <c r="AP151" s="2">
        <f t="shared" si="65"/>
        <v>1.0248463871832907</v>
      </c>
      <c r="AQ151" s="2">
        <f t="shared" si="65"/>
        <v>1.0245933472904083</v>
      </c>
      <c r="AR151" s="2">
        <f t="shared" si="65"/>
        <v>1.0243298270700758</v>
      </c>
      <c r="AS151" s="2">
        <f t="shared" si="65"/>
        <v>1.0240354078821814</v>
      </c>
      <c r="AT151" s="2">
        <f t="shared" si="65"/>
        <v>1.0236746364794314</v>
      </c>
      <c r="AU151" s="2">
        <f t="shared" si="65"/>
        <v>1.0250268496895671</v>
      </c>
      <c r="AV151" s="2">
        <f t="shared" si="65"/>
        <v>1.0243646921265603</v>
      </c>
      <c r="AW151" s="2">
        <f t="shared" si="65"/>
        <v>1.0241942377031634</v>
      </c>
      <c r="AX151" s="2">
        <f t="shared" si="65"/>
        <v>1.0241394122046616</v>
      </c>
      <c r="AY151" s="2">
        <f t="shared" si="65"/>
        <v>1.0242183418434372</v>
      </c>
      <c r="AZ151" s="2">
        <f t="shared" si="65"/>
        <v>1.0165597887555147</v>
      </c>
      <c r="BA151" s="2">
        <f t="shared" si="65"/>
        <v>1.0253543985912834</v>
      </c>
      <c r="BB151" s="2">
        <f t="shared" si="65"/>
        <v>1.0245207116263171</v>
      </c>
      <c r="BC151" s="2">
        <f t="shared" si="65"/>
        <v>1.0238787276229433</v>
      </c>
      <c r="BD151" s="2">
        <f t="shared" si="65"/>
        <v>1.0233662968667543</v>
      </c>
      <c r="BE151" s="2">
        <f t="shared" si="65"/>
        <v>1.022942863561626</v>
      </c>
      <c r="BF151" s="2">
        <f t="shared" si="65"/>
        <v>1.0225815958774449</v>
      </c>
      <c r="BG151" s="2">
        <f t="shared" si="65"/>
        <v>1.0222645743585443</v>
      </c>
      <c r="BH151" s="2">
        <f t="shared" si="65"/>
        <v>1.021979753383442</v>
      </c>
      <c r="BI151" s="2">
        <f t="shared" si="65"/>
        <v>1.021718996068707</v>
      </c>
    </row>
    <row r="152" spans="1:124" ht="21" customHeight="1" x14ac:dyDescent="0.35">
      <c r="A152" s="13" t="s">
        <v>4</v>
      </c>
      <c r="B152" s="2"/>
      <c r="C152" s="2">
        <f>+C151-1</f>
        <v>5.1594615223018003E-2</v>
      </c>
      <c r="D152" s="2">
        <f t="shared" ref="D152" si="66">+D151-1</f>
        <v>5.0721601094942725E-2</v>
      </c>
      <c r="E152" s="2">
        <f t="shared" ref="E152" si="67">+E151-1</f>
        <v>4.9675917957545446E-2</v>
      </c>
      <c r="F152" s="2">
        <f t="shared" ref="F152" si="68">+F151-1</f>
        <v>4.8553626146752515E-2</v>
      </c>
      <c r="G152" s="2">
        <f t="shared" ref="G152" si="69">+G151-1</f>
        <v>4.7406935926568528E-2</v>
      </c>
      <c r="H152" s="2">
        <f t="shared" ref="H152" si="70">+H151-1</f>
        <v>4.6264094867610073E-2</v>
      </c>
      <c r="I152" s="2">
        <f t="shared" ref="I152" si="71">+I151-1</f>
        <v>4.514025251833309E-2</v>
      </c>
      <c r="J152" s="2">
        <f t="shared" ref="J152" si="72">+J151-1</f>
        <v>4.4043184586864736E-2</v>
      </c>
      <c r="K152" s="2">
        <f t="shared" ref="K152" si="73">+K151-1</f>
        <v>4.2976597860111987E-2</v>
      </c>
      <c r="L152" s="2">
        <f t="shared" ref="L152" si="74">+L151-1</f>
        <v>4.194202473491826E-2</v>
      </c>
      <c r="M152" s="2">
        <f t="shared" ref="M152" si="75">+M151-1</f>
        <v>4.0939958004671206E-2</v>
      </c>
      <c r="N152" s="2">
        <f t="shared" ref="N152" si="76">+N151-1</f>
        <v>3.9970440776678995E-2</v>
      </c>
      <c r="O152" s="2">
        <f t="shared" ref="O152" si="77">+O151-1</f>
        <v>3.9033443977856352E-2</v>
      </c>
      <c r="P152" s="2">
        <f t="shared" ref="P152" si="78">+P151-1</f>
        <v>3.812888543794557E-2</v>
      </c>
      <c r="Q152" s="2">
        <f t="shared" ref="Q152" si="79">+Q151-1</f>
        <v>3.7256741975219221E-2</v>
      </c>
      <c r="R152" s="2">
        <f t="shared" ref="R152" si="80">+R151-1</f>
        <v>3.641701594532698E-2</v>
      </c>
      <c r="S152" s="2">
        <f t="shared" ref="S152" si="81">+S151-1</f>
        <v>3.5609879758786933E-2</v>
      </c>
      <c r="T152" s="2">
        <f t="shared" ref="T152" si="82">+T151-1</f>
        <v>3.4835833873789079E-2</v>
      </c>
      <c r="U152" s="2">
        <f t="shared" ref="U152" si="83">+U151-1</f>
        <v>3.4103873504358173E-2</v>
      </c>
      <c r="V152" s="2">
        <f t="shared" ref="V152" si="84">+V151-1</f>
        <v>3.3409029056844952E-2</v>
      </c>
      <c r="W152" s="2">
        <f t="shared" ref="W152" si="85">+W151-1</f>
        <v>3.2747673131793054E-2</v>
      </c>
      <c r="X152" s="2">
        <f t="shared" ref="X152" si="86">+X151-1</f>
        <v>3.2117338583000699E-2</v>
      </c>
      <c r="Y152" s="2">
        <f t="shared" ref="Y152" si="87">+Y151-1</f>
        <v>3.1516199831903347E-2</v>
      </c>
      <c r="Z152" s="2">
        <f t="shared" ref="Z152" si="88">+Z151-1</f>
        <v>3.0942875427817373E-2</v>
      </c>
      <c r="AA152" s="2">
        <f t="shared" ref="AA152" si="89">+AA151-1</f>
        <v>3.0396162767439394E-2</v>
      </c>
      <c r="AB152" s="2">
        <f t="shared" ref="AB152" si="90">+AB151-1</f>
        <v>2.9875004183853138E-2</v>
      </c>
      <c r="AC152" s="2">
        <f t="shared" ref="AC152" si="91">+AC151-1</f>
        <v>2.9378352367509963E-2</v>
      </c>
      <c r="AD152" s="2">
        <f t="shared" ref="AD152" si="92">+AD151-1</f>
        <v>2.8905147508369256E-2</v>
      </c>
      <c r="AE152" s="2">
        <f t="shared" ref="AE152" si="93">+AE151-1</f>
        <v>2.8626188788366536E-2</v>
      </c>
      <c r="AF152" s="2">
        <f t="shared" ref="AF152" si="94">+AF151-1</f>
        <v>2.802058047323297E-2</v>
      </c>
      <c r="AG152" s="2">
        <f t="shared" ref="AG152" si="95">+AG151-1</f>
        <v>2.7626321062167225E-2</v>
      </c>
      <c r="AH152" s="2">
        <f t="shared" ref="AH152" si="96">+AH151-1</f>
        <v>2.7250325455625113E-2</v>
      </c>
      <c r="AI152" s="2">
        <f t="shared" ref="AI152" si="97">+AI151-1</f>
        <v>2.6892657777352946E-2</v>
      </c>
      <c r="AJ152" s="2">
        <f t="shared" ref="AJ152" si="98">+AJ151-1</f>
        <v>2.655310283794754E-2</v>
      </c>
      <c r="AK152" s="2">
        <f t="shared" ref="AK152" si="99">+AK151-1</f>
        <v>2.623122566814251E-2</v>
      </c>
      <c r="AL152" s="2">
        <f t="shared" ref="AL152" si="100">+AL151-1</f>
        <v>2.5926342390159451E-2</v>
      </c>
      <c r="AM152" s="2">
        <f t="shared" ref="AM152" si="101">+AM151-1</f>
        <v>2.5637466630319405E-2</v>
      </c>
      <c r="AN152" s="2">
        <f t="shared" ref="AN152" si="102">+AN151-1</f>
        <v>2.5363047412806594E-2</v>
      </c>
      <c r="AO152" s="2">
        <f t="shared" ref="AO152" si="103">+AO151-1</f>
        <v>2.510069538612969E-2</v>
      </c>
      <c r="AP152" s="2">
        <f t="shared" ref="AP152" si="104">+AP151-1</f>
        <v>2.4846387183290686E-2</v>
      </c>
      <c r="AQ152" s="2">
        <f t="shared" ref="AQ152" si="105">+AQ151-1</f>
        <v>2.4593347290408296E-2</v>
      </c>
      <c r="AR152" s="2">
        <f t="shared" ref="AR152" si="106">+AR151-1</f>
        <v>2.4329827070075805E-2</v>
      </c>
      <c r="AS152" s="2">
        <f t="shared" ref="AS152" si="107">+AS151-1</f>
        <v>2.4035407882181392E-2</v>
      </c>
      <c r="AT152" s="2">
        <f t="shared" ref="AT152" si="108">+AT151-1</f>
        <v>2.3674636479431355E-2</v>
      </c>
      <c r="AU152" s="2">
        <f t="shared" ref="AU152" si="109">+AU151-1</f>
        <v>2.5026849689567143E-2</v>
      </c>
      <c r="AV152" s="2">
        <f t="shared" ref="AV152" si="110">+AV151-1</f>
        <v>2.4364692126560339E-2</v>
      </c>
      <c r="AW152" s="2">
        <f t="shared" ref="AW152" si="111">+AW151-1</f>
        <v>2.4194237703163424E-2</v>
      </c>
      <c r="AX152" s="2">
        <f t="shared" ref="AX152" si="112">+AX151-1</f>
        <v>2.4139412204661648E-2</v>
      </c>
      <c r="AY152" s="2">
        <f t="shared" ref="AY152" si="113">+AY151-1</f>
        <v>2.4218341843437186E-2</v>
      </c>
      <c r="AZ152" s="2">
        <f t="shared" ref="AZ152" si="114">+AZ151-1</f>
        <v>1.6559788755514671E-2</v>
      </c>
      <c r="BA152" s="2">
        <f t="shared" ref="BA152" si="115">+BA151-1</f>
        <v>2.5354398591283411E-2</v>
      </c>
      <c r="BB152" s="2">
        <f t="shared" ref="BB152" si="116">+BB151-1</f>
        <v>2.4520711626317082E-2</v>
      </c>
      <c r="BC152" s="2">
        <f t="shared" ref="BC152" si="117">+BC151-1</f>
        <v>2.3878727622943297E-2</v>
      </c>
      <c r="BD152" s="2">
        <f t="shared" ref="BD152" si="118">+BD151-1</f>
        <v>2.3366296866754288E-2</v>
      </c>
      <c r="BE152" s="2">
        <f t="shared" ref="BE152" si="119">+BE151-1</f>
        <v>2.2942863561626003E-2</v>
      </c>
      <c r="BF152" s="2">
        <f t="shared" ref="BF152" si="120">+BF151-1</f>
        <v>2.2581595877444904E-2</v>
      </c>
      <c r="BG152" s="2">
        <f t="shared" ref="BG152" si="121">+BG151-1</f>
        <v>2.2264574358544342E-2</v>
      </c>
      <c r="BH152" s="2">
        <f t="shared" ref="BH152" si="122">+BH151-1</f>
        <v>2.1979753383442047E-2</v>
      </c>
      <c r="BI152" s="2">
        <f t="shared" ref="BI152" si="123">+BI151-1</f>
        <v>2.1718996068706975E-2</v>
      </c>
    </row>
    <row r="153" spans="1:124" ht="21" customHeight="1" x14ac:dyDescent="0.35">
      <c r="A153" s="13" t="s">
        <v>242</v>
      </c>
      <c r="B153" s="2"/>
      <c r="C153" s="2">
        <f>+C151/(1+$B$17)-1</f>
        <v>5.1594615223018003E-2</v>
      </c>
      <c r="D153" s="2">
        <f>+D151/(1+$B$17)-1</f>
        <v>5.0721601094942725E-2</v>
      </c>
      <c r="E153" s="2">
        <f t="shared" ref="E153:BI153" si="124">+E151/(1+$B$17)-1</f>
        <v>4.9675917957545446E-2</v>
      </c>
      <c r="F153" s="2">
        <f t="shared" si="124"/>
        <v>4.8553626146752515E-2</v>
      </c>
      <c r="G153" s="2">
        <f t="shared" si="124"/>
        <v>4.7406935926568528E-2</v>
      </c>
      <c r="H153" s="2">
        <f t="shared" si="124"/>
        <v>4.6264094867610073E-2</v>
      </c>
      <c r="I153" s="2">
        <f t="shared" si="124"/>
        <v>4.514025251833309E-2</v>
      </c>
      <c r="J153" s="2">
        <f t="shared" si="124"/>
        <v>4.4043184586864736E-2</v>
      </c>
      <c r="K153" s="2">
        <f t="shared" si="124"/>
        <v>4.2976597860111987E-2</v>
      </c>
      <c r="L153" s="2">
        <f t="shared" si="124"/>
        <v>4.194202473491826E-2</v>
      </c>
      <c r="M153" s="2">
        <f t="shared" si="124"/>
        <v>4.0939958004671206E-2</v>
      </c>
      <c r="N153" s="2">
        <f t="shared" si="124"/>
        <v>3.9970440776678995E-2</v>
      </c>
      <c r="O153" s="2">
        <f t="shared" si="124"/>
        <v>3.9033443977856352E-2</v>
      </c>
      <c r="P153" s="2">
        <f t="shared" si="124"/>
        <v>3.812888543794557E-2</v>
      </c>
      <c r="Q153" s="2">
        <f t="shared" si="124"/>
        <v>3.7256741975219221E-2</v>
      </c>
      <c r="R153" s="2">
        <f t="shared" si="124"/>
        <v>3.641701594532698E-2</v>
      </c>
      <c r="S153" s="2">
        <f t="shared" si="124"/>
        <v>3.5609879758786933E-2</v>
      </c>
      <c r="T153" s="2">
        <f t="shared" si="124"/>
        <v>3.4835833873789079E-2</v>
      </c>
      <c r="U153" s="2">
        <f t="shared" si="124"/>
        <v>3.4103873504358173E-2</v>
      </c>
      <c r="V153" s="2">
        <f t="shared" si="124"/>
        <v>3.3409029056844952E-2</v>
      </c>
      <c r="W153" s="2">
        <f t="shared" si="124"/>
        <v>3.2747673131793054E-2</v>
      </c>
      <c r="X153" s="2">
        <f t="shared" si="124"/>
        <v>3.2117338583000699E-2</v>
      </c>
      <c r="Y153" s="2">
        <f t="shared" si="124"/>
        <v>3.1516199831903347E-2</v>
      </c>
      <c r="Z153" s="2">
        <f t="shared" si="124"/>
        <v>3.0942875427817373E-2</v>
      </c>
      <c r="AA153" s="2">
        <f t="shared" si="124"/>
        <v>3.0396162767439394E-2</v>
      </c>
      <c r="AB153" s="2">
        <f t="shared" si="124"/>
        <v>2.9875004183853138E-2</v>
      </c>
      <c r="AC153" s="2">
        <f t="shared" si="124"/>
        <v>2.9378352367509963E-2</v>
      </c>
      <c r="AD153" s="2">
        <f t="shared" si="124"/>
        <v>2.8905147508369256E-2</v>
      </c>
      <c r="AE153" s="2">
        <f t="shared" si="124"/>
        <v>2.8626188788366536E-2</v>
      </c>
      <c r="AF153" s="2">
        <f t="shared" si="124"/>
        <v>2.802058047323297E-2</v>
      </c>
      <c r="AG153" s="2">
        <f t="shared" si="124"/>
        <v>2.7626321062167225E-2</v>
      </c>
      <c r="AH153" s="2">
        <f t="shared" si="124"/>
        <v>2.7250325455625113E-2</v>
      </c>
      <c r="AI153" s="2">
        <f t="shared" si="124"/>
        <v>2.6892657777352946E-2</v>
      </c>
      <c r="AJ153" s="2">
        <f t="shared" si="124"/>
        <v>2.655310283794754E-2</v>
      </c>
      <c r="AK153" s="2">
        <f t="shared" si="124"/>
        <v>2.623122566814251E-2</v>
      </c>
      <c r="AL153" s="2">
        <f t="shared" si="124"/>
        <v>2.5926342390159451E-2</v>
      </c>
      <c r="AM153" s="2">
        <f t="shared" si="124"/>
        <v>2.5637466630319405E-2</v>
      </c>
      <c r="AN153" s="2">
        <f t="shared" si="124"/>
        <v>2.5363047412806594E-2</v>
      </c>
      <c r="AO153" s="2">
        <f t="shared" si="124"/>
        <v>2.510069538612969E-2</v>
      </c>
      <c r="AP153" s="2">
        <f t="shared" si="124"/>
        <v>2.4846387183290686E-2</v>
      </c>
      <c r="AQ153" s="2">
        <f t="shared" si="124"/>
        <v>2.4593347290408296E-2</v>
      </c>
      <c r="AR153" s="2">
        <f t="shared" si="124"/>
        <v>2.4329827070075805E-2</v>
      </c>
      <c r="AS153" s="2">
        <f t="shared" si="124"/>
        <v>2.4035407882181392E-2</v>
      </c>
      <c r="AT153" s="2">
        <f t="shared" si="124"/>
        <v>2.3674636479431355E-2</v>
      </c>
      <c r="AU153" s="2">
        <f t="shared" si="124"/>
        <v>2.5026849689567143E-2</v>
      </c>
      <c r="AV153" s="2">
        <f t="shared" si="124"/>
        <v>2.4364692126560339E-2</v>
      </c>
      <c r="AW153" s="2">
        <f t="shared" si="124"/>
        <v>2.4194237703163424E-2</v>
      </c>
      <c r="AX153" s="2">
        <f t="shared" si="124"/>
        <v>2.4139412204661648E-2</v>
      </c>
      <c r="AY153" s="2">
        <f t="shared" si="124"/>
        <v>2.4218341843437186E-2</v>
      </c>
      <c r="AZ153" s="2">
        <f t="shared" si="124"/>
        <v>1.6559788755514671E-2</v>
      </c>
      <c r="BA153" s="2">
        <f t="shared" si="124"/>
        <v>2.5354398591283411E-2</v>
      </c>
      <c r="BB153" s="2">
        <f t="shared" si="124"/>
        <v>2.4520711626317082E-2</v>
      </c>
      <c r="BC153" s="2">
        <f t="shared" si="124"/>
        <v>2.3878727622943297E-2</v>
      </c>
      <c r="BD153" s="2">
        <f t="shared" si="124"/>
        <v>2.3366296866754288E-2</v>
      </c>
      <c r="BE153" s="2">
        <f t="shared" si="124"/>
        <v>2.2942863561626003E-2</v>
      </c>
      <c r="BF153" s="2">
        <f t="shared" si="124"/>
        <v>2.2581595877444904E-2</v>
      </c>
      <c r="BG153" s="2">
        <f t="shared" si="124"/>
        <v>2.2264574358544342E-2</v>
      </c>
      <c r="BH153" s="2">
        <f t="shared" si="124"/>
        <v>2.1979753383442047E-2</v>
      </c>
      <c r="BI153" s="2">
        <f t="shared" si="124"/>
        <v>2.1718996068706975E-2</v>
      </c>
    </row>
    <row r="154" spans="1:124" ht="21" customHeight="1" x14ac:dyDescent="0.35">
      <c r="A154" s="13" t="s">
        <v>243</v>
      </c>
      <c r="B154" s="2"/>
      <c r="C154" s="9">
        <f>+C151*(1+$B$9)-1</f>
        <v>5.1594615223018003E-2</v>
      </c>
      <c r="D154" s="2">
        <f>+D151*(1+$B$9)-1</f>
        <v>5.0721601094942725E-2</v>
      </c>
      <c r="E154" s="2">
        <f t="shared" ref="E154:BI154" si="125">+E151*(1+$B$9)-1</f>
        <v>4.9675917957545446E-2</v>
      </c>
      <c r="F154" s="2">
        <f t="shared" si="125"/>
        <v>4.8553626146752515E-2</v>
      </c>
      <c r="G154" s="2">
        <f t="shared" si="125"/>
        <v>4.7406935926568528E-2</v>
      </c>
      <c r="H154" s="2">
        <f t="shared" si="125"/>
        <v>4.6264094867610073E-2</v>
      </c>
      <c r="I154" s="2">
        <f t="shared" si="125"/>
        <v>4.514025251833309E-2</v>
      </c>
      <c r="J154" s="2">
        <f t="shared" si="125"/>
        <v>4.4043184586864736E-2</v>
      </c>
      <c r="K154" s="2">
        <f t="shared" si="125"/>
        <v>4.2976597860111987E-2</v>
      </c>
      <c r="L154" s="2">
        <f t="shared" si="125"/>
        <v>4.194202473491826E-2</v>
      </c>
      <c r="M154" s="2">
        <f t="shared" si="125"/>
        <v>4.0939958004671206E-2</v>
      </c>
      <c r="N154" s="2">
        <f t="shared" si="125"/>
        <v>3.9970440776678995E-2</v>
      </c>
      <c r="O154" s="2">
        <f t="shared" si="125"/>
        <v>3.9033443977856352E-2</v>
      </c>
      <c r="P154" s="2">
        <f t="shared" si="125"/>
        <v>3.812888543794557E-2</v>
      </c>
      <c r="Q154" s="2">
        <f t="shared" si="125"/>
        <v>3.7256741975219221E-2</v>
      </c>
      <c r="R154" s="2">
        <f t="shared" si="125"/>
        <v>3.641701594532698E-2</v>
      </c>
      <c r="S154" s="2">
        <f t="shared" si="125"/>
        <v>3.5609879758786933E-2</v>
      </c>
      <c r="T154" s="2">
        <f t="shared" si="125"/>
        <v>3.4835833873789079E-2</v>
      </c>
      <c r="U154" s="2">
        <f t="shared" si="125"/>
        <v>3.4103873504358173E-2</v>
      </c>
      <c r="V154" s="2">
        <f t="shared" si="125"/>
        <v>3.3409029056844952E-2</v>
      </c>
      <c r="W154" s="2">
        <f t="shared" si="125"/>
        <v>3.2747673131793054E-2</v>
      </c>
      <c r="X154" s="2">
        <f t="shared" si="125"/>
        <v>3.2117338583000699E-2</v>
      </c>
      <c r="Y154" s="2">
        <f t="shared" si="125"/>
        <v>3.1516199831903347E-2</v>
      </c>
      <c r="Z154" s="2">
        <f t="shared" si="125"/>
        <v>3.0942875427817373E-2</v>
      </c>
      <c r="AA154" s="2">
        <f t="shared" si="125"/>
        <v>3.0396162767439394E-2</v>
      </c>
      <c r="AB154" s="2">
        <f t="shared" si="125"/>
        <v>2.9875004183853138E-2</v>
      </c>
      <c r="AC154" s="2">
        <f t="shared" si="125"/>
        <v>2.9378352367509963E-2</v>
      </c>
      <c r="AD154" s="2">
        <f t="shared" si="125"/>
        <v>2.8905147508369256E-2</v>
      </c>
      <c r="AE154" s="2">
        <f t="shared" si="125"/>
        <v>2.8626188788366536E-2</v>
      </c>
      <c r="AF154" s="2">
        <f t="shared" si="125"/>
        <v>2.802058047323297E-2</v>
      </c>
      <c r="AG154" s="2">
        <f t="shared" si="125"/>
        <v>2.7626321062167225E-2</v>
      </c>
      <c r="AH154" s="2">
        <f t="shared" si="125"/>
        <v>2.7250325455625113E-2</v>
      </c>
      <c r="AI154" s="2">
        <f t="shared" si="125"/>
        <v>2.6892657777352946E-2</v>
      </c>
      <c r="AJ154" s="2">
        <f t="shared" si="125"/>
        <v>2.655310283794754E-2</v>
      </c>
      <c r="AK154" s="2">
        <f t="shared" si="125"/>
        <v>2.623122566814251E-2</v>
      </c>
      <c r="AL154" s="2">
        <f t="shared" si="125"/>
        <v>2.5926342390159451E-2</v>
      </c>
      <c r="AM154" s="2">
        <f t="shared" si="125"/>
        <v>2.5637466630319405E-2</v>
      </c>
      <c r="AN154" s="2">
        <f t="shared" si="125"/>
        <v>2.5363047412806594E-2</v>
      </c>
      <c r="AO154" s="2">
        <f t="shared" si="125"/>
        <v>2.510069538612969E-2</v>
      </c>
      <c r="AP154" s="2">
        <f t="shared" si="125"/>
        <v>2.4846387183290686E-2</v>
      </c>
      <c r="AQ154" s="2">
        <f t="shared" si="125"/>
        <v>2.4593347290408296E-2</v>
      </c>
      <c r="AR154" s="2">
        <f t="shared" si="125"/>
        <v>2.4329827070075805E-2</v>
      </c>
      <c r="AS154" s="2">
        <f t="shared" si="125"/>
        <v>2.4035407882181392E-2</v>
      </c>
      <c r="AT154" s="2">
        <f t="shared" si="125"/>
        <v>2.3674636479431355E-2</v>
      </c>
      <c r="AU154" s="2">
        <f t="shared" si="125"/>
        <v>2.5026849689567143E-2</v>
      </c>
      <c r="AV154" s="2">
        <f t="shared" si="125"/>
        <v>2.4364692126560339E-2</v>
      </c>
      <c r="AW154" s="2">
        <f t="shared" si="125"/>
        <v>2.4194237703163424E-2</v>
      </c>
      <c r="AX154" s="2">
        <f t="shared" si="125"/>
        <v>2.4139412204661648E-2</v>
      </c>
      <c r="AY154" s="2">
        <f t="shared" si="125"/>
        <v>2.4218341843437186E-2</v>
      </c>
      <c r="AZ154" s="2">
        <f t="shared" si="125"/>
        <v>1.6559788755514671E-2</v>
      </c>
      <c r="BA154" s="2">
        <f t="shared" si="125"/>
        <v>2.5354398591283411E-2</v>
      </c>
      <c r="BB154" s="2">
        <f t="shared" si="125"/>
        <v>2.4520711626317082E-2</v>
      </c>
      <c r="BC154" s="2">
        <f t="shared" si="125"/>
        <v>2.3878727622943297E-2</v>
      </c>
      <c r="BD154" s="2">
        <f t="shared" si="125"/>
        <v>2.3366296866754288E-2</v>
      </c>
      <c r="BE154" s="2">
        <f t="shared" si="125"/>
        <v>2.2942863561626003E-2</v>
      </c>
      <c r="BF154" s="2">
        <f t="shared" si="125"/>
        <v>2.2581595877444904E-2</v>
      </c>
      <c r="BG154" s="2">
        <f t="shared" si="125"/>
        <v>2.2264574358544342E-2</v>
      </c>
      <c r="BH154" s="2">
        <f t="shared" si="125"/>
        <v>2.1979753383442047E-2</v>
      </c>
      <c r="BI154" s="2">
        <f t="shared" si="125"/>
        <v>2.1718996068706975E-2</v>
      </c>
    </row>
    <row r="155" spans="1:124" ht="21" customHeight="1" x14ac:dyDescent="0.35">
      <c r="A155" s="49" t="s">
        <v>245</v>
      </c>
      <c r="B155" s="8">
        <v>1</v>
      </c>
      <c r="C155" s="8">
        <f>+B155/(1+C152)^5</f>
        <v>0.77760354533135079</v>
      </c>
      <c r="D155" s="8">
        <f t="shared" ref="D155:BI155" si="126">+C155/(1+D152)^5</f>
        <v>0.60718345405321272</v>
      </c>
      <c r="E155" s="8">
        <f t="shared" si="126"/>
        <v>0.47647899549353173</v>
      </c>
      <c r="F155" s="8">
        <f t="shared" si="126"/>
        <v>0.37591575525867305</v>
      </c>
      <c r="G155" s="8">
        <f t="shared" si="126"/>
        <v>0.29820388747280635</v>
      </c>
      <c r="H155" s="8">
        <f t="shared" si="126"/>
        <v>0.23785193686558362</v>
      </c>
      <c r="I155" s="8">
        <f t="shared" si="126"/>
        <v>0.19073650475608697</v>
      </c>
      <c r="J155" s="8">
        <f t="shared" si="126"/>
        <v>0.15375934011749168</v>
      </c>
      <c r="K155" s="8">
        <f t="shared" si="126"/>
        <v>0.12458584064478001</v>
      </c>
      <c r="L155" s="8">
        <f t="shared" si="126"/>
        <v>0.10144973404650057</v>
      </c>
      <c r="M155" s="8">
        <f t="shared" si="126"/>
        <v>8.3008489943633801E-2</v>
      </c>
      <c r="N155" s="8">
        <f t="shared" si="126"/>
        <v>6.8236624643972482E-2</v>
      </c>
      <c r="O155" s="8">
        <f t="shared" si="126"/>
        <v>5.6346883782274627E-2</v>
      </c>
      <c r="P155" s="8">
        <f t="shared" si="126"/>
        <v>4.6731909450653857E-2</v>
      </c>
      <c r="Q155" s="8">
        <f t="shared" si="126"/>
        <v>3.8920839107828877E-2</v>
      </c>
      <c r="R155" s="8">
        <f t="shared" si="126"/>
        <v>3.2546891909630699E-2</v>
      </c>
      <c r="S155" s="8">
        <f t="shared" si="126"/>
        <v>2.7323013503343787E-2</v>
      </c>
      <c r="T155" s="8">
        <f t="shared" si="126"/>
        <v>2.3023497732167258E-2</v>
      </c>
      <c r="U155" s="8">
        <f t="shared" si="126"/>
        <v>1.9469306309463343E-2</v>
      </c>
      <c r="V155" s="8">
        <f t="shared" si="126"/>
        <v>1.6519207912072034E-2</v>
      </c>
      <c r="W155" s="8">
        <f t="shared" si="126"/>
        <v>1.4061061039801474E-2</v>
      </c>
      <c r="X155" s="8">
        <f t="shared" si="126"/>
        <v>1.2005291906691503E-2</v>
      </c>
      <c r="Y155" s="8">
        <f t="shared" si="126"/>
        <v>1.0279984499257471E-2</v>
      </c>
      <c r="Z155" s="8">
        <f t="shared" si="126"/>
        <v>8.8271285522188384E-3</v>
      </c>
      <c r="AA155" s="8">
        <f t="shared" si="126"/>
        <v>7.5997321842850938E-3</v>
      </c>
      <c r="AB155" s="8">
        <f t="shared" si="126"/>
        <v>6.5595749666059718E-3</v>
      </c>
      <c r="AC155" s="8">
        <f t="shared" si="126"/>
        <v>5.6754531814950937E-3</v>
      </c>
      <c r="AD155" s="8">
        <f t="shared" si="126"/>
        <v>4.9217986816453051E-3</v>
      </c>
      <c r="AE155" s="8">
        <f t="shared" si="126"/>
        <v>4.2740141865007112E-3</v>
      </c>
      <c r="AF155" s="8">
        <f t="shared" si="126"/>
        <v>3.7224332071514603E-3</v>
      </c>
      <c r="AG155" s="8">
        <f t="shared" si="126"/>
        <v>3.248260239912917E-3</v>
      </c>
      <c r="AH155" s="8">
        <f t="shared" si="126"/>
        <v>2.83967984219766E-3</v>
      </c>
      <c r="AI155" s="8">
        <f t="shared" si="126"/>
        <v>2.486818761124185E-3</v>
      </c>
      <c r="AJ155" s="8">
        <f t="shared" si="126"/>
        <v>2.181408670545784E-3</v>
      </c>
      <c r="AK155" s="8">
        <f t="shared" si="126"/>
        <v>1.9165092066954436E-3</v>
      </c>
      <c r="AL155" s="8">
        <f t="shared" si="126"/>
        <v>1.6862812221426062E-3</v>
      </c>
      <c r="AM155" s="8">
        <f t="shared" si="126"/>
        <v>1.485800901352639E-3</v>
      </c>
      <c r="AN155" s="8">
        <f t="shared" si="126"/>
        <v>1.3109082819963817E-3</v>
      </c>
      <c r="AO155" s="8">
        <f t="shared" si="126"/>
        <v>1.1580829470522697E-3</v>
      </c>
      <c r="AP155" s="8">
        <f t="shared" si="126"/>
        <v>1.0243439205908404E-3</v>
      </c>
      <c r="AQ155" s="8">
        <f t="shared" si="126"/>
        <v>9.0716886415238623E-4</v>
      </c>
      <c r="AR155" s="8">
        <f t="shared" si="126"/>
        <v>8.0443144955723929E-4</v>
      </c>
      <c r="AS155" s="8">
        <f t="shared" si="126"/>
        <v>7.1435514018772705E-4</v>
      </c>
      <c r="AT155" s="8">
        <f t="shared" si="126"/>
        <v>6.3548376426049229E-4</v>
      </c>
      <c r="AU155" s="8">
        <f t="shared" si="126"/>
        <v>5.6160149064699743E-4</v>
      </c>
      <c r="AV155" s="8">
        <f t="shared" si="126"/>
        <v>4.9791504378153724E-4</v>
      </c>
      <c r="AW155" s="8">
        <f t="shared" si="126"/>
        <v>4.4181820573276401E-4</v>
      </c>
      <c r="AX155" s="8">
        <f t="shared" si="126"/>
        <v>3.9214637974957901E-4</v>
      </c>
      <c r="AY155" s="8">
        <f t="shared" si="126"/>
        <v>3.479248631912355E-4</v>
      </c>
      <c r="AZ155" s="8">
        <f t="shared" si="126"/>
        <v>3.2049468508919295E-4</v>
      </c>
      <c r="BA155" s="8">
        <f t="shared" si="126"/>
        <v>2.8278139837984172E-4</v>
      </c>
      <c r="BB155" s="8">
        <f t="shared" si="126"/>
        <v>2.5052272404805798E-4</v>
      </c>
      <c r="BC155" s="8">
        <f t="shared" si="126"/>
        <v>2.2264068266307317E-4</v>
      </c>
      <c r="BD155" s="8">
        <f t="shared" si="126"/>
        <v>1.9835765939373324E-4</v>
      </c>
      <c r="BE155" s="8">
        <f t="shared" si="126"/>
        <v>1.770892059341168E-4</v>
      </c>
      <c r="BF155" s="8">
        <f t="shared" si="126"/>
        <v>1.5838068967672226E-4</v>
      </c>
      <c r="BG155" s="8">
        <f t="shared" si="126"/>
        <v>1.4186840135078598E-4</v>
      </c>
      <c r="BH155" s="8">
        <f t="shared" si="126"/>
        <v>1.2725481235402989E-4</v>
      </c>
      <c r="BI155" s="8">
        <f t="shared" si="126"/>
        <v>1.1429227435418939E-4</v>
      </c>
      <c r="BJ155" s="8"/>
      <c r="BK155" s="8"/>
      <c r="BL155" s="8"/>
      <c r="BM155" s="8"/>
      <c r="BN155" s="8"/>
      <c r="BO155" s="8"/>
      <c r="BP155" s="8"/>
      <c r="BQ155" s="8"/>
      <c r="BR155" s="8"/>
      <c r="BS155" s="8"/>
      <c r="BT155" s="8"/>
      <c r="BU155" s="8"/>
      <c r="BV155" s="8"/>
      <c r="BW155" s="8"/>
      <c r="BX155" s="8"/>
      <c r="BY155" s="8"/>
      <c r="BZ155" s="8"/>
      <c r="CA155" s="8"/>
      <c r="CB155" s="8"/>
      <c r="CC155" s="8"/>
      <c r="CD155" s="8"/>
      <c r="CE155" s="8"/>
      <c r="CF155" s="8"/>
      <c r="CG155" s="8"/>
      <c r="CH155" s="8"/>
      <c r="CI155" s="8"/>
      <c r="CJ155" s="8"/>
      <c r="CK155" s="8"/>
      <c r="CL155" s="8"/>
      <c r="CM155" s="8"/>
      <c r="CN155" s="8"/>
      <c r="CO155" s="8"/>
      <c r="CP155" s="8"/>
      <c r="CQ155" s="8"/>
      <c r="CR155" s="8"/>
      <c r="CS155" s="8"/>
      <c r="CT155" s="8"/>
      <c r="CU155" s="8"/>
      <c r="CV155" s="8"/>
      <c r="CW155" s="8"/>
      <c r="CX155" s="8"/>
      <c r="CY155" s="8"/>
      <c r="CZ155" s="8"/>
      <c r="DA155" s="8"/>
      <c r="DB155" s="8"/>
      <c r="DC155" s="8"/>
      <c r="DD155" s="8"/>
      <c r="DE155" s="8"/>
      <c r="DF155" s="8"/>
      <c r="DG155" s="8"/>
      <c r="DH155" s="8"/>
      <c r="DI155" s="8"/>
      <c r="DJ155" s="8"/>
      <c r="DK155" s="8"/>
      <c r="DL155" s="8"/>
      <c r="DM155" s="8"/>
      <c r="DN155" s="8"/>
      <c r="DO155" s="8"/>
      <c r="DP155" s="8"/>
      <c r="DQ155" s="8"/>
      <c r="DR155" s="8"/>
      <c r="DS155" s="8"/>
      <c r="DT155" s="8"/>
    </row>
    <row r="156" spans="1:124" ht="21" customHeight="1" x14ac:dyDescent="0.35">
      <c r="A156" s="8"/>
      <c r="C156" s="8"/>
      <c r="D156" s="8"/>
      <c r="E156" s="8"/>
      <c r="F156" s="8"/>
      <c r="G156" s="8"/>
      <c r="H156" s="8"/>
      <c r="I156" s="8"/>
      <c r="J156" s="8"/>
      <c r="K156" s="8"/>
      <c r="L156" s="8"/>
      <c r="M156" s="8"/>
      <c r="N156" s="8"/>
      <c r="O156" s="8"/>
      <c r="P156" s="8"/>
      <c r="Q156" s="8"/>
      <c r="R156" s="8"/>
      <c r="S156" s="8"/>
      <c r="T156" s="8"/>
      <c r="U156" s="8"/>
      <c r="V156" s="8"/>
      <c r="W156" s="8"/>
      <c r="X156" s="8"/>
      <c r="Y156" s="8"/>
      <c r="Z156" s="8"/>
      <c r="AA156" s="8"/>
      <c r="AB156" s="8"/>
      <c r="AC156" s="8"/>
      <c r="AD156" s="8"/>
      <c r="AE156" s="8"/>
      <c r="AF156" s="8"/>
      <c r="AG156" s="8"/>
      <c r="AH156" s="8"/>
      <c r="AI156" s="8"/>
      <c r="AJ156" s="8"/>
      <c r="AK156" s="8"/>
      <c r="AL156" s="8"/>
      <c r="AM156" s="8"/>
      <c r="AN156" s="8"/>
      <c r="AO156" s="8"/>
      <c r="AP156" s="8"/>
      <c r="AQ156" s="8"/>
      <c r="AR156" s="8"/>
      <c r="AS156" s="8"/>
      <c r="AT156" s="8"/>
      <c r="AU156" s="8"/>
      <c r="AV156" s="8"/>
      <c r="AW156" s="8"/>
      <c r="AX156" s="8"/>
      <c r="AY156" s="8"/>
      <c r="AZ156" s="8"/>
      <c r="BA156" s="8"/>
      <c r="BB156" s="8"/>
      <c r="BC156" s="8"/>
      <c r="BD156" s="8"/>
      <c r="BE156" s="8"/>
      <c r="BF156" s="8"/>
      <c r="BG156" s="8"/>
      <c r="BH156" s="8"/>
      <c r="BI156" s="8"/>
      <c r="BJ156" s="8"/>
      <c r="BK156" s="8"/>
      <c r="BL156" s="8"/>
      <c r="BM156" s="8"/>
      <c r="BN156" s="8"/>
      <c r="BO156" s="8"/>
      <c r="BP156" s="8"/>
      <c r="BQ156" s="8"/>
      <c r="BR156" s="8"/>
      <c r="BS156" s="8"/>
      <c r="BT156" s="8"/>
      <c r="BU156" s="8"/>
      <c r="BV156" s="8"/>
      <c r="BW156" s="8"/>
      <c r="BX156" s="8"/>
      <c r="BY156" s="8"/>
      <c r="BZ156" s="8"/>
      <c r="CA156" s="8"/>
      <c r="CB156" s="8"/>
      <c r="CC156" s="8"/>
      <c r="CD156" s="8"/>
      <c r="CE156" s="8"/>
      <c r="CF156" s="8"/>
      <c r="CG156" s="8"/>
      <c r="CH156" s="8"/>
      <c r="CI156" s="8"/>
      <c r="CJ156" s="8"/>
      <c r="CK156" s="8"/>
      <c r="CL156" s="8"/>
      <c r="CM156" s="8"/>
      <c r="CN156" s="8"/>
      <c r="CO156" s="8"/>
      <c r="CP156" s="8"/>
      <c r="CQ156" s="8"/>
      <c r="CR156" s="8"/>
      <c r="CS156" s="8"/>
      <c r="CT156" s="8"/>
      <c r="CU156" s="8"/>
      <c r="CV156" s="8"/>
      <c r="CW156" s="8"/>
      <c r="CX156" s="8"/>
      <c r="CY156" s="8"/>
      <c r="CZ156" s="8"/>
      <c r="DA156" s="8"/>
      <c r="DB156" s="8"/>
      <c r="DC156" s="8"/>
      <c r="DD156" s="8"/>
      <c r="DE156" s="8"/>
      <c r="DF156" s="8"/>
      <c r="DG156" s="8"/>
      <c r="DH156" s="8"/>
      <c r="DI156" s="8"/>
      <c r="DJ156" s="8"/>
      <c r="DK156" s="8"/>
      <c r="DL156" s="8"/>
      <c r="DM156" s="8"/>
      <c r="DN156" s="8"/>
      <c r="DO156" s="8"/>
      <c r="DP156" s="8"/>
      <c r="DQ156" s="8"/>
      <c r="DR156" s="8"/>
      <c r="DS156" s="8"/>
      <c r="DT156" s="8"/>
    </row>
    <row r="157" spans="1:124" ht="21" customHeight="1" x14ac:dyDescent="0.35">
      <c r="A157" s="34"/>
      <c r="B157" s="2"/>
      <c r="E157" s="8"/>
      <c r="F157" s="8"/>
      <c r="G157" s="8"/>
      <c r="H157" s="8"/>
      <c r="I157" s="8"/>
      <c r="J157" s="8"/>
      <c r="K157" s="8"/>
      <c r="L157" s="8"/>
      <c r="M157" s="8"/>
      <c r="N157" s="8"/>
      <c r="O157" s="8"/>
      <c r="P157" s="8"/>
      <c r="Q157" s="8"/>
      <c r="R157" s="8"/>
      <c r="S157" s="8"/>
      <c r="T157" s="8"/>
      <c r="U157" s="8"/>
      <c r="V157" s="8"/>
      <c r="W157" s="8"/>
      <c r="X157" s="8"/>
      <c r="Y157" s="8"/>
      <c r="Z157" s="8"/>
      <c r="AA157" s="8"/>
      <c r="AB157" s="8"/>
      <c r="AC157" s="8"/>
      <c r="AD157" s="8"/>
      <c r="AE157" s="8"/>
      <c r="AF157" s="8"/>
      <c r="AG157" s="8"/>
      <c r="AH157" s="8"/>
      <c r="AI157" s="8"/>
      <c r="AJ157" s="8"/>
      <c r="AK157" s="8"/>
      <c r="AL157" s="8"/>
      <c r="AM157" s="8"/>
      <c r="AN157" s="8"/>
      <c r="AO157" s="8"/>
      <c r="AP157" s="8"/>
      <c r="AQ157" s="8"/>
      <c r="AR157" s="8"/>
      <c r="AS157" s="8"/>
      <c r="AT157" s="8"/>
      <c r="AU157" s="8"/>
      <c r="AV157" s="8"/>
      <c r="AW157" s="8"/>
      <c r="AX157" s="8"/>
      <c r="AY157" s="8"/>
      <c r="AZ157" s="8"/>
      <c r="BA157" s="8"/>
      <c r="BB157" s="8"/>
      <c r="BC157" s="8"/>
      <c r="BD157" s="8"/>
      <c r="BE157" s="8"/>
      <c r="BF157" s="8"/>
      <c r="BG157" s="8"/>
      <c r="BH157" s="8"/>
      <c r="BI157" s="8"/>
      <c r="BJ157" s="8"/>
      <c r="BK157" s="8"/>
      <c r="BL157" s="8"/>
      <c r="BM157" s="8"/>
      <c r="BN157" s="8"/>
      <c r="BO157" s="8"/>
      <c r="BP157" s="8"/>
      <c r="BQ157" s="8"/>
      <c r="BR157" s="8"/>
      <c r="BS157" s="8"/>
      <c r="BT157" s="8"/>
      <c r="BU157" s="8"/>
      <c r="BV157" s="8"/>
      <c r="BW157" s="8"/>
      <c r="BX157" s="8"/>
      <c r="BY157" s="8"/>
      <c r="BZ157" s="8"/>
      <c r="CA157" s="8"/>
      <c r="CB157" s="8"/>
      <c r="CC157" s="8"/>
      <c r="CD157" s="8"/>
      <c r="CE157" s="8"/>
      <c r="CF157" s="8"/>
      <c r="CG157" s="8"/>
      <c r="CH157" s="8"/>
      <c r="CI157" s="8"/>
      <c r="CJ157" s="8"/>
      <c r="CK157" s="8"/>
      <c r="CL157" s="8"/>
      <c r="CM157" s="8"/>
      <c r="CN157" s="8"/>
      <c r="CO157" s="8"/>
      <c r="CP157" s="8"/>
      <c r="CQ157" s="8"/>
      <c r="CR157" s="8"/>
      <c r="CS157" s="8"/>
      <c r="CT157" s="8"/>
      <c r="CU157" s="8"/>
      <c r="CV157" s="8"/>
      <c r="CW157" s="8"/>
      <c r="CX157" s="8"/>
      <c r="CY157" s="8"/>
      <c r="CZ157" s="8"/>
      <c r="DA157" s="8"/>
      <c r="DB157" s="8"/>
      <c r="DC157" s="8"/>
      <c r="DD157" s="8"/>
      <c r="DE157" s="8"/>
      <c r="DF157" s="8"/>
      <c r="DG157" s="8"/>
      <c r="DH157" s="8"/>
      <c r="DI157" s="8"/>
      <c r="DJ157" s="8"/>
      <c r="DK157" s="8"/>
      <c r="DL157" s="8"/>
      <c r="DM157" s="8"/>
      <c r="DN157" s="8"/>
      <c r="DO157" s="8"/>
      <c r="DP157" s="8"/>
      <c r="DQ157" s="8"/>
      <c r="DR157" s="8"/>
      <c r="DS157" s="8"/>
      <c r="DT157" s="8"/>
    </row>
    <row r="158" spans="1:124" ht="21" customHeight="1" thickBot="1" x14ac:dyDescent="0.4">
      <c r="A158" s="40" t="s">
        <v>61</v>
      </c>
      <c r="B158" s="2"/>
    </row>
    <row r="159" spans="1:124" ht="21" customHeight="1" thickTop="1" x14ac:dyDescent="0.35">
      <c r="A159" s="13" t="s">
        <v>61</v>
      </c>
      <c r="B159" s="2" t="s">
        <v>246</v>
      </c>
      <c r="C159" s="2" t="s">
        <v>247</v>
      </c>
      <c r="D159" s="2" t="s">
        <v>248</v>
      </c>
    </row>
    <row r="160" spans="1:124" ht="21" customHeight="1" x14ac:dyDescent="0.35">
      <c r="A160" s="13" t="s">
        <v>244</v>
      </c>
      <c r="B160" s="2">
        <f>+SUMPRODUCT(B155:T155*B123:T123)*5</f>
        <v>2262.7052513445742</v>
      </c>
      <c r="C160" s="2">
        <v>2263.2194535643148</v>
      </c>
      <c r="D160" s="2">
        <f>+B160-C160</f>
        <v>-0.51420221974058222</v>
      </c>
    </row>
    <row r="161" spans="1:47" ht="21" customHeight="1" x14ac:dyDescent="0.35">
      <c r="A161" s="13" t="s">
        <v>64</v>
      </c>
      <c r="B161" s="2">
        <f>+SUMPRODUCT(B155:AN155*B123:AN123)*5</f>
        <v>2626.3876223286206</v>
      </c>
      <c r="C161" s="2">
        <v>2628.3554239442537</v>
      </c>
      <c r="D161" s="2">
        <f t="shared" ref="D161:D164" si="127">+B161-C161</f>
        <v>-1.9678016156331068</v>
      </c>
    </row>
    <row r="162" spans="1:47" ht="21" customHeight="1" x14ac:dyDescent="0.35">
      <c r="A162" s="13" t="s">
        <v>62</v>
      </c>
      <c r="B162" s="2">
        <f>+SUMPRODUCT(B155:BH155*B123:BH123)*5</f>
        <v>2685.0899817642103</v>
      </c>
      <c r="C162" s="2">
        <v>2687.7370386156094</v>
      </c>
      <c r="D162" s="2">
        <f t="shared" si="127"/>
        <v>-2.6470568513991566</v>
      </c>
    </row>
    <row r="163" spans="1:47" ht="21" customHeight="1" x14ac:dyDescent="0.35">
      <c r="A163" s="13" t="s">
        <v>63</v>
      </c>
      <c r="B163" s="155">
        <f>+SUMPRODUCT(B155:DQ155*B123:DQ123)*5</f>
        <v>2686.134711202144</v>
      </c>
      <c r="C163" s="2">
        <v>2688.7936628310235</v>
      </c>
      <c r="D163" s="2">
        <f t="shared" si="127"/>
        <v>-2.6589516288795494</v>
      </c>
    </row>
    <row r="164" spans="1:47" ht="21" customHeight="1" x14ac:dyDescent="0.35">
      <c r="A164" s="13" t="s">
        <v>249</v>
      </c>
      <c r="B164" s="155">
        <f>+B129</f>
        <v>2694.6370357384585</v>
      </c>
      <c r="C164" s="2">
        <v>2688.7871964352134</v>
      </c>
      <c r="D164" s="2">
        <f t="shared" si="127"/>
        <v>5.8498393032450622</v>
      </c>
    </row>
    <row r="165" spans="1:47" ht="35.4" customHeight="1" thickBot="1" x14ac:dyDescent="0.4">
      <c r="A165" s="40" t="s">
        <v>99</v>
      </c>
      <c r="B165" s="2"/>
    </row>
    <row r="166" spans="1:47" ht="21" customHeight="1" thickTop="1" x14ac:dyDescent="0.35">
      <c r="A166" s="13" t="s">
        <v>233</v>
      </c>
      <c r="B166" s="2">
        <f t="shared" ref="B166:AU166" si="128">+B117/B104</f>
        <v>2.124572737974987</v>
      </c>
      <c r="C166" s="2">
        <f t="shared" si="128"/>
        <v>2.1307053399305187</v>
      </c>
      <c r="D166" s="2">
        <f t="shared" si="128"/>
        <v>2.1429739018553673</v>
      </c>
      <c r="E166" s="2">
        <f t="shared" si="128"/>
        <v>2.1582248708681306</v>
      </c>
      <c r="F166" s="2">
        <f t="shared" si="128"/>
        <v>2.174693852116854</v>
      </c>
      <c r="G166" s="2">
        <f t="shared" si="128"/>
        <v>2.1913885286952941</v>
      </c>
      <c r="H166" s="2">
        <f t="shared" si="128"/>
        <v>2.207750876952896</v>
      </c>
      <c r="I166" s="2">
        <f t="shared" si="128"/>
        <v>2.2234684931509761</v>
      </c>
      <c r="J166" s="2">
        <f t="shared" si="128"/>
        <v>2.2383673846423933</v>
      </c>
      <c r="K166" s="2">
        <f t="shared" si="128"/>
        <v>2.2523517804650299</v>
      </c>
      <c r="L166" s="2">
        <f t="shared" si="128"/>
        <v>2.2653711228132072</v>
      </c>
      <c r="M166" s="2">
        <f t="shared" si="128"/>
        <v>2.2774026450867737</v>
      </c>
      <c r="N166" s="2">
        <f t="shared" si="128"/>
        <v>2.2884422044740811</v>
      </c>
      <c r="O166" s="2">
        <f t="shared" si="128"/>
        <v>2.2984992740698651</v>
      </c>
      <c r="P166" s="2">
        <f t="shared" si="128"/>
        <v>2.3075931431338894</v>
      </c>
      <c r="Q166" s="2">
        <f t="shared" si="128"/>
        <v>2.3157498830979453</v>
      </c>
      <c r="R166" s="2">
        <f t="shared" si="128"/>
        <v>2.3229989359887102</v>
      </c>
      <c r="S166" s="2">
        <f t="shared" si="128"/>
        <v>2.3293692789393847</v>
      </c>
      <c r="T166" s="2">
        <f t="shared" si="128"/>
        <v>2.3348837850630217</v>
      </c>
      <c r="U166" s="2">
        <f t="shared" si="128"/>
        <v>2.3395501982051536</v>
      </c>
      <c r="V166" s="2">
        <f t="shared" si="128"/>
        <v>2.3435309147427241</v>
      </c>
      <c r="W166" s="2">
        <f t="shared" si="128"/>
        <v>2.3469511752135364</v>
      </c>
      <c r="X166" s="2">
        <f t="shared" si="128"/>
        <v>2.3499156518972981</v>
      </c>
      <c r="Y166" s="2">
        <f t="shared" si="128"/>
        <v>2.3525180693322829</v>
      </c>
      <c r="Z166" s="2">
        <f t="shared" si="128"/>
        <v>2.3548470524102667</v>
      </c>
      <c r="AA166" s="2">
        <f t="shared" si="128"/>
        <v>2.3569892823528802</v>
      </c>
      <c r="AB166" s="2">
        <f t="shared" si="128"/>
        <v>2.3590317313083702</v>
      </c>
      <c r="AC166" s="2">
        <f t="shared" si="128"/>
        <v>2.3610631354167393</v>
      </c>
      <c r="AD166" s="2">
        <f t="shared" si="128"/>
        <v>2.3631756821491812</v>
      </c>
      <c r="AE166" s="2">
        <f t="shared" si="128"/>
        <v>2.3654671158076104</v>
      </c>
      <c r="AF166" s="2">
        <f t="shared" si="128"/>
        <v>2.3667009081766452</v>
      </c>
      <c r="AG166" s="2">
        <f t="shared" si="128"/>
        <v>2.3682190270999741</v>
      </c>
      <c r="AH166" s="2">
        <f t="shared" si="128"/>
        <v>2.3700260745642248</v>
      </c>
      <c r="AI166" s="2">
        <f t="shared" si="128"/>
        <v>2.3721399542165562</v>
      </c>
      <c r="AJ166" s="2">
        <f t="shared" si="128"/>
        <v>2.3745874276065129</v>
      </c>
      <c r="AK166" s="2">
        <f t="shared" si="128"/>
        <v>2.37740164420123</v>
      </c>
      <c r="AL166" s="2">
        <f t="shared" si="128"/>
        <v>2.3806213823565532</v>
      </c>
      <c r="AM166" s="2">
        <f t="shared" si="128"/>
        <v>2.3842923922944554</v>
      </c>
      <c r="AN166" s="2">
        <f t="shared" si="128"/>
        <v>2.3884714513784333</v>
      </c>
      <c r="AO166" s="2">
        <f t="shared" si="128"/>
        <v>2.3932353850711783</v>
      </c>
      <c r="AP166" s="2">
        <f t="shared" si="128"/>
        <v>2.3986975860650843</v>
      </c>
      <c r="AQ166" s="2">
        <f t="shared" si="128"/>
        <v>2.4050387308201771</v>
      </c>
      <c r="AR166" s="2">
        <f t="shared" si="128"/>
        <v>2.4125613483075035</v>
      </c>
      <c r="AS166" s="2">
        <f t="shared" si="128"/>
        <v>2.4217868310824371</v>
      </c>
      <c r="AT166" s="2">
        <f t="shared" si="128"/>
        <v>2.4336254010485385</v>
      </c>
      <c r="AU166" s="2">
        <f t="shared" si="128"/>
        <v>2.4496695792250747</v>
      </c>
    </row>
    <row r="167" spans="1:47" ht="21" customHeight="1" x14ac:dyDescent="0.35">
      <c r="A167" s="13" t="s">
        <v>261</v>
      </c>
      <c r="C167" s="2">
        <f>+C124/(C124+C123)</f>
        <v>8.6052556859094381E-2</v>
      </c>
      <c r="D167" s="2">
        <f t="shared" ref="D167:AU167" si="129">+D124/(D124+D123)</f>
        <v>8.333372906688398E-2</v>
      </c>
      <c r="E167" s="2">
        <f t="shared" si="129"/>
        <v>8.0285093463856289E-2</v>
      </c>
      <c r="F167" s="2">
        <f t="shared" si="129"/>
        <v>7.7151142721509733E-2</v>
      </c>
      <c r="G167" s="2">
        <f t="shared" si="129"/>
        <v>7.4061595339117658E-2</v>
      </c>
      <c r="H167" s="2">
        <f t="shared" si="129"/>
        <v>7.1082579169415225E-2</v>
      </c>
      <c r="I167" s="2">
        <f t="shared" si="129"/>
        <v>6.8244272674831533E-2</v>
      </c>
      <c r="J167" s="2">
        <f t="shared" si="129"/>
        <v>6.5556349158458371E-2</v>
      </c>
      <c r="K167" s="2">
        <f t="shared" si="129"/>
        <v>6.3017330043264541E-2</v>
      </c>
      <c r="L167" s="2">
        <f t="shared" si="129"/>
        <v>6.0620243320310893E-2</v>
      </c>
      <c r="M167" s="2">
        <f t="shared" si="129"/>
        <v>5.8355978523236818E-2</v>
      </c>
      <c r="N167" s="2">
        <f t="shared" si="129"/>
        <v>5.6215036405891497E-2</v>
      </c>
      <c r="O167" s="2">
        <f t="shared" si="129"/>
        <v>5.4188323218431138E-2</v>
      </c>
      <c r="P167" s="2">
        <f t="shared" si="129"/>
        <v>5.2267184033845157E-2</v>
      </c>
      <c r="Q167" s="2">
        <f t="shared" si="129"/>
        <v>5.0443359392816738E-2</v>
      </c>
      <c r="R167" s="2">
        <f t="shared" si="129"/>
        <v>4.8708611941461248E-2</v>
      </c>
      <c r="S167" s="2">
        <f t="shared" si="129"/>
        <v>4.7054322715234444E-2</v>
      </c>
      <c r="T167" s="2">
        <f t="shared" si="129"/>
        <v>4.54705830130782E-2</v>
      </c>
      <c r="U167" s="2">
        <f t="shared" si="129"/>
        <v>4.394353216862406E-2</v>
      </c>
      <c r="V167" s="2">
        <f t="shared" si="129"/>
        <v>4.2521451734151151E-2</v>
      </c>
      <c r="W167" s="2">
        <f t="shared" si="129"/>
        <v>4.1189519698389646E-2</v>
      </c>
      <c r="X167" s="2">
        <f t="shared" si="129"/>
        <v>3.9938270448516278E-2</v>
      </c>
      <c r="Y167" s="2">
        <f t="shared" si="129"/>
        <v>3.8761592712434755E-2</v>
      </c>
      <c r="Z167" s="2">
        <f t="shared" si="129"/>
        <v>3.7655617078734098E-2</v>
      </c>
      <c r="AA167" s="2">
        <f t="shared" si="129"/>
        <v>3.6617871290245574E-2</v>
      </c>
      <c r="AB167" s="2">
        <f t="shared" si="129"/>
        <v>3.5646990801834547E-2</v>
      </c>
      <c r="AC167" s="2">
        <f t="shared" si="129"/>
        <v>3.4742466348865179E-2</v>
      </c>
      <c r="AD167" s="2">
        <f t="shared" si="129"/>
        <v>3.3904734030541492E-2</v>
      </c>
      <c r="AE167" s="2">
        <f t="shared" si="129"/>
        <v>3.3116893121534333E-2</v>
      </c>
      <c r="AF167" s="2">
        <f t="shared" si="129"/>
        <v>3.1903609537506636E-2</v>
      </c>
      <c r="AG167" s="2">
        <f t="shared" si="129"/>
        <v>3.1207665329662387E-2</v>
      </c>
      <c r="AH167" s="2">
        <f t="shared" si="129"/>
        <v>3.0541313707666572E-2</v>
      </c>
      <c r="AI167" s="2">
        <f t="shared" si="129"/>
        <v>2.99077694567235E-2</v>
      </c>
      <c r="AJ167" s="2">
        <f t="shared" si="129"/>
        <v>2.9308992040001938E-2</v>
      </c>
      <c r="AK167" s="2">
        <f t="shared" si="129"/>
        <v>2.8746316104682368E-2</v>
      </c>
      <c r="AL167" s="2">
        <f t="shared" si="129"/>
        <v>2.8221049856033447E-2</v>
      </c>
      <c r="AM167" s="2">
        <f t="shared" si="129"/>
        <v>2.7735287972726515E-2</v>
      </c>
      <c r="AN167" s="2">
        <f t="shared" si="129"/>
        <v>2.7293048429156079E-2</v>
      </c>
      <c r="AO167" s="2">
        <f t="shared" si="129"/>
        <v>2.6902400132600368E-2</v>
      </c>
      <c r="AP167" s="2">
        <f t="shared" si="129"/>
        <v>2.657878497253674E-2</v>
      </c>
      <c r="AQ167" s="2">
        <f t="shared" si="129"/>
        <v>2.635129202925051E-2</v>
      </c>
      <c r="AR167" s="2">
        <f t="shared" si="129"/>
        <v>2.6273323249581169E-2</v>
      </c>
      <c r="AS167" s="2">
        <f t="shared" si="129"/>
        <v>2.6441652017538148E-2</v>
      </c>
      <c r="AT167" s="2">
        <f t="shared" si="129"/>
        <v>2.7029552842449307E-2</v>
      </c>
      <c r="AU167" s="2">
        <f t="shared" si="129"/>
        <v>2.8173783878574415E-2</v>
      </c>
    </row>
    <row r="173" spans="1:47" ht="21" customHeight="1" x14ac:dyDescent="0.35">
      <c r="A173" s="2"/>
      <c r="B173" s="2"/>
    </row>
    <row r="174" spans="1:47" ht="21" customHeight="1" x14ac:dyDescent="0.35">
      <c r="A174" s="2"/>
      <c r="B174" s="2"/>
    </row>
    <row r="175" spans="1:47" ht="21" customHeight="1" x14ac:dyDescent="0.35">
      <c r="A175" s="2"/>
      <c r="B175" s="2"/>
    </row>
    <row r="177" spans="1:2" ht="21" customHeight="1" x14ac:dyDescent="0.35">
      <c r="A177" s="2"/>
      <c r="B177" s="2"/>
    </row>
    <row r="178" spans="1:2" ht="21" customHeight="1" x14ac:dyDescent="0.35">
      <c r="A178" s="2"/>
      <c r="B178" s="2"/>
    </row>
    <row r="179" spans="1:2" ht="21" customHeight="1" x14ac:dyDescent="0.35">
      <c r="A179" s="2"/>
      <c r="B179" s="2"/>
    </row>
    <row r="180" spans="1:2" ht="21" customHeight="1" x14ac:dyDescent="0.35">
      <c r="A180" s="2"/>
      <c r="B180" s="2"/>
    </row>
    <row r="181" spans="1:2" ht="21" customHeight="1" x14ac:dyDescent="0.35">
      <c r="A181" s="2"/>
      <c r="B181" s="2"/>
    </row>
    <row r="182" spans="1:2" ht="21" customHeight="1" x14ac:dyDescent="0.35">
      <c r="A182" s="2"/>
      <c r="B182" s="2"/>
    </row>
    <row r="183" spans="1:2" ht="21" customHeight="1" x14ac:dyDescent="0.35">
      <c r="A183" s="2"/>
      <c r="B183" s="2"/>
    </row>
    <row r="184" spans="1:2" ht="21" customHeight="1" x14ac:dyDescent="0.35">
      <c r="A184" s="2"/>
      <c r="B184" s="2"/>
    </row>
    <row r="186" spans="1:2" ht="21" customHeight="1" x14ac:dyDescent="0.35">
      <c r="A186" s="2"/>
      <c r="B186" s="2"/>
    </row>
    <row r="187" spans="1:2" ht="21" customHeight="1" x14ac:dyDescent="0.35">
      <c r="A187" s="2"/>
      <c r="B187" s="2"/>
    </row>
    <row r="188" spans="1:2" ht="21" customHeight="1" x14ac:dyDescent="0.35">
      <c r="A188" s="2"/>
      <c r="B188" s="2"/>
    </row>
    <row r="189" spans="1:2" ht="21" customHeight="1" x14ac:dyDescent="0.35">
      <c r="A189" s="2"/>
      <c r="B189" s="2"/>
    </row>
    <row r="190" spans="1:2" ht="21" customHeight="1" x14ac:dyDescent="0.35">
      <c r="A190" s="2"/>
      <c r="B190" s="2"/>
    </row>
    <row r="191" spans="1:2" ht="21" customHeight="1" x14ac:dyDescent="0.35">
      <c r="A191" s="2"/>
      <c r="B191" s="2"/>
    </row>
    <row r="192" spans="1:2" ht="21" customHeight="1" x14ac:dyDescent="0.35">
      <c r="A192" s="2"/>
      <c r="B192" s="2"/>
    </row>
    <row r="193" spans="1:2" ht="21" customHeight="1" x14ac:dyDescent="0.35">
      <c r="A193" s="2"/>
      <c r="B193" s="2"/>
    </row>
    <row r="194" spans="1:2" ht="21" customHeight="1" x14ac:dyDescent="0.35">
      <c r="A194" s="2"/>
      <c r="B194" s="2"/>
    </row>
    <row r="195" spans="1:2" ht="21" customHeight="1" x14ac:dyDescent="0.35">
      <c r="A195" s="2"/>
      <c r="B195" s="2"/>
    </row>
    <row r="196" spans="1:2" ht="21" customHeight="1" x14ac:dyDescent="0.35">
      <c r="A196" s="2"/>
      <c r="B196" s="2"/>
    </row>
    <row r="197" spans="1:2" ht="21" customHeight="1" x14ac:dyDescent="0.35">
      <c r="A197" s="2"/>
      <c r="B197" s="2"/>
    </row>
    <row r="198" spans="1:2" ht="21" customHeight="1" x14ac:dyDescent="0.35">
      <c r="A198" s="2"/>
      <c r="B198" s="2"/>
    </row>
    <row r="199" spans="1:2" ht="21" customHeight="1" x14ac:dyDescent="0.35">
      <c r="A199" s="2"/>
      <c r="B199" s="2"/>
    </row>
    <row r="200" spans="1:2" ht="21" customHeight="1" x14ac:dyDescent="0.35">
      <c r="A200" s="2"/>
      <c r="B200" s="2"/>
    </row>
    <row r="201" spans="1:2" ht="21" customHeight="1" x14ac:dyDescent="0.35">
      <c r="A201" s="2"/>
      <c r="B201" s="2"/>
    </row>
    <row r="202" spans="1:2" ht="21" customHeight="1" x14ac:dyDescent="0.35">
      <c r="A202" s="2"/>
      <c r="B202" s="2"/>
    </row>
    <row r="203" spans="1:2" ht="21" customHeight="1" x14ac:dyDescent="0.35">
      <c r="A203" s="2"/>
      <c r="B203" s="2"/>
    </row>
    <row r="204" spans="1:2" ht="21" customHeight="1" x14ac:dyDescent="0.35">
      <c r="A204" s="2"/>
      <c r="B204" s="2"/>
    </row>
    <row r="205" spans="1:2" ht="21" customHeight="1" x14ac:dyDescent="0.35">
      <c r="A205" s="2"/>
      <c r="B205" s="2"/>
    </row>
    <row r="206" spans="1:2" ht="21" customHeight="1" x14ac:dyDescent="0.35">
      <c r="A206" s="2"/>
      <c r="B206" s="2"/>
    </row>
    <row r="207" spans="1:2" ht="21" customHeight="1" x14ac:dyDescent="0.35">
      <c r="A207" s="2"/>
      <c r="B207" s="2"/>
    </row>
    <row r="208" spans="1:2" ht="21" customHeight="1" x14ac:dyDescent="0.35">
      <c r="A208" s="2"/>
      <c r="B208" s="2"/>
    </row>
    <row r="209" spans="1:2" ht="21" customHeight="1" x14ac:dyDescent="0.35">
      <c r="A209" s="2"/>
      <c r="B209" s="2"/>
    </row>
    <row r="210" spans="1:2" ht="21" customHeight="1" x14ac:dyDescent="0.35">
      <c r="A210" s="2"/>
      <c r="B210" s="2"/>
    </row>
    <row r="211" spans="1:2" ht="21" customHeight="1" x14ac:dyDescent="0.35">
      <c r="A211" s="2"/>
      <c r="B211" s="2"/>
    </row>
    <row r="212" spans="1:2" ht="21" customHeight="1" x14ac:dyDescent="0.35">
      <c r="A212" s="2"/>
      <c r="B212" s="2"/>
    </row>
    <row r="213" spans="1:2" ht="21" customHeight="1" x14ac:dyDescent="0.35">
      <c r="A213" s="2"/>
      <c r="B213" s="2"/>
    </row>
    <row r="214" spans="1:2" ht="21" customHeight="1" x14ac:dyDescent="0.35">
      <c r="A214" s="2"/>
      <c r="B214" s="2"/>
    </row>
    <row r="215" spans="1:2" ht="21" customHeight="1" x14ac:dyDescent="0.35">
      <c r="A215" s="2"/>
      <c r="B215" s="2"/>
    </row>
    <row r="216" spans="1:2" ht="21" customHeight="1" x14ac:dyDescent="0.35">
      <c r="A216" s="2"/>
      <c r="B216" s="2"/>
    </row>
    <row r="217" spans="1:2" ht="21" customHeight="1" x14ac:dyDescent="0.35">
      <c r="A217" s="2"/>
      <c r="B217" s="2"/>
    </row>
    <row r="218" spans="1:2" ht="21" customHeight="1" x14ac:dyDescent="0.35">
      <c r="A218" s="2"/>
      <c r="B218" s="2"/>
    </row>
    <row r="219" spans="1:2" ht="21" customHeight="1" x14ac:dyDescent="0.35">
      <c r="A219" s="2"/>
      <c r="B219" s="2"/>
    </row>
    <row r="220" spans="1:2" ht="21" customHeight="1" x14ac:dyDescent="0.35">
      <c r="A220" s="2"/>
      <c r="B220" s="2"/>
    </row>
    <row r="221" spans="1:2" ht="21" customHeight="1" x14ac:dyDescent="0.35">
      <c r="A221" s="2"/>
      <c r="B221" s="2"/>
    </row>
    <row r="222" spans="1:2" ht="21" customHeight="1" x14ac:dyDescent="0.35">
      <c r="A222" s="2"/>
      <c r="B222" s="2"/>
    </row>
    <row r="223" spans="1:2" ht="21" customHeight="1" x14ac:dyDescent="0.35">
      <c r="A223" s="2"/>
      <c r="B223" s="2"/>
    </row>
    <row r="224" spans="1:2" ht="21" customHeight="1" x14ac:dyDescent="0.35">
      <c r="A224" s="2"/>
      <c r="B224" s="2"/>
    </row>
    <row r="225" spans="1:2" ht="21" customHeight="1" x14ac:dyDescent="0.35">
      <c r="A225" s="2"/>
      <c r="B225" s="2"/>
    </row>
    <row r="226" spans="1:2" ht="21" customHeight="1" x14ac:dyDescent="0.35">
      <c r="A226" s="2"/>
      <c r="B226" s="2"/>
    </row>
    <row r="227" spans="1:2" ht="21" customHeight="1" x14ac:dyDescent="0.35">
      <c r="A227" s="2"/>
      <c r="B227" s="2"/>
    </row>
    <row r="228" spans="1:2" ht="21" customHeight="1" x14ac:dyDescent="0.35">
      <c r="A228" s="2"/>
      <c r="B228" s="2"/>
    </row>
    <row r="229" spans="1:2" ht="21" customHeight="1" x14ac:dyDescent="0.35">
      <c r="A229" s="2"/>
      <c r="B229" s="2"/>
    </row>
    <row r="230" spans="1:2" ht="21" customHeight="1" x14ac:dyDescent="0.35">
      <c r="A230" s="2"/>
      <c r="B230" s="2"/>
    </row>
    <row r="231" spans="1:2" ht="21" customHeight="1" x14ac:dyDescent="0.35">
      <c r="A231" s="2"/>
      <c r="B231" s="2"/>
    </row>
    <row r="232" spans="1:2" ht="21" customHeight="1" x14ac:dyDescent="0.35">
      <c r="A232" s="2"/>
      <c r="B232" s="2"/>
    </row>
    <row r="233" spans="1:2" ht="21" customHeight="1" x14ac:dyDescent="0.35">
      <c r="A233" s="2"/>
      <c r="B233" s="2"/>
    </row>
    <row r="234" spans="1:2" ht="21" customHeight="1" x14ac:dyDescent="0.35">
      <c r="A234" s="2"/>
      <c r="B234" s="2"/>
    </row>
    <row r="235" spans="1:2" ht="21" customHeight="1" x14ac:dyDescent="0.35">
      <c r="A235" s="2"/>
      <c r="B235" s="2"/>
    </row>
    <row r="236" spans="1:2" ht="21" customHeight="1" x14ac:dyDescent="0.35">
      <c r="A236" s="2"/>
      <c r="B236" s="2"/>
    </row>
    <row r="237" spans="1:2" ht="21" customHeight="1" x14ac:dyDescent="0.35">
      <c r="A237" s="2"/>
      <c r="B237" s="2"/>
    </row>
    <row r="238" spans="1:2" ht="21" customHeight="1" x14ac:dyDescent="0.35">
      <c r="A238" s="2"/>
      <c r="B238" s="2"/>
    </row>
    <row r="239" spans="1:2" ht="21" customHeight="1" x14ac:dyDescent="0.35">
      <c r="A239" s="2"/>
      <c r="B239" s="2"/>
    </row>
    <row r="240" spans="1:2" ht="21" customHeight="1" x14ac:dyDescent="0.35">
      <c r="A240" s="2"/>
      <c r="B240" s="2"/>
    </row>
    <row r="241" spans="1:2" ht="21" customHeight="1" x14ac:dyDescent="0.35">
      <c r="A241" s="2"/>
      <c r="B241" s="2"/>
    </row>
    <row r="242" spans="1:2" ht="21" customHeight="1" x14ac:dyDescent="0.35">
      <c r="A242" s="2"/>
      <c r="B242" s="2"/>
    </row>
    <row r="243" spans="1:2" ht="21" customHeight="1" x14ac:dyDescent="0.35">
      <c r="A243" s="2"/>
      <c r="B243" s="2"/>
    </row>
    <row r="244" spans="1:2" ht="21" customHeight="1" x14ac:dyDescent="0.35">
      <c r="A244" s="2"/>
      <c r="B244" s="2"/>
    </row>
    <row r="245" spans="1:2" ht="21" customHeight="1" x14ac:dyDescent="0.35">
      <c r="A245" s="2"/>
      <c r="B245" s="2"/>
    </row>
    <row r="246" spans="1:2" ht="21" customHeight="1" x14ac:dyDescent="0.35">
      <c r="A246" s="2"/>
      <c r="B246" s="2"/>
    </row>
    <row r="247" spans="1:2" ht="21" customHeight="1" x14ac:dyDescent="0.35">
      <c r="A247" s="2"/>
      <c r="B247" s="2"/>
    </row>
    <row r="248" spans="1:2" ht="21" customHeight="1" x14ac:dyDescent="0.35">
      <c r="A248" s="2"/>
      <c r="B248" s="2"/>
    </row>
    <row r="249" spans="1:2" ht="21" customHeight="1" x14ac:dyDescent="0.35">
      <c r="A249" s="2"/>
      <c r="B249" s="2"/>
    </row>
    <row r="250" spans="1:2" ht="21" customHeight="1" x14ac:dyDescent="0.35">
      <c r="A250" s="2"/>
      <c r="B250" s="2"/>
    </row>
    <row r="251" spans="1:2" ht="21" customHeight="1" x14ac:dyDescent="0.35">
      <c r="A251" s="2"/>
      <c r="B251" s="2"/>
    </row>
    <row r="252" spans="1:2" ht="21" customHeight="1" x14ac:dyDescent="0.35">
      <c r="A252" s="2"/>
      <c r="B252" s="2"/>
    </row>
    <row r="253" spans="1:2" ht="21" customHeight="1" x14ac:dyDescent="0.35">
      <c r="A253" s="2"/>
      <c r="B253" s="2"/>
    </row>
    <row r="254" spans="1:2" ht="21" customHeight="1" x14ac:dyDescent="0.35">
      <c r="A254" s="2"/>
      <c r="B254" s="2"/>
    </row>
    <row r="255" spans="1:2" ht="21" customHeight="1" x14ac:dyDescent="0.35">
      <c r="A255" s="2"/>
      <c r="B255" s="2"/>
    </row>
    <row r="256" spans="1:2" ht="21" customHeight="1" x14ac:dyDescent="0.35">
      <c r="A256" s="2"/>
      <c r="B256" s="2"/>
    </row>
    <row r="257" spans="1:2" ht="21" customHeight="1" x14ac:dyDescent="0.35">
      <c r="A257" s="2"/>
      <c r="B257" s="2"/>
    </row>
    <row r="258" spans="1:2" ht="21" customHeight="1" x14ac:dyDescent="0.35">
      <c r="A258" s="2"/>
      <c r="B258" s="2"/>
    </row>
    <row r="259" spans="1:2" ht="21" customHeight="1" x14ac:dyDescent="0.35">
      <c r="A259" s="2"/>
      <c r="B259" s="2"/>
    </row>
    <row r="260" spans="1:2" ht="21" customHeight="1" x14ac:dyDescent="0.35">
      <c r="A260" s="2"/>
      <c r="B260" s="2"/>
    </row>
    <row r="261" spans="1:2" ht="21" customHeight="1" x14ac:dyDescent="0.35">
      <c r="A261" s="2"/>
      <c r="B261" s="2"/>
    </row>
    <row r="262" spans="1:2" ht="21" customHeight="1" x14ac:dyDescent="0.35">
      <c r="A262" s="2"/>
      <c r="B262" s="2"/>
    </row>
    <row r="263" spans="1:2" ht="21" customHeight="1" x14ac:dyDescent="0.35">
      <c r="A263" s="2"/>
      <c r="B263" s="2"/>
    </row>
    <row r="264" spans="1:2" ht="21" customHeight="1" x14ac:dyDescent="0.35">
      <c r="A264" s="2"/>
      <c r="B264" s="2"/>
    </row>
    <row r="265" spans="1:2" ht="21" customHeight="1" x14ac:dyDescent="0.35">
      <c r="A265" s="2"/>
      <c r="B265" s="2"/>
    </row>
    <row r="266" spans="1:2" ht="21" customHeight="1" x14ac:dyDescent="0.35">
      <c r="A266" s="2"/>
      <c r="B266" s="2"/>
    </row>
    <row r="267" spans="1:2" ht="21" customHeight="1" x14ac:dyDescent="0.35">
      <c r="A267" s="2"/>
      <c r="B267" s="2"/>
    </row>
    <row r="268" spans="1:2" ht="21" customHeight="1" x14ac:dyDescent="0.35">
      <c r="A268" s="2"/>
      <c r="B268" s="2"/>
    </row>
    <row r="269" spans="1:2" ht="21" customHeight="1" x14ac:dyDescent="0.35">
      <c r="A269" s="2"/>
      <c r="B269" s="2"/>
    </row>
    <row r="270" spans="1:2" ht="21" customHeight="1" x14ac:dyDescent="0.35">
      <c r="A270" s="2"/>
      <c r="B270" s="2"/>
    </row>
    <row r="271" spans="1:2" ht="21" customHeight="1" x14ac:dyDescent="0.35">
      <c r="A271" s="2"/>
      <c r="B271" s="2"/>
    </row>
    <row r="272" spans="1:2" ht="21" customHeight="1" x14ac:dyDescent="0.35">
      <c r="A272" s="2"/>
      <c r="B272" s="2"/>
    </row>
    <row r="273" spans="1:2" ht="21" customHeight="1" x14ac:dyDescent="0.35">
      <c r="A273" s="2"/>
      <c r="B273" s="2"/>
    </row>
    <row r="274" spans="1:2" ht="21" customHeight="1" x14ac:dyDescent="0.35">
      <c r="A274" s="2"/>
      <c r="B274" s="2"/>
    </row>
    <row r="275" spans="1:2" ht="21" customHeight="1" x14ac:dyDescent="0.35">
      <c r="A275" s="2"/>
      <c r="B275" s="2"/>
    </row>
    <row r="276" spans="1:2" ht="21" customHeight="1" x14ac:dyDescent="0.35">
      <c r="A276" s="2"/>
      <c r="B276" s="2"/>
    </row>
    <row r="277" spans="1:2" ht="21" customHeight="1" x14ac:dyDescent="0.35">
      <c r="A277" s="2"/>
      <c r="B277" s="2"/>
    </row>
    <row r="278" spans="1:2" ht="21" customHeight="1" x14ac:dyDescent="0.35">
      <c r="A278" s="2"/>
      <c r="B278" s="2"/>
    </row>
    <row r="279" spans="1:2" ht="21" customHeight="1" x14ac:dyDescent="0.35">
      <c r="A279" s="2"/>
      <c r="B279" s="2"/>
    </row>
    <row r="280" spans="1:2" ht="21" customHeight="1" x14ac:dyDescent="0.35">
      <c r="A280" s="2"/>
      <c r="B280" s="2"/>
    </row>
    <row r="281" spans="1:2" ht="21" customHeight="1" x14ac:dyDescent="0.35">
      <c r="A281" s="2"/>
      <c r="B281" s="2"/>
    </row>
    <row r="282" spans="1:2" ht="21" customHeight="1" x14ac:dyDescent="0.35">
      <c r="A282" s="2"/>
      <c r="B282" s="2"/>
    </row>
    <row r="283" spans="1:2" ht="21" customHeight="1" x14ac:dyDescent="0.35">
      <c r="A283" s="2"/>
      <c r="B283" s="2"/>
    </row>
    <row r="284" spans="1:2" ht="21" customHeight="1" x14ac:dyDescent="0.35">
      <c r="A284" s="2"/>
      <c r="B284" s="2"/>
    </row>
    <row r="285" spans="1:2" ht="21" customHeight="1" x14ac:dyDescent="0.35">
      <c r="A285" s="2"/>
      <c r="B285" s="2"/>
    </row>
    <row r="286" spans="1:2" ht="21" customHeight="1" x14ac:dyDescent="0.35">
      <c r="A286" s="2"/>
      <c r="B286" s="2"/>
    </row>
    <row r="287" spans="1:2" ht="21" customHeight="1" x14ac:dyDescent="0.35">
      <c r="A287" s="2"/>
      <c r="B287" s="2"/>
    </row>
    <row r="288" spans="1:2" ht="21" customHeight="1" x14ac:dyDescent="0.35">
      <c r="A288" s="2"/>
      <c r="B288" s="2"/>
    </row>
    <row r="289" spans="1:2" ht="21" customHeight="1" x14ac:dyDescent="0.35">
      <c r="A289" s="2"/>
      <c r="B289" s="2"/>
    </row>
    <row r="290" spans="1:2" ht="21" customHeight="1" x14ac:dyDescent="0.35">
      <c r="A290" s="2"/>
      <c r="B290" s="2"/>
    </row>
    <row r="291" spans="1:2" ht="21" customHeight="1" x14ac:dyDescent="0.35">
      <c r="A291" s="2"/>
      <c r="B291" s="2"/>
    </row>
    <row r="292" spans="1:2" ht="21" customHeight="1" x14ac:dyDescent="0.35">
      <c r="A292" s="2"/>
      <c r="B292" s="2"/>
    </row>
    <row r="293" spans="1:2" ht="21" customHeight="1" x14ac:dyDescent="0.35">
      <c r="A293" s="2"/>
      <c r="B293" s="2"/>
    </row>
    <row r="294" spans="1:2" ht="21" customHeight="1" x14ac:dyDescent="0.35">
      <c r="A294" s="2"/>
      <c r="B294" s="2"/>
    </row>
    <row r="295" spans="1:2" ht="21" customHeight="1" x14ac:dyDescent="0.35">
      <c r="A295" s="2"/>
      <c r="B295" s="2"/>
    </row>
    <row r="296" spans="1:2" ht="21" customHeight="1" x14ac:dyDescent="0.35">
      <c r="A296" s="2"/>
      <c r="B296" s="2"/>
    </row>
    <row r="297" spans="1:2" ht="21" customHeight="1" x14ac:dyDescent="0.35">
      <c r="A297" s="2"/>
      <c r="B297" s="2"/>
    </row>
    <row r="298" spans="1:2" ht="21" customHeight="1" x14ac:dyDescent="0.35">
      <c r="A298" s="2"/>
      <c r="B298" s="2"/>
    </row>
    <row r="299" spans="1:2" ht="21" customHeight="1" x14ac:dyDescent="0.35">
      <c r="A299" s="2"/>
      <c r="B299" s="2"/>
    </row>
    <row r="300" spans="1:2" ht="21" customHeight="1" x14ac:dyDescent="0.35">
      <c r="A300" s="2"/>
      <c r="B300" s="2"/>
    </row>
    <row r="301" spans="1:2" ht="21" customHeight="1" x14ac:dyDescent="0.35">
      <c r="A301" s="2"/>
      <c r="B301" s="2"/>
    </row>
    <row r="302" spans="1:2" ht="21" customHeight="1" x14ac:dyDescent="0.35">
      <c r="A302" s="2"/>
      <c r="B302" s="2"/>
    </row>
    <row r="303" spans="1:2" ht="21" customHeight="1" x14ac:dyDescent="0.35">
      <c r="A303" s="2"/>
      <c r="B303" s="2"/>
    </row>
    <row r="304" spans="1:2" ht="21" customHeight="1" x14ac:dyDescent="0.35">
      <c r="A304" s="2"/>
      <c r="B304" s="2"/>
    </row>
    <row r="305" spans="1:2" ht="21" customHeight="1" x14ac:dyDescent="0.35">
      <c r="A305" s="2"/>
      <c r="B305" s="2"/>
    </row>
    <row r="306" spans="1:2" ht="21" customHeight="1" x14ac:dyDescent="0.35">
      <c r="A306" s="2"/>
      <c r="B306" s="2"/>
    </row>
    <row r="307" spans="1:2" ht="21" customHeight="1" x14ac:dyDescent="0.35">
      <c r="A307" s="2"/>
      <c r="B307" s="2"/>
    </row>
    <row r="308" spans="1:2" ht="21" customHeight="1" x14ac:dyDescent="0.35">
      <c r="A308" s="2"/>
      <c r="B308" s="2"/>
    </row>
    <row r="309" spans="1:2" ht="21" customHeight="1" x14ac:dyDescent="0.35">
      <c r="A309" s="2"/>
      <c r="B309" s="2"/>
    </row>
    <row r="310" spans="1:2" ht="21" customHeight="1" x14ac:dyDescent="0.35">
      <c r="A310" s="2"/>
      <c r="B310" s="2"/>
    </row>
    <row r="311" spans="1:2" ht="21" customHeight="1" x14ac:dyDescent="0.35">
      <c r="A311" s="2"/>
      <c r="B311" s="2"/>
    </row>
    <row r="312" spans="1:2" ht="21" customHeight="1" x14ac:dyDescent="0.35">
      <c r="A312" s="2"/>
      <c r="B312" s="2"/>
    </row>
    <row r="313" spans="1:2" ht="21" customHeight="1" x14ac:dyDescent="0.35">
      <c r="A313" s="2"/>
      <c r="B313" s="2"/>
    </row>
    <row r="314" spans="1:2" ht="21" customHeight="1" x14ac:dyDescent="0.35">
      <c r="A314" s="2"/>
      <c r="B314" s="2"/>
    </row>
    <row r="315" spans="1:2" ht="21" customHeight="1" x14ac:dyDescent="0.35">
      <c r="A315" s="2"/>
      <c r="B315" s="2"/>
    </row>
    <row r="316" spans="1:2" ht="21" customHeight="1" x14ac:dyDescent="0.35">
      <c r="A316" s="2"/>
      <c r="B316" s="2"/>
    </row>
    <row r="317" spans="1:2" ht="21" customHeight="1" x14ac:dyDescent="0.35">
      <c r="A317" s="2"/>
      <c r="B317" s="2"/>
    </row>
    <row r="318" spans="1:2" ht="21" customHeight="1" x14ac:dyDescent="0.35">
      <c r="A318" s="2"/>
      <c r="B318" s="2"/>
    </row>
    <row r="319" spans="1:2" ht="21" customHeight="1" x14ac:dyDescent="0.35">
      <c r="A319" s="2"/>
      <c r="B319" s="2"/>
    </row>
    <row r="320" spans="1:2" ht="21" customHeight="1" x14ac:dyDescent="0.35">
      <c r="A320" s="2"/>
      <c r="B320" s="2"/>
    </row>
    <row r="321" spans="1:2" ht="21" customHeight="1" x14ac:dyDescent="0.35">
      <c r="A321" s="2"/>
      <c r="B321" s="2"/>
    </row>
    <row r="322" spans="1:2" ht="21" customHeight="1" x14ac:dyDescent="0.35">
      <c r="A322" s="2"/>
      <c r="B322" s="2"/>
    </row>
    <row r="323" spans="1:2" ht="21" customHeight="1" x14ac:dyDescent="0.35">
      <c r="A323" s="2"/>
      <c r="B323" s="2"/>
    </row>
    <row r="324" spans="1:2" ht="21" customHeight="1" x14ac:dyDescent="0.35">
      <c r="A324" s="2"/>
      <c r="B324" s="2"/>
    </row>
    <row r="325" spans="1:2" ht="21" customHeight="1" x14ac:dyDescent="0.35">
      <c r="A325" s="2"/>
      <c r="B325" s="2"/>
    </row>
    <row r="326" spans="1:2" ht="21" customHeight="1" x14ac:dyDescent="0.35">
      <c r="A326" s="2"/>
      <c r="B326" s="2"/>
    </row>
    <row r="327" spans="1:2" ht="21" customHeight="1" x14ac:dyDescent="0.35">
      <c r="A327" s="2"/>
      <c r="B327" s="2"/>
    </row>
    <row r="328" spans="1:2" ht="21" customHeight="1" x14ac:dyDescent="0.35">
      <c r="A328" s="2"/>
      <c r="B328" s="2"/>
    </row>
    <row r="329" spans="1:2" ht="21" customHeight="1" x14ac:dyDescent="0.35">
      <c r="A329" s="2"/>
      <c r="B329" s="2"/>
    </row>
    <row r="330" spans="1:2" ht="21" customHeight="1" x14ac:dyDescent="0.35">
      <c r="A330" s="2"/>
      <c r="B330" s="2"/>
    </row>
    <row r="331" spans="1:2" ht="21" customHeight="1" x14ac:dyDescent="0.35">
      <c r="A331" s="2"/>
      <c r="B331" s="2"/>
    </row>
    <row r="332" spans="1:2" ht="21" customHeight="1" x14ac:dyDescent="0.35">
      <c r="A332" s="2"/>
      <c r="B332" s="2"/>
    </row>
    <row r="333" spans="1:2" ht="21" customHeight="1" x14ac:dyDescent="0.35">
      <c r="A333" s="2"/>
      <c r="B333" s="2"/>
    </row>
    <row r="334" spans="1:2" ht="21" customHeight="1" x14ac:dyDescent="0.35">
      <c r="A334" s="2"/>
      <c r="B334" s="2"/>
    </row>
    <row r="335" spans="1:2" ht="21" customHeight="1" x14ac:dyDescent="0.35">
      <c r="A335" s="2"/>
      <c r="B335" s="2"/>
    </row>
    <row r="336" spans="1:2" ht="21" customHeight="1" x14ac:dyDescent="0.35">
      <c r="A336" s="2"/>
      <c r="B336" s="2"/>
    </row>
    <row r="337" spans="1:2" ht="21" customHeight="1" x14ac:dyDescent="0.35">
      <c r="A337" s="2"/>
      <c r="B337" s="2"/>
    </row>
    <row r="338" spans="1:2" ht="21" customHeight="1" x14ac:dyDescent="0.35">
      <c r="A338" s="2"/>
      <c r="B338" s="2"/>
    </row>
    <row r="339" spans="1:2" ht="21" customHeight="1" x14ac:dyDescent="0.35">
      <c r="A339" s="2"/>
      <c r="B339" s="2"/>
    </row>
    <row r="340" spans="1:2" ht="21" customHeight="1" x14ac:dyDescent="0.35">
      <c r="A340" s="2"/>
      <c r="B340" s="2"/>
    </row>
    <row r="341" spans="1:2" ht="21" customHeight="1" x14ac:dyDescent="0.35">
      <c r="A341" s="2"/>
      <c r="B341" s="2"/>
    </row>
    <row r="342" spans="1:2" ht="21" customHeight="1" x14ac:dyDescent="0.35">
      <c r="A342" s="2"/>
      <c r="B342" s="2"/>
    </row>
    <row r="343" spans="1:2" ht="21" customHeight="1" x14ac:dyDescent="0.35">
      <c r="A343" s="2"/>
      <c r="B343" s="2"/>
    </row>
    <row r="344" spans="1:2" ht="21" customHeight="1" x14ac:dyDescent="0.35">
      <c r="A344" s="2"/>
      <c r="B344" s="2"/>
    </row>
    <row r="345" spans="1:2" ht="21" customHeight="1" x14ac:dyDescent="0.35">
      <c r="A345" s="2"/>
      <c r="B345" s="2"/>
    </row>
    <row r="346" spans="1:2" ht="21" customHeight="1" x14ac:dyDescent="0.35">
      <c r="A346" s="2"/>
      <c r="B346" s="2"/>
    </row>
    <row r="347" spans="1:2" ht="21" customHeight="1" x14ac:dyDescent="0.35">
      <c r="A347" s="2"/>
      <c r="B347" s="2"/>
    </row>
    <row r="348" spans="1:2" ht="21" customHeight="1" x14ac:dyDescent="0.35">
      <c r="A348" s="2"/>
      <c r="B348" s="2"/>
    </row>
    <row r="349" spans="1:2" ht="21" customHeight="1" x14ac:dyDescent="0.35">
      <c r="A349" s="2"/>
      <c r="B349" s="2"/>
    </row>
    <row r="350" spans="1:2" ht="21" customHeight="1" x14ac:dyDescent="0.35">
      <c r="A350" s="2"/>
      <c r="B350" s="2"/>
    </row>
    <row r="351" spans="1:2" ht="21" customHeight="1" x14ac:dyDescent="0.35">
      <c r="A351" s="2"/>
      <c r="B351" s="2"/>
    </row>
    <row r="352" spans="1:2" ht="21" customHeight="1" x14ac:dyDescent="0.35">
      <c r="A352" s="2"/>
      <c r="B352" s="2"/>
    </row>
    <row r="353" spans="1:2" ht="21" customHeight="1" x14ac:dyDescent="0.35">
      <c r="A353" s="2"/>
      <c r="B353" s="2"/>
    </row>
    <row r="354" spans="1:2" ht="21" customHeight="1" x14ac:dyDescent="0.35">
      <c r="A354" s="2"/>
      <c r="B354" s="2"/>
    </row>
    <row r="355" spans="1:2" ht="21" customHeight="1" x14ac:dyDescent="0.35">
      <c r="A355" s="2"/>
      <c r="B355" s="2"/>
    </row>
    <row r="356" spans="1:2" ht="21" customHeight="1" x14ac:dyDescent="0.35">
      <c r="A356" s="2"/>
      <c r="B356" s="2"/>
    </row>
    <row r="357" spans="1:2" ht="21" customHeight="1" x14ac:dyDescent="0.35">
      <c r="A357" s="2"/>
      <c r="B357" s="2"/>
    </row>
    <row r="358" spans="1:2" ht="21" customHeight="1" x14ac:dyDescent="0.35">
      <c r="A358" s="2"/>
      <c r="B358" s="2"/>
    </row>
    <row r="359" spans="1:2" ht="21" customHeight="1" x14ac:dyDescent="0.35">
      <c r="A359" s="2"/>
      <c r="B359" s="2"/>
    </row>
    <row r="360" spans="1:2" ht="21" customHeight="1" x14ac:dyDescent="0.35">
      <c r="A360" s="2"/>
      <c r="B360" s="2"/>
    </row>
    <row r="361" spans="1:2" ht="21" customHeight="1" x14ac:dyDescent="0.35">
      <c r="A361" s="2"/>
      <c r="B361" s="2"/>
    </row>
    <row r="362" spans="1:2" ht="21" customHeight="1" x14ac:dyDescent="0.35">
      <c r="A362" s="2"/>
      <c r="B362" s="2"/>
    </row>
    <row r="363" spans="1:2" ht="21" customHeight="1" x14ac:dyDescent="0.35">
      <c r="A363" s="2"/>
      <c r="B363" s="2"/>
    </row>
    <row r="364" spans="1:2" ht="21" customHeight="1" x14ac:dyDescent="0.35">
      <c r="A364" s="2"/>
      <c r="B364" s="2"/>
    </row>
    <row r="365" spans="1:2" ht="21" customHeight="1" x14ac:dyDescent="0.35">
      <c r="A365" s="2"/>
      <c r="B365" s="2"/>
    </row>
    <row r="366" spans="1:2" ht="21" customHeight="1" x14ac:dyDescent="0.35">
      <c r="A366" s="2"/>
      <c r="B366" s="2"/>
    </row>
    <row r="367" spans="1:2" ht="21" customHeight="1" x14ac:dyDescent="0.35">
      <c r="A367" s="2"/>
      <c r="B367" s="2"/>
    </row>
    <row r="368" spans="1:2" ht="21" customHeight="1" x14ac:dyDescent="0.35">
      <c r="A368" s="2"/>
      <c r="B368" s="2"/>
    </row>
    <row r="369" spans="1:2" ht="21" customHeight="1" x14ac:dyDescent="0.35">
      <c r="A369" s="2"/>
      <c r="B369" s="2"/>
    </row>
    <row r="370" spans="1:2" ht="21" customHeight="1" x14ac:dyDescent="0.35">
      <c r="A370" s="2"/>
      <c r="B370" s="2"/>
    </row>
    <row r="371" spans="1:2" ht="21" customHeight="1" x14ac:dyDescent="0.35">
      <c r="A371" s="2"/>
      <c r="B371" s="2"/>
    </row>
    <row r="372" spans="1:2" ht="21" customHeight="1" x14ac:dyDescent="0.35">
      <c r="A372" s="2"/>
      <c r="B372" s="2"/>
    </row>
    <row r="373" spans="1:2" ht="21" customHeight="1" x14ac:dyDescent="0.35">
      <c r="A373" s="2"/>
      <c r="B373" s="2"/>
    </row>
    <row r="374" spans="1:2" ht="21" customHeight="1" x14ac:dyDescent="0.35">
      <c r="A374" s="2"/>
      <c r="B374" s="2"/>
    </row>
    <row r="375" spans="1:2" ht="21" customHeight="1" x14ac:dyDescent="0.35">
      <c r="A375" s="2"/>
      <c r="B375" s="2"/>
    </row>
    <row r="376" spans="1:2" ht="21" customHeight="1" x14ac:dyDescent="0.35">
      <c r="A376" s="2"/>
      <c r="B376" s="2"/>
    </row>
    <row r="377" spans="1:2" ht="21" customHeight="1" x14ac:dyDescent="0.35">
      <c r="A377" s="2"/>
      <c r="B377" s="2"/>
    </row>
    <row r="378" spans="1:2" ht="21" customHeight="1" x14ac:dyDescent="0.35">
      <c r="A378" s="2"/>
      <c r="B378" s="2"/>
    </row>
    <row r="379" spans="1:2" ht="21" customHeight="1" x14ac:dyDescent="0.35">
      <c r="A379" s="2"/>
      <c r="B379" s="2"/>
    </row>
    <row r="380" spans="1:2" ht="21" customHeight="1" x14ac:dyDescent="0.35">
      <c r="A380" s="2"/>
      <c r="B380" s="2"/>
    </row>
    <row r="381" spans="1:2" ht="21" customHeight="1" x14ac:dyDescent="0.35">
      <c r="A381" s="2"/>
      <c r="B381" s="2"/>
    </row>
    <row r="382" spans="1:2" ht="21" customHeight="1" x14ac:dyDescent="0.35">
      <c r="A382" s="2"/>
      <c r="B382" s="2"/>
    </row>
    <row r="383" spans="1:2" ht="21" customHeight="1" x14ac:dyDescent="0.35">
      <c r="A383" s="2"/>
      <c r="B383" s="2"/>
    </row>
    <row r="384" spans="1:2" ht="21" customHeight="1" x14ac:dyDescent="0.35">
      <c r="A384" s="2"/>
      <c r="B384" s="2"/>
    </row>
    <row r="385" spans="1:2" ht="21" customHeight="1" x14ac:dyDescent="0.35">
      <c r="A385" s="2"/>
      <c r="B385" s="2"/>
    </row>
    <row r="386" spans="1:2" ht="21" customHeight="1" x14ac:dyDescent="0.35">
      <c r="A386" s="2"/>
      <c r="B386" s="2"/>
    </row>
    <row r="387" spans="1:2" ht="21" customHeight="1" x14ac:dyDescent="0.35">
      <c r="A387" s="2"/>
      <c r="B387" s="2"/>
    </row>
    <row r="388" spans="1:2" ht="21" customHeight="1" x14ac:dyDescent="0.35">
      <c r="A388" s="2"/>
      <c r="B388" s="2"/>
    </row>
    <row r="389" spans="1:2" ht="21" customHeight="1" x14ac:dyDescent="0.35">
      <c r="A389" s="2"/>
      <c r="B389" s="2"/>
    </row>
    <row r="390" spans="1:2" ht="21" customHeight="1" x14ac:dyDescent="0.35">
      <c r="A390" s="2"/>
      <c r="B390" s="2"/>
    </row>
    <row r="391" spans="1:2" ht="21" customHeight="1" x14ac:dyDescent="0.35">
      <c r="A391" s="2"/>
      <c r="B391" s="2"/>
    </row>
    <row r="392" spans="1:2" ht="21" customHeight="1" x14ac:dyDescent="0.35">
      <c r="A392" s="2"/>
      <c r="B392" s="2"/>
    </row>
    <row r="393" spans="1:2" ht="21" customHeight="1" x14ac:dyDescent="0.35">
      <c r="A393" s="2"/>
      <c r="B393" s="2"/>
    </row>
    <row r="394" spans="1:2" ht="21" customHeight="1" x14ac:dyDescent="0.35">
      <c r="A394" s="2"/>
      <c r="B394" s="2"/>
    </row>
    <row r="395" spans="1:2" ht="21" customHeight="1" x14ac:dyDescent="0.35">
      <c r="A395" s="2"/>
      <c r="B395" s="2"/>
    </row>
    <row r="396" spans="1:2" ht="21" customHeight="1" x14ac:dyDescent="0.35">
      <c r="A396" s="2"/>
      <c r="B396" s="2"/>
    </row>
    <row r="397" spans="1:2" ht="21" customHeight="1" x14ac:dyDescent="0.35">
      <c r="A397" s="2"/>
      <c r="B397" s="2"/>
    </row>
    <row r="398" spans="1:2" ht="21" customHeight="1" x14ac:dyDescent="0.35">
      <c r="A398" s="2"/>
      <c r="B398" s="2"/>
    </row>
    <row r="399" spans="1:2" ht="21" customHeight="1" x14ac:dyDescent="0.35">
      <c r="A399" s="2"/>
      <c r="B399" s="2"/>
    </row>
    <row r="400" spans="1:2" ht="21" customHeight="1" x14ac:dyDescent="0.35">
      <c r="A400" s="2"/>
      <c r="B400" s="2"/>
    </row>
    <row r="401" spans="1:2" ht="21" customHeight="1" x14ac:dyDescent="0.35">
      <c r="A401" s="2"/>
      <c r="B401" s="2"/>
    </row>
    <row r="402" spans="1:2" ht="21" customHeight="1" x14ac:dyDescent="0.35">
      <c r="A402" s="2"/>
      <c r="B402" s="2"/>
    </row>
    <row r="403" spans="1:2" ht="21" customHeight="1" x14ac:dyDescent="0.35">
      <c r="A403" s="2"/>
      <c r="B403" s="2"/>
    </row>
    <row r="404" spans="1:2" ht="21" customHeight="1" x14ac:dyDescent="0.35">
      <c r="A404" s="2"/>
      <c r="B404" s="2"/>
    </row>
    <row r="405" spans="1:2" ht="21" customHeight="1" x14ac:dyDescent="0.35">
      <c r="A405" s="2"/>
      <c r="B405" s="2"/>
    </row>
    <row r="406" spans="1:2" ht="21" customHeight="1" x14ac:dyDescent="0.35">
      <c r="A406" s="2"/>
      <c r="B406" s="2"/>
    </row>
    <row r="407" spans="1:2" ht="21" customHeight="1" x14ac:dyDescent="0.35">
      <c r="A407" s="2"/>
      <c r="B407" s="2"/>
    </row>
    <row r="408" spans="1:2" ht="21" customHeight="1" x14ac:dyDescent="0.35">
      <c r="A408" s="2"/>
      <c r="B408" s="2"/>
    </row>
    <row r="409" spans="1:2" ht="21" customHeight="1" x14ac:dyDescent="0.35">
      <c r="A409" s="2"/>
      <c r="B409" s="2"/>
    </row>
    <row r="410" spans="1:2" ht="21" customHeight="1" x14ac:dyDescent="0.35">
      <c r="A410" s="2"/>
      <c r="B410" s="2"/>
    </row>
    <row r="411" spans="1:2" ht="21" customHeight="1" x14ac:dyDescent="0.35">
      <c r="A411" s="2"/>
      <c r="B411" s="2"/>
    </row>
    <row r="412" spans="1:2" ht="21" customHeight="1" x14ac:dyDescent="0.35">
      <c r="A412" s="2"/>
      <c r="B412" s="2"/>
    </row>
    <row r="413" spans="1:2" ht="21" customHeight="1" x14ac:dyDescent="0.35">
      <c r="A413" s="2"/>
      <c r="B413" s="2"/>
    </row>
    <row r="414" spans="1:2" ht="21" customHeight="1" x14ac:dyDescent="0.35">
      <c r="A414" s="2"/>
      <c r="B414" s="2"/>
    </row>
    <row r="415" spans="1:2" ht="21" customHeight="1" x14ac:dyDescent="0.35">
      <c r="A415" s="2"/>
      <c r="B415" s="2"/>
    </row>
    <row r="416" spans="1:2" ht="21" customHeight="1" x14ac:dyDescent="0.35">
      <c r="A416" s="2"/>
      <c r="B416" s="2"/>
    </row>
    <row r="417" spans="1:2" ht="21" customHeight="1" x14ac:dyDescent="0.35">
      <c r="A417" s="2"/>
      <c r="B417" s="2"/>
    </row>
    <row r="418" spans="1:2" ht="21" customHeight="1" x14ac:dyDescent="0.35">
      <c r="A418" s="2"/>
      <c r="B418" s="2"/>
    </row>
    <row r="419" spans="1:2" ht="21" customHeight="1" x14ac:dyDescent="0.35">
      <c r="A419" s="2"/>
      <c r="B419" s="2"/>
    </row>
    <row r="420" spans="1:2" ht="21" customHeight="1" x14ac:dyDescent="0.35">
      <c r="A420" s="2"/>
      <c r="B420" s="2"/>
    </row>
    <row r="421" spans="1:2" ht="21" customHeight="1" x14ac:dyDescent="0.35">
      <c r="A421" s="2"/>
      <c r="B421" s="2"/>
    </row>
    <row r="422" spans="1:2" ht="21" customHeight="1" x14ac:dyDescent="0.35">
      <c r="A422" s="2"/>
      <c r="B422" s="2"/>
    </row>
    <row r="423" spans="1:2" ht="21" customHeight="1" x14ac:dyDescent="0.35">
      <c r="A423" s="2"/>
      <c r="B423" s="2"/>
    </row>
    <row r="424" spans="1:2" ht="21" customHeight="1" x14ac:dyDescent="0.35">
      <c r="A424" s="2"/>
      <c r="B424" s="2"/>
    </row>
    <row r="425" spans="1:2" ht="21" customHeight="1" x14ac:dyDescent="0.35">
      <c r="A425" s="2"/>
      <c r="B425" s="2"/>
    </row>
    <row r="426" spans="1:2" ht="21" customHeight="1" x14ac:dyDescent="0.35">
      <c r="A426" s="2"/>
      <c r="B426" s="2"/>
    </row>
    <row r="427" spans="1:2" ht="21" customHeight="1" x14ac:dyDescent="0.35">
      <c r="A427" s="2"/>
      <c r="B427" s="2"/>
    </row>
    <row r="428" spans="1:2" ht="21" customHeight="1" x14ac:dyDescent="0.35">
      <c r="A428" s="2"/>
      <c r="B428" s="2"/>
    </row>
    <row r="429" spans="1:2" ht="21" customHeight="1" x14ac:dyDescent="0.35">
      <c r="A429" s="2"/>
      <c r="B429" s="2"/>
    </row>
    <row r="430" spans="1:2" ht="21" customHeight="1" x14ac:dyDescent="0.35">
      <c r="A430" s="2"/>
      <c r="B430" s="2"/>
    </row>
    <row r="431" spans="1:2" ht="21" customHeight="1" x14ac:dyDescent="0.35">
      <c r="A431" s="2"/>
      <c r="B431" s="2"/>
    </row>
    <row r="432" spans="1:2" ht="21" customHeight="1" x14ac:dyDescent="0.35">
      <c r="A432" s="2"/>
      <c r="B432" s="2"/>
    </row>
    <row r="433" spans="1:2" ht="21" customHeight="1" x14ac:dyDescent="0.35">
      <c r="A433" s="2"/>
      <c r="B433" s="2"/>
    </row>
    <row r="434" spans="1:2" ht="21" customHeight="1" x14ac:dyDescent="0.35">
      <c r="A434" s="2"/>
      <c r="B434" s="2"/>
    </row>
    <row r="435" spans="1:2" ht="21" customHeight="1" x14ac:dyDescent="0.35">
      <c r="A435" s="2"/>
      <c r="B435" s="2"/>
    </row>
    <row r="436" spans="1:2" ht="21" customHeight="1" x14ac:dyDescent="0.35">
      <c r="A436" s="2"/>
      <c r="B436" s="2"/>
    </row>
    <row r="437" spans="1:2" ht="21" customHeight="1" x14ac:dyDescent="0.35">
      <c r="A437" s="2"/>
      <c r="B437" s="2"/>
    </row>
    <row r="438" spans="1:2" ht="21" customHeight="1" x14ac:dyDescent="0.35">
      <c r="A438" s="2"/>
      <c r="B438" s="2"/>
    </row>
    <row r="439" spans="1:2" ht="21" customHeight="1" x14ac:dyDescent="0.35">
      <c r="A439" s="2"/>
      <c r="B439" s="2"/>
    </row>
    <row r="440" spans="1:2" ht="21" customHeight="1" x14ac:dyDescent="0.35">
      <c r="A440" s="2"/>
      <c r="B440" s="2"/>
    </row>
    <row r="441" spans="1:2" ht="21" customHeight="1" x14ac:dyDescent="0.35">
      <c r="A441" s="2"/>
      <c r="B441" s="2"/>
    </row>
    <row r="442" spans="1:2" ht="21" customHeight="1" x14ac:dyDescent="0.35">
      <c r="A442" s="2"/>
      <c r="B442" s="2"/>
    </row>
    <row r="443" spans="1:2" ht="21" customHeight="1" x14ac:dyDescent="0.35">
      <c r="A443" s="2"/>
      <c r="B443" s="2"/>
    </row>
    <row r="444" spans="1:2" ht="21" customHeight="1" x14ac:dyDescent="0.35">
      <c r="A444" s="2"/>
      <c r="B444" s="2"/>
    </row>
    <row r="445" spans="1:2" ht="21" customHeight="1" x14ac:dyDescent="0.35">
      <c r="A445" s="2"/>
      <c r="B445" s="2"/>
    </row>
    <row r="446" spans="1:2" ht="21" customHeight="1" x14ac:dyDescent="0.35">
      <c r="A446" s="2"/>
      <c r="B446" s="2"/>
    </row>
    <row r="447" spans="1:2" ht="21" customHeight="1" x14ac:dyDescent="0.35">
      <c r="A447" s="2"/>
      <c r="B447" s="2"/>
    </row>
    <row r="448" spans="1:2" ht="21" customHeight="1" x14ac:dyDescent="0.35">
      <c r="A448" s="2"/>
      <c r="B448" s="2"/>
    </row>
    <row r="449" spans="1:2" ht="21" customHeight="1" x14ac:dyDescent="0.35">
      <c r="A449" s="2"/>
      <c r="B449" s="2"/>
    </row>
    <row r="450" spans="1:2" ht="21" customHeight="1" x14ac:dyDescent="0.35">
      <c r="A450" s="2"/>
      <c r="B450" s="2"/>
    </row>
    <row r="451" spans="1:2" ht="21" customHeight="1" x14ac:dyDescent="0.35">
      <c r="A451" s="2"/>
      <c r="B451" s="2"/>
    </row>
    <row r="452" spans="1:2" ht="21" customHeight="1" x14ac:dyDescent="0.35">
      <c r="A452" s="2"/>
      <c r="B452" s="2"/>
    </row>
    <row r="453" spans="1:2" ht="21" customHeight="1" x14ac:dyDescent="0.35">
      <c r="A453" s="2"/>
      <c r="B453" s="2"/>
    </row>
    <row r="454" spans="1:2" ht="21" customHeight="1" x14ac:dyDescent="0.35">
      <c r="A454" s="2"/>
      <c r="B454" s="2"/>
    </row>
    <row r="455" spans="1:2" ht="21" customHeight="1" x14ac:dyDescent="0.35">
      <c r="A455" s="2"/>
      <c r="B455" s="2"/>
    </row>
    <row r="456" spans="1:2" ht="21" customHeight="1" x14ac:dyDescent="0.35">
      <c r="A456" s="2"/>
      <c r="B456" s="2"/>
    </row>
    <row r="457" spans="1:2" ht="21" customHeight="1" x14ac:dyDescent="0.35">
      <c r="A457" s="2"/>
      <c r="B457" s="2"/>
    </row>
    <row r="458" spans="1:2" ht="21" customHeight="1" x14ac:dyDescent="0.35">
      <c r="A458" s="2"/>
      <c r="B458" s="2"/>
    </row>
    <row r="459" spans="1:2" ht="21" customHeight="1" x14ac:dyDescent="0.35">
      <c r="A459" s="2"/>
      <c r="B459" s="2"/>
    </row>
    <row r="460" spans="1:2" ht="21" customHeight="1" x14ac:dyDescent="0.35">
      <c r="A460" s="2"/>
      <c r="B460" s="2"/>
    </row>
    <row r="461" spans="1:2" ht="21" customHeight="1" x14ac:dyDescent="0.35">
      <c r="A461" s="2"/>
      <c r="B461" s="2"/>
    </row>
    <row r="462" spans="1:2" ht="21" customHeight="1" x14ac:dyDescent="0.35">
      <c r="A462" s="2"/>
      <c r="B462" s="2"/>
    </row>
    <row r="463" spans="1:2" ht="21" customHeight="1" x14ac:dyDescent="0.35">
      <c r="A463" s="2"/>
      <c r="B463" s="2"/>
    </row>
    <row r="464" spans="1:2" ht="21" customHeight="1" x14ac:dyDescent="0.35">
      <c r="A464" s="2"/>
      <c r="B464" s="2"/>
    </row>
    <row r="465" spans="1:2" ht="21" customHeight="1" x14ac:dyDescent="0.35">
      <c r="A465" s="2"/>
      <c r="B465" s="2"/>
    </row>
    <row r="466" spans="1:2" ht="21" customHeight="1" x14ac:dyDescent="0.35">
      <c r="A466" s="2"/>
      <c r="B466" s="2"/>
    </row>
    <row r="467" spans="1:2" ht="21" customHeight="1" x14ac:dyDescent="0.35">
      <c r="A467" s="2"/>
      <c r="B467" s="2"/>
    </row>
    <row r="468" spans="1:2" ht="21" customHeight="1" x14ac:dyDescent="0.35">
      <c r="A468" s="2"/>
      <c r="B468" s="2"/>
    </row>
    <row r="469" spans="1:2" ht="21" customHeight="1" x14ac:dyDescent="0.35">
      <c r="A469" s="2"/>
      <c r="B469" s="2"/>
    </row>
    <row r="470" spans="1:2" ht="21" customHeight="1" x14ac:dyDescent="0.35">
      <c r="A470" s="2"/>
      <c r="B470" s="2"/>
    </row>
    <row r="471" spans="1:2" ht="21" customHeight="1" x14ac:dyDescent="0.35">
      <c r="A471" s="2"/>
      <c r="B471" s="2"/>
    </row>
    <row r="472" spans="1:2" ht="21" customHeight="1" x14ac:dyDescent="0.35">
      <c r="A472" s="2"/>
      <c r="B472" s="2"/>
    </row>
    <row r="473" spans="1:2" ht="21" customHeight="1" x14ac:dyDescent="0.35">
      <c r="A473" s="2"/>
      <c r="B473" s="2"/>
    </row>
    <row r="474" spans="1:2" ht="21" customHeight="1" x14ac:dyDescent="0.35">
      <c r="A474" s="2"/>
      <c r="B474" s="2"/>
    </row>
    <row r="475" spans="1:2" ht="21" customHeight="1" x14ac:dyDescent="0.35">
      <c r="A475" s="2"/>
      <c r="B475" s="2"/>
    </row>
    <row r="476" spans="1:2" ht="21" customHeight="1" x14ac:dyDescent="0.35">
      <c r="A476" s="2"/>
      <c r="B476" s="2"/>
    </row>
    <row r="477" spans="1:2" ht="21" customHeight="1" x14ac:dyDescent="0.35">
      <c r="A477" s="2"/>
      <c r="B477" s="2"/>
    </row>
    <row r="478" spans="1:2" ht="21" customHeight="1" x14ac:dyDescent="0.35">
      <c r="A478" s="2"/>
      <c r="B478" s="2"/>
    </row>
    <row r="479" spans="1:2" ht="21" customHeight="1" x14ac:dyDescent="0.35">
      <c r="A479" s="2"/>
      <c r="B479" s="2"/>
    </row>
    <row r="480" spans="1:2" ht="21" customHeight="1" x14ac:dyDescent="0.35">
      <c r="A480" s="2"/>
      <c r="B480" s="2"/>
    </row>
    <row r="481" spans="1:2" ht="21" customHeight="1" x14ac:dyDescent="0.35">
      <c r="A481" s="2"/>
      <c r="B481" s="2"/>
    </row>
    <row r="482" spans="1:2" ht="21" customHeight="1" x14ac:dyDescent="0.35">
      <c r="A482" s="2"/>
      <c r="B482" s="2"/>
    </row>
    <row r="483" spans="1:2" ht="21" customHeight="1" x14ac:dyDescent="0.35">
      <c r="A483" s="2"/>
      <c r="B483" s="2"/>
    </row>
    <row r="484" spans="1:2" ht="21" customHeight="1" x14ac:dyDescent="0.35">
      <c r="A484" s="2"/>
      <c r="B484" s="2"/>
    </row>
    <row r="485" spans="1:2" ht="21" customHeight="1" x14ac:dyDescent="0.35">
      <c r="A485" s="2"/>
      <c r="B485" s="2"/>
    </row>
    <row r="486" spans="1:2" ht="21" customHeight="1" x14ac:dyDescent="0.35">
      <c r="A486" s="2"/>
      <c r="B486" s="2"/>
    </row>
    <row r="487" spans="1:2" ht="21" customHeight="1" x14ac:dyDescent="0.35">
      <c r="A487" s="2"/>
      <c r="B487" s="2"/>
    </row>
  </sheetData>
  <pageMargins left="0.75" right="0.75" top="1" bottom="1" header="0.5" footer="0.5"/>
  <pageSetup orientation="portrait" horizontalDpi="4294967292" verticalDpi="4294967292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W491"/>
  <sheetViews>
    <sheetView zoomScale="85" zoomScaleNormal="85" workbookViewId="0">
      <pane xSplit="1" ySplit="2" topLeftCell="B124" activePane="bottomRight" state="frozen"/>
      <selection pane="topRight" activeCell="B1" sqref="B1"/>
      <selection pane="bottomLeft" activeCell="A3" sqref="A3"/>
      <selection pane="bottomRight" activeCell="C140" sqref="C140"/>
    </sheetView>
  </sheetViews>
  <sheetFormatPr defaultColWidth="12.36328125" defaultRowHeight="18" customHeight="1" x14ac:dyDescent="0.35"/>
  <cols>
    <col min="1" max="1" width="49.1796875" style="15" customWidth="1"/>
    <col min="2" max="2" width="17.36328125" style="51" bestFit="1" customWidth="1"/>
    <col min="3" max="6" width="15.6328125" style="3" bestFit="1" customWidth="1"/>
    <col min="7" max="7" width="17.90625" style="3" bestFit="1" customWidth="1"/>
    <col min="8" max="17" width="15.6328125" style="3" bestFit="1" customWidth="1"/>
    <col min="18" max="61" width="16.90625" style="3" bestFit="1" customWidth="1"/>
    <col min="62" max="124" width="12.453125" style="3" bestFit="1" customWidth="1"/>
    <col min="125" max="16384" width="12.36328125" style="3"/>
  </cols>
  <sheetData>
    <row r="1" spans="1:61" ht="18" customHeight="1" x14ac:dyDescent="0.35">
      <c r="A1" s="15" t="s">
        <v>197</v>
      </c>
      <c r="B1" s="51">
        <v>1</v>
      </c>
      <c r="C1" s="3">
        <v>2</v>
      </c>
      <c r="D1" s="3">
        <v>3</v>
      </c>
      <c r="E1" s="3">
        <v>4</v>
      </c>
      <c r="F1" s="3">
        <v>5</v>
      </c>
      <c r="G1" s="3">
        <v>6</v>
      </c>
      <c r="H1" s="3">
        <v>7</v>
      </c>
      <c r="I1" s="3">
        <v>8</v>
      </c>
      <c r="J1" s="3">
        <v>9</v>
      </c>
      <c r="K1" s="3">
        <v>10</v>
      </c>
      <c r="L1" s="3">
        <v>11</v>
      </c>
      <c r="M1" s="3">
        <v>12</v>
      </c>
      <c r="N1" s="3">
        <v>13</v>
      </c>
      <c r="O1" s="3">
        <v>14</v>
      </c>
      <c r="P1" s="3">
        <v>15</v>
      </c>
      <c r="Q1" s="3">
        <v>16</v>
      </c>
      <c r="R1" s="3">
        <v>17</v>
      </c>
      <c r="S1" s="3">
        <v>18</v>
      </c>
      <c r="T1" s="3">
        <v>19</v>
      </c>
      <c r="U1" s="3">
        <v>20</v>
      </c>
      <c r="V1" s="3">
        <v>21</v>
      </c>
      <c r="W1" s="3">
        <v>22</v>
      </c>
      <c r="X1" s="3">
        <v>23</v>
      </c>
      <c r="Y1" s="3">
        <v>24</v>
      </c>
      <c r="Z1" s="3">
        <v>25</v>
      </c>
      <c r="AA1" s="3">
        <v>26</v>
      </c>
      <c r="AB1" s="3">
        <v>27</v>
      </c>
      <c r="AC1" s="3">
        <v>28</v>
      </c>
      <c r="AD1" s="3">
        <v>29</v>
      </c>
      <c r="AE1" s="3">
        <v>30</v>
      </c>
      <c r="AF1" s="3">
        <v>31</v>
      </c>
      <c r="AG1" s="3">
        <v>32</v>
      </c>
      <c r="AH1" s="3">
        <v>33</v>
      </c>
      <c r="AI1" s="3">
        <v>34</v>
      </c>
      <c r="AJ1" s="3">
        <v>35</v>
      </c>
      <c r="AK1" s="3">
        <v>36</v>
      </c>
      <c r="AL1" s="3">
        <v>37</v>
      </c>
      <c r="AM1" s="3">
        <v>38</v>
      </c>
      <c r="AN1" s="3">
        <v>39</v>
      </c>
      <c r="AO1" s="3">
        <f>+AN1+1</f>
        <v>40</v>
      </c>
      <c r="AP1" s="3">
        <f t="shared" ref="AP1:BI1" si="0">+AO1+1</f>
        <v>41</v>
      </c>
      <c r="AQ1" s="3">
        <f t="shared" si="0"/>
        <v>42</v>
      </c>
      <c r="AR1" s="3">
        <f t="shared" si="0"/>
        <v>43</v>
      </c>
      <c r="AS1" s="3">
        <f t="shared" si="0"/>
        <v>44</v>
      </c>
      <c r="AT1" s="3">
        <f t="shared" si="0"/>
        <v>45</v>
      </c>
      <c r="AU1" s="3">
        <f t="shared" si="0"/>
        <v>46</v>
      </c>
      <c r="AV1" s="3">
        <f t="shared" si="0"/>
        <v>47</v>
      </c>
      <c r="AW1" s="3">
        <f t="shared" si="0"/>
        <v>48</v>
      </c>
      <c r="AX1" s="3">
        <f t="shared" si="0"/>
        <v>49</v>
      </c>
      <c r="AY1" s="3">
        <f t="shared" si="0"/>
        <v>50</v>
      </c>
      <c r="AZ1" s="3">
        <f t="shared" si="0"/>
        <v>51</v>
      </c>
      <c r="BA1" s="3">
        <f t="shared" si="0"/>
        <v>52</v>
      </c>
      <c r="BB1" s="3">
        <f t="shared" si="0"/>
        <v>53</v>
      </c>
      <c r="BC1" s="3">
        <f t="shared" si="0"/>
        <v>54</v>
      </c>
      <c r="BD1" s="3">
        <f t="shared" si="0"/>
        <v>55</v>
      </c>
      <c r="BE1" s="3">
        <f t="shared" si="0"/>
        <v>56</v>
      </c>
      <c r="BF1" s="3">
        <f t="shared" si="0"/>
        <v>57</v>
      </c>
      <c r="BG1" s="3">
        <f t="shared" si="0"/>
        <v>58</v>
      </c>
      <c r="BH1" s="3">
        <f t="shared" si="0"/>
        <v>59</v>
      </c>
      <c r="BI1" s="3">
        <f t="shared" si="0"/>
        <v>60</v>
      </c>
    </row>
    <row r="2" spans="1:61" ht="18" customHeight="1" x14ac:dyDescent="0.35">
      <c r="A2" s="80"/>
      <c r="B2" s="51">
        <v>2010</v>
      </c>
      <c r="C2" s="3">
        <f>+B2+Parameters!$B$21</f>
        <v>2015</v>
      </c>
      <c r="D2" s="3">
        <f>+C2+Parameters!$B$21</f>
        <v>2020</v>
      </c>
      <c r="E2" s="3">
        <f>+D2+Parameters!$B$21</f>
        <v>2025</v>
      </c>
      <c r="F2" s="3">
        <f>+E2+Parameters!$B$21</f>
        <v>2030</v>
      </c>
      <c r="G2" s="3">
        <f>+F2+Parameters!$B$21</f>
        <v>2035</v>
      </c>
      <c r="H2" s="3">
        <f>+G2+Parameters!$B$21</f>
        <v>2040</v>
      </c>
      <c r="I2" s="3">
        <f>+H2+Parameters!$B$21</f>
        <v>2045</v>
      </c>
      <c r="J2" s="3">
        <f>+I2+Parameters!$B$21</f>
        <v>2050</v>
      </c>
      <c r="K2" s="3">
        <f>+J2+Parameters!$B$21</f>
        <v>2055</v>
      </c>
      <c r="L2" s="3">
        <f>+K2+Parameters!$B$21</f>
        <v>2060</v>
      </c>
      <c r="M2" s="3">
        <f>+L2+Parameters!$B$21</f>
        <v>2065</v>
      </c>
      <c r="N2" s="3">
        <f>+M2+Parameters!$B$21</f>
        <v>2070</v>
      </c>
      <c r="O2" s="3">
        <f>+N2+Parameters!$B$21</f>
        <v>2075</v>
      </c>
      <c r="P2" s="3">
        <f>+O2+Parameters!$B$21</f>
        <v>2080</v>
      </c>
      <c r="Q2" s="3">
        <f>+P2+Parameters!$B$21</f>
        <v>2085</v>
      </c>
      <c r="R2" s="3">
        <f>+Q2+Parameters!$B$21</f>
        <v>2090</v>
      </c>
      <c r="S2" s="3">
        <f>+R2+Parameters!$B$21</f>
        <v>2095</v>
      </c>
      <c r="T2" s="3">
        <f>+S2+Parameters!$B$21</f>
        <v>2100</v>
      </c>
      <c r="U2" s="3">
        <f>+T2+Parameters!$B$21</f>
        <v>2105</v>
      </c>
      <c r="V2" s="3">
        <f>+U2+Parameters!$B$21</f>
        <v>2110</v>
      </c>
      <c r="W2" s="3">
        <f>+V2+Parameters!$B$21</f>
        <v>2115</v>
      </c>
      <c r="X2" s="3">
        <f>+W2+Parameters!$B$21</f>
        <v>2120</v>
      </c>
      <c r="Y2" s="3">
        <f>+X2+Parameters!$B$21</f>
        <v>2125</v>
      </c>
      <c r="Z2" s="3">
        <f>+Y2+Parameters!$B$21</f>
        <v>2130</v>
      </c>
      <c r="AA2" s="3">
        <f>+Z2+Parameters!$B$21</f>
        <v>2135</v>
      </c>
      <c r="AB2" s="3">
        <f>+AA2+Parameters!$B$21</f>
        <v>2140</v>
      </c>
      <c r="AC2" s="3">
        <f>+AB2+Parameters!$B$21</f>
        <v>2145</v>
      </c>
      <c r="AD2" s="3">
        <f>+AC2+Parameters!$B$21</f>
        <v>2150</v>
      </c>
      <c r="AE2" s="3">
        <f>+AD2+Parameters!$B$21</f>
        <v>2155</v>
      </c>
      <c r="AF2" s="3">
        <f>+AE2+Parameters!$B$21</f>
        <v>2160</v>
      </c>
      <c r="AG2" s="3">
        <f>+AF2+Parameters!$B$21</f>
        <v>2165</v>
      </c>
      <c r="AH2" s="3">
        <f>+AG2+Parameters!$B$21</f>
        <v>2170</v>
      </c>
      <c r="AI2" s="3">
        <f>+AH2+Parameters!$B$21</f>
        <v>2175</v>
      </c>
      <c r="AJ2" s="3">
        <f>+AI2+Parameters!$B$21</f>
        <v>2180</v>
      </c>
      <c r="AK2" s="3">
        <f>+AJ2+Parameters!$B$21</f>
        <v>2185</v>
      </c>
      <c r="AL2" s="3">
        <f>+AK2+Parameters!$B$21</f>
        <v>2190</v>
      </c>
      <c r="AM2" s="3">
        <f>+AL2+Parameters!$B$21</f>
        <v>2195</v>
      </c>
      <c r="AN2" s="3">
        <f>+AM2+Parameters!$B$21</f>
        <v>2200</v>
      </c>
      <c r="AO2" s="3">
        <f>+AN2+Parameters!$B$21</f>
        <v>2205</v>
      </c>
      <c r="AP2" s="3">
        <f>+AO2+Parameters!$B$21</f>
        <v>2210</v>
      </c>
      <c r="AQ2" s="3">
        <f>+AP2+Parameters!$B$21</f>
        <v>2215</v>
      </c>
      <c r="AR2" s="3">
        <f>+AQ2+Parameters!$B$21</f>
        <v>2220</v>
      </c>
      <c r="AS2" s="3">
        <f>+AR2+Parameters!$B$21</f>
        <v>2225</v>
      </c>
      <c r="AT2" s="3">
        <f>+AS2+Parameters!$B$21</f>
        <v>2230</v>
      </c>
      <c r="AU2" s="3">
        <f>+AT2+Parameters!$B$21</f>
        <v>2235</v>
      </c>
      <c r="AV2" s="3">
        <f>+AU2+Parameters!$B$21</f>
        <v>2240</v>
      </c>
      <c r="AW2" s="3">
        <f>+AV2+Parameters!$B$21</f>
        <v>2245</v>
      </c>
      <c r="AX2" s="3">
        <f>+AW2+Parameters!$B$21</f>
        <v>2250</v>
      </c>
      <c r="AY2" s="3">
        <f>+AX2+Parameters!$B$21</f>
        <v>2255</v>
      </c>
      <c r="AZ2" s="3">
        <f>+AY2+Parameters!$B$21</f>
        <v>2260</v>
      </c>
      <c r="BA2" s="3">
        <f>+AZ2+Parameters!$B$21</f>
        <v>2265</v>
      </c>
      <c r="BB2" s="3">
        <f>+BA2+Parameters!$B$21</f>
        <v>2270</v>
      </c>
      <c r="BC2" s="3">
        <f>+BB2+Parameters!$B$21</f>
        <v>2275</v>
      </c>
      <c r="BD2" s="3">
        <f>+BC2+Parameters!$B$21</f>
        <v>2280</v>
      </c>
      <c r="BE2" s="3">
        <f>+BD2+Parameters!$B$21</f>
        <v>2285</v>
      </c>
      <c r="BF2" s="3">
        <f>+BE2+Parameters!$B$21</f>
        <v>2290</v>
      </c>
      <c r="BG2" s="3">
        <f>+BF2+Parameters!$B$21</f>
        <v>2295</v>
      </c>
      <c r="BH2" s="3">
        <f>+BG2+Parameters!$B$21</f>
        <v>2300</v>
      </c>
      <c r="BI2" s="3">
        <f>+BH2+Parameters!$B$21</f>
        <v>2305</v>
      </c>
    </row>
    <row r="3" spans="1:61" ht="18" customHeight="1" thickBot="1" x14ac:dyDescent="0.4">
      <c r="A3" s="81" t="s">
        <v>201</v>
      </c>
    </row>
    <row r="4" spans="1:61" ht="18" customHeight="1" thickTop="1" thickBot="1" x14ac:dyDescent="0.4">
      <c r="A4" s="82" t="s">
        <v>35</v>
      </c>
    </row>
    <row r="5" spans="1:61" ht="21" customHeight="1" thickTop="1" x14ac:dyDescent="0.35">
      <c r="A5" s="15" t="s">
        <v>51</v>
      </c>
      <c r="B5" s="51">
        <f>+Base!B5</f>
        <v>0.3</v>
      </c>
    </row>
    <row r="6" spans="1:61" ht="19.75" customHeight="1" x14ac:dyDescent="0.35">
      <c r="A6" s="15" t="s">
        <v>144</v>
      </c>
      <c r="B6" s="51">
        <f>+Base!B6</f>
        <v>0.1</v>
      </c>
    </row>
    <row r="7" spans="1:61" ht="21" hidden="1" customHeight="1" x14ac:dyDescent="0.35">
      <c r="A7" s="113" t="s">
        <v>167</v>
      </c>
      <c r="B7" s="114">
        <f>+Parameters!B22*Parameters!B23</f>
        <v>0</v>
      </c>
    </row>
    <row r="8" spans="1:61" ht="21" hidden="1" customHeight="1" x14ac:dyDescent="0.35">
      <c r="A8" s="113" t="s">
        <v>168</v>
      </c>
      <c r="B8" s="114">
        <f>1-Parameters!B24</f>
        <v>0.5</v>
      </c>
    </row>
    <row r="9" spans="1:61" ht="21" hidden="1" customHeight="1" x14ac:dyDescent="0.35">
      <c r="A9" s="113" t="s">
        <v>179</v>
      </c>
      <c r="B9" s="115">
        <f>+B7*B8</f>
        <v>0</v>
      </c>
    </row>
    <row r="10" spans="1:61" ht="21" hidden="1" customHeight="1" x14ac:dyDescent="0.35">
      <c r="A10" s="13" t="s">
        <v>315</v>
      </c>
      <c r="B10" s="8">
        <f>+B6+B9</f>
        <v>0.1</v>
      </c>
    </row>
    <row r="11" spans="1:61" ht="21" customHeight="1" x14ac:dyDescent="0.35">
      <c r="A11" s="15" t="s">
        <v>22</v>
      </c>
      <c r="B11" s="51">
        <f>+Base!B11</f>
        <v>66.95</v>
      </c>
    </row>
    <row r="12" spans="1:61" ht="21" customHeight="1" x14ac:dyDescent="0.35">
      <c r="A12" s="15" t="s">
        <v>13</v>
      </c>
      <c r="B12" s="51">
        <f>+Base!B12</f>
        <v>135</v>
      </c>
    </row>
    <row r="13" spans="1:61" ht="21" customHeight="1" x14ac:dyDescent="0.35">
      <c r="A13" s="15" t="s">
        <v>71</v>
      </c>
      <c r="B13" s="51">
        <f>+Base!B13</f>
        <v>3.7976214000000001</v>
      </c>
    </row>
    <row r="14" spans="1:61" ht="21" customHeight="1" thickBot="1" x14ac:dyDescent="0.4">
      <c r="A14" s="82" t="s">
        <v>52</v>
      </c>
    </row>
    <row r="15" spans="1:61" ht="21" customHeight="1" thickTop="1" x14ac:dyDescent="0.35">
      <c r="A15" s="15" t="s">
        <v>135</v>
      </c>
      <c r="B15" s="51">
        <f>+Base!B15</f>
        <v>1.4999999999999999E-2</v>
      </c>
      <c r="C15" s="3">
        <f>+B15</f>
        <v>1.4999999999999999E-2</v>
      </c>
      <c r="D15" s="3">
        <f t="shared" ref="D15:BI15" si="1">+C15</f>
        <v>1.4999999999999999E-2</v>
      </c>
      <c r="E15" s="3">
        <f t="shared" si="1"/>
        <v>1.4999999999999999E-2</v>
      </c>
      <c r="F15" s="3">
        <f t="shared" si="1"/>
        <v>1.4999999999999999E-2</v>
      </c>
      <c r="G15" s="3">
        <f t="shared" si="1"/>
        <v>1.4999999999999999E-2</v>
      </c>
      <c r="H15" s="3">
        <f t="shared" si="1"/>
        <v>1.4999999999999999E-2</v>
      </c>
      <c r="I15" s="3">
        <f t="shared" si="1"/>
        <v>1.4999999999999999E-2</v>
      </c>
      <c r="J15" s="3">
        <f t="shared" si="1"/>
        <v>1.4999999999999999E-2</v>
      </c>
      <c r="K15" s="3">
        <f t="shared" si="1"/>
        <v>1.4999999999999999E-2</v>
      </c>
      <c r="L15" s="3">
        <f t="shared" si="1"/>
        <v>1.4999999999999999E-2</v>
      </c>
      <c r="M15" s="3">
        <f t="shared" si="1"/>
        <v>1.4999999999999999E-2</v>
      </c>
      <c r="N15" s="3">
        <f t="shared" si="1"/>
        <v>1.4999999999999999E-2</v>
      </c>
      <c r="O15" s="3">
        <f t="shared" si="1"/>
        <v>1.4999999999999999E-2</v>
      </c>
      <c r="P15" s="3">
        <f t="shared" si="1"/>
        <v>1.4999999999999999E-2</v>
      </c>
      <c r="Q15" s="3">
        <f t="shared" si="1"/>
        <v>1.4999999999999999E-2</v>
      </c>
      <c r="R15" s="3">
        <f t="shared" si="1"/>
        <v>1.4999999999999999E-2</v>
      </c>
      <c r="S15" s="3">
        <f t="shared" si="1"/>
        <v>1.4999999999999999E-2</v>
      </c>
      <c r="T15" s="3">
        <f t="shared" si="1"/>
        <v>1.4999999999999999E-2</v>
      </c>
      <c r="U15" s="3">
        <f t="shared" si="1"/>
        <v>1.4999999999999999E-2</v>
      </c>
      <c r="V15" s="3">
        <f t="shared" si="1"/>
        <v>1.4999999999999999E-2</v>
      </c>
      <c r="W15" s="3">
        <f t="shared" si="1"/>
        <v>1.4999999999999999E-2</v>
      </c>
      <c r="X15" s="3">
        <f t="shared" si="1"/>
        <v>1.4999999999999999E-2</v>
      </c>
      <c r="Y15" s="3">
        <f t="shared" si="1"/>
        <v>1.4999999999999999E-2</v>
      </c>
      <c r="Z15" s="3">
        <f t="shared" si="1"/>
        <v>1.4999999999999999E-2</v>
      </c>
      <c r="AA15" s="3">
        <f t="shared" si="1"/>
        <v>1.4999999999999999E-2</v>
      </c>
      <c r="AB15" s="3">
        <f t="shared" si="1"/>
        <v>1.4999999999999999E-2</v>
      </c>
      <c r="AC15" s="3">
        <f t="shared" si="1"/>
        <v>1.4999999999999999E-2</v>
      </c>
      <c r="AD15" s="3">
        <f t="shared" si="1"/>
        <v>1.4999999999999999E-2</v>
      </c>
      <c r="AE15" s="3">
        <f t="shared" si="1"/>
        <v>1.4999999999999999E-2</v>
      </c>
      <c r="AF15" s="3">
        <f t="shared" si="1"/>
        <v>1.4999999999999999E-2</v>
      </c>
      <c r="AG15" s="3">
        <f t="shared" si="1"/>
        <v>1.4999999999999999E-2</v>
      </c>
      <c r="AH15" s="3">
        <f t="shared" si="1"/>
        <v>1.4999999999999999E-2</v>
      </c>
      <c r="AI15" s="3">
        <f t="shared" si="1"/>
        <v>1.4999999999999999E-2</v>
      </c>
      <c r="AJ15" s="3">
        <f t="shared" si="1"/>
        <v>1.4999999999999999E-2</v>
      </c>
      <c r="AK15" s="3">
        <f t="shared" si="1"/>
        <v>1.4999999999999999E-2</v>
      </c>
      <c r="AL15" s="3">
        <f t="shared" si="1"/>
        <v>1.4999999999999999E-2</v>
      </c>
      <c r="AM15" s="3">
        <f t="shared" si="1"/>
        <v>1.4999999999999999E-2</v>
      </c>
      <c r="AN15" s="3">
        <f t="shared" si="1"/>
        <v>1.4999999999999999E-2</v>
      </c>
      <c r="AO15" s="3">
        <f t="shared" si="1"/>
        <v>1.4999999999999999E-2</v>
      </c>
      <c r="AP15" s="3">
        <f t="shared" si="1"/>
        <v>1.4999999999999999E-2</v>
      </c>
      <c r="AQ15" s="3">
        <f t="shared" si="1"/>
        <v>1.4999999999999999E-2</v>
      </c>
      <c r="AR15" s="3">
        <f t="shared" si="1"/>
        <v>1.4999999999999999E-2</v>
      </c>
      <c r="AS15" s="3">
        <f t="shared" si="1"/>
        <v>1.4999999999999999E-2</v>
      </c>
      <c r="AT15" s="3">
        <f t="shared" si="1"/>
        <v>1.4999999999999999E-2</v>
      </c>
      <c r="AU15" s="3">
        <f t="shared" si="1"/>
        <v>1.4999999999999999E-2</v>
      </c>
      <c r="AV15" s="3">
        <f t="shared" si="1"/>
        <v>1.4999999999999999E-2</v>
      </c>
      <c r="AW15" s="3">
        <f t="shared" si="1"/>
        <v>1.4999999999999999E-2</v>
      </c>
      <c r="AX15" s="3">
        <f t="shared" si="1"/>
        <v>1.4999999999999999E-2</v>
      </c>
      <c r="AY15" s="3">
        <f t="shared" si="1"/>
        <v>1.4999999999999999E-2</v>
      </c>
      <c r="AZ15" s="3">
        <f t="shared" si="1"/>
        <v>1.4999999999999999E-2</v>
      </c>
      <c r="BA15" s="3">
        <f t="shared" si="1"/>
        <v>1.4999999999999999E-2</v>
      </c>
      <c r="BB15" s="3">
        <f t="shared" si="1"/>
        <v>1.4999999999999999E-2</v>
      </c>
      <c r="BC15" s="3">
        <f t="shared" si="1"/>
        <v>1.4999999999999999E-2</v>
      </c>
      <c r="BD15" s="3">
        <f t="shared" si="1"/>
        <v>1.4999999999999999E-2</v>
      </c>
      <c r="BE15" s="3">
        <f t="shared" si="1"/>
        <v>1.4999999999999999E-2</v>
      </c>
      <c r="BF15" s="3">
        <f t="shared" si="1"/>
        <v>1.4999999999999999E-2</v>
      </c>
      <c r="BG15" s="3">
        <f t="shared" si="1"/>
        <v>1.4999999999999999E-2</v>
      </c>
      <c r="BH15" s="3">
        <f t="shared" si="1"/>
        <v>1.4999999999999999E-2</v>
      </c>
      <c r="BI15" s="3">
        <f t="shared" si="1"/>
        <v>1.4999999999999999E-2</v>
      </c>
    </row>
    <row r="16" spans="1:61" ht="20.399999999999999" customHeight="1" x14ac:dyDescent="0.35">
      <c r="A16" s="15" t="s">
        <v>143</v>
      </c>
      <c r="B16" s="51">
        <f>+Base!B16</f>
        <v>1.4999999999999999E-2</v>
      </c>
    </row>
    <row r="17" spans="1:124" ht="21" hidden="1" customHeight="1" x14ac:dyDescent="0.35">
      <c r="A17" s="15" t="s">
        <v>169</v>
      </c>
      <c r="B17" s="51">
        <f>+Base!B17</f>
        <v>0</v>
      </c>
    </row>
    <row r="18" spans="1:124" ht="21" customHeight="1" x14ac:dyDescent="0.35">
      <c r="A18" s="15" t="s">
        <v>53</v>
      </c>
      <c r="B18" s="51">
        <f>+Base!B18</f>
        <v>1</v>
      </c>
      <c r="C18" s="3">
        <f t="shared" ref="C18:BI18" si="2">B18/(1+B15)^(C2-B2)</f>
        <v>0.92826032540563996</v>
      </c>
      <c r="D18" s="3">
        <f t="shared" si="2"/>
        <v>0.86166723172218462</v>
      </c>
      <c r="E18" s="3">
        <f t="shared" si="2"/>
        <v>0.79985150490981205</v>
      </c>
      <c r="F18" s="3">
        <f t="shared" si="2"/>
        <v>0.74247041822377302</v>
      </c>
      <c r="G18" s="3">
        <f t="shared" si="2"/>
        <v>0.68920583202446117</v>
      </c>
      <c r="H18" s="3">
        <f t="shared" si="2"/>
        <v>0.63976242990649113</v>
      </c>
      <c r="I18" s="3">
        <f t="shared" si="2"/>
        <v>0.59386608136730235</v>
      </c>
      <c r="J18" s="3">
        <f t="shared" si="2"/>
        <v>0.55126232193738434</v>
      </c>
      <c r="K18" s="3">
        <f t="shared" si="2"/>
        <v>0.51171494234546511</v>
      </c>
      <c r="L18" s="3">
        <f t="shared" si="2"/>
        <v>0.47500467889652975</v>
      </c>
      <c r="M18" s="3">
        <f t="shared" si="2"/>
        <v>0.44092799780169423</v>
      </c>
      <c r="N18" s="3">
        <f t="shared" si="2"/>
        <v>0.40929596671985802</v>
      </c>
      <c r="O18" s="3">
        <f t="shared" si="2"/>
        <v>0.3799332072545914</v>
      </c>
      <c r="P18" s="3">
        <f t="shared" si="2"/>
        <v>0.35267692259855549</v>
      </c>
      <c r="Q18" s="3">
        <f t="shared" si="2"/>
        <v>0.32737599493439484</v>
      </c>
      <c r="R18" s="3">
        <f t="shared" si="2"/>
        <v>0.30389014758779648</v>
      </c>
      <c r="S18" s="3">
        <f t="shared" si="2"/>
        <v>0.2820891672874159</v>
      </c>
      <c r="T18" s="3">
        <f t="shared" si="2"/>
        <v>0.2618521822196227</v>
      </c>
      <c r="U18" s="3">
        <f t="shared" si="2"/>
        <v>0.2430669918753639</v>
      </c>
      <c r="V18" s="3">
        <f t="shared" si="2"/>
        <v>0.22562944497359536</v>
      </c>
      <c r="W18" s="3">
        <f t="shared" si="2"/>
        <v>0.20944286201228357</v>
      </c>
      <c r="X18" s="3">
        <f t="shared" si="2"/>
        <v>0.19441749924541091</v>
      </c>
      <c r="Y18" s="3">
        <f t="shared" si="2"/>
        <v>0.18047005111409589</v>
      </c>
      <c r="Z18" s="3">
        <f t="shared" si="2"/>
        <v>0.16752318837314314</v>
      </c>
      <c r="AA18" s="3">
        <f t="shared" si="2"/>
        <v>0.15550512935224417</v>
      </c>
      <c r="AB18" s="3">
        <f t="shared" si="2"/>
        <v>0.14434924197476032</v>
      </c>
      <c r="AC18" s="3">
        <f t="shared" si="2"/>
        <v>0.13399367432754847</v>
      </c>
      <c r="AD18" s="3">
        <f t="shared" si="2"/>
        <v>0.12438101173358748</v>
      </c>
      <c r="AE18" s="3">
        <f t="shared" si="2"/>
        <v>0.11545795842610264</v>
      </c>
      <c r="AF18" s="3">
        <f t="shared" si="2"/>
        <v>0.10717504205928489</v>
      </c>
      <c r="AG18" s="3">
        <f t="shared" si="2"/>
        <v>9.9486339417314953E-2</v>
      </c>
      <c r="AH18" s="3">
        <f t="shared" si="2"/>
        <v>9.2349221800932732E-2</v>
      </c>
      <c r="AI18" s="3">
        <f t="shared" si="2"/>
        <v>8.5724118679891437E-2</v>
      </c>
      <c r="AJ18" s="3">
        <f t="shared" si="2"/>
        <v>7.9574298300907731E-2</v>
      </c>
      <c r="AK18" s="3">
        <f t="shared" si="2"/>
        <v>7.3865664034726081E-2</v>
      </c>
      <c r="AL18" s="3">
        <f t="shared" si="2"/>
        <v>6.8566565333178509E-2</v>
      </c>
      <c r="AM18" s="3">
        <f t="shared" si="2"/>
        <v>6.3647622248123356E-2</v>
      </c>
      <c r="AN18" s="3">
        <f t="shared" si="2"/>
        <v>5.9081562539338238E-2</v>
      </c>
      <c r="AO18" s="3">
        <f t="shared" si="2"/>
        <v>5.4843070468239781E-2</v>
      </c>
      <c r="AP18" s="3">
        <f t="shared" si="2"/>
        <v>5.0908646439092702E-2</v>
      </c>
      <c r="AQ18" s="3">
        <f t="shared" si="2"/>
        <v>4.7256476709512864E-2</v>
      </c>
      <c r="AR18" s="3">
        <f t="shared" si="2"/>
        <v>4.3866312447896461E-2</v>
      </c>
      <c r="AS18" s="3">
        <f t="shared" si="2"/>
        <v>4.0719357467229843E-2</v>
      </c>
      <c r="AT18" s="3">
        <f t="shared" si="2"/>
        <v>3.779816401283935E-2</v>
      </c>
      <c r="AU18" s="3">
        <f t="shared" si="2"/>
        <v>3.5086536026294003E-2</v>
      </c>
      <c r="AV18" s="3">
        <f t="shared" si="2"/>
        <v>3.2569439349124381E-2</v>
      </c>
      <c r="AW18" s="3">
        <f t="shared" si="2"/>
        <v>3.0232918368497452E-2</v>
      </c>
      <c r="AX18" s="3">
        <f t="shared" si="2"/>
        <v>2.8064018642703595E-2</v>
      </c>
      <c r="AY18" s="3">
        <f t="shared" si="2"/>
        <v>2.6050715077465987E-2</v>
      </c>
      <c r="AZ18" s="3">
        <f t="shared" si="2"/>
        <v>2.4181845254858191E-2</v>
      </c>
      <c r="BA18" s="3">
        <f t="shared" si="2"/>
        <v>2.2447047545183493E-2</v>
      </c>
      <c r="BB18" s="3">
        <f t="shared" si="2"/>
        <v>2.0836703658687901E-2</v>
      </c>
      <c r="BC18" s="3">
        <f t="shared" si="2"/>
        <v>1.9341885318594518E-2</v>
      </c>
      <c r="BD18" s="3">
        <f t="shared" si="2"/>
        <v>1.7954304759797118E-2</v>
      </c>
      <c r="BE18" s="3">
        <f t="shared" si="2"/>
        <v>1.6666268778761303E-2</v>
      </c>
      <c r="BF18" s="3">
        <f t="shared" si="2"/>
        <v>1.5470636079870826E-2</v>
      </c>
      <c r="BG18" s="3">
        <f t="shared" si="2"/>
        <v>1.4360777681733128E-2</v>
      </c>
      <c r="BH18" s="3">
        <f t="shared" si="2"/>
        <v>1.3330540163923646E-2</v>
      </c>
      <c r="BI18" s="3">
        <f t="shared" si="2"/>
        <v>1.2374211550396717E-2</v>
      </c>
    </row>
    <row r="19" spans="1:124" ht="21" customHeight="1" x14ac:dyDescent="0.35">
      <c r="A19" s="15" t="s">
        <v>58</v>
      </c>
      <c r="B19" s="51">
        <f>+Base!B19</f>
        <v>1.45</v>
      </c>
    </row>
    <row r="20" spans="1:124" ht="21" customHeight="1" thickBot="1" x14ac:dyDescent="0.4">
      <c r="A20" s="83" t="s">
        <v>15</v>
      </c>
    </row>
    <row r="21" spans="1:124" ht="21" customHeight="1" thickTop="1" x14ac:dyDescent="0.35">
      <c r="A21" s="15" t="s">
        <v>88</v>
      </c>
      <c r="B21" s="51">
        <f>+Base!B21</f>
        <v>3.7976214000000001</v>
      </c>
      <c r="C21" s="51">
        <f>+Base!C21</f>
        <v>4.1233674267100975</v>
      </c>
      <c r="D21" s="51">
        <f>+Base!D21</f>
        <v>4.4657337879870225</v>
      </c>
      <c r="E21" s="51">
        <f>+Base!E21</f>
        <v>4.8246876450561675</v>
      </c>
      <c r="F21" s="51">
        <f>+Base!F21</f>
        <v>5.2001407372762589</v>
      </c>
      <c r="G21" s="51">
        <f>+Base!G21</f>
        <v>5.5919503241395958</v>
      </c>
      <c r="H21" s="51">
        <f>+Base!H21</f>
        <v>5.9999204992367279</v>
      </c>
      <c r="I21" s="51">
        <f>+Base!I21</f>
        <v>6.4238038470291627</v>
      </c>
      <c r="J21" s="51">
        <f>+Base!J21</f>
        <v>6.8633034110325832</v>
      </c>
      <c r="K21" s="51">
        <f>+Base!K21</f>
        <v>7.3180749403940499</v>
      </c>
      <c r="L21" s="51">
        <f>+Base!L21</f>
        <v>7.7877293808181882</v>
      </c>
      <c r="M21" s="51">
        <f>+Base!M21</f>
        <v>8.2718355753199262</v>
      </c>
      <c r="N21" s="51">
        <f>+Base!N21</f>
        <v>8.7699231403093645</v>
      </c>
      <c r="O21" s="51">
        <f>+Base!O21</f>
        <v>9.2814854829978692</v>
      </c>
      <c r="P21" s="51">
        <f>+Base!P21</f>
        <v>9.805982927000942</v>
      </c>
      <c r="Q21" s="51">
        <f>+Base!Q21</f>
        <v>10.342845914248688</v>
      </c>
      <c r="R21" s="51">
        <f>+Base!R21</f>
        <v>10.891478252845129</v>
      </c>
      <c r="S21" s="51">
        <f>+Base!S21</f>
        <v>11.451260382290016</v>
      </c>
      <c r="T21" s="51">
        <f>+Base!T21</f>
        <v>12.021552629440624</v>
      </c>
      <c r="U21" s="51">
        <f>+Base!U21</f>
        <v>12.601698430697848</v>
      </c>
      <c r="V21" s="51">
        <f>+Base!V21</f>
        <v>13.191027498106218</v>
      </c>
      <c r="W21" s="51">
        <f>+Base!W21</f>
        <v>13.788858909319805</v>
      </c>
      <c r="X21" s="51">
        <f>+Base!X21</f>
        <v>14.394504103668551</v>
      </c>
      <c r="Y21" s="51">
        <f>+Base!Y21</f>
        <v>15.007269768829158</v>
      </c>
      <c r="Z21" s="51">
        <f>+Base!Z21</f>
        <v>15.626460604832571</v>
      </c>
      <c r="AA21" s="51">
        <f>+Base!AA21</f>
        <v>16.251381954301731</v>
      </c>
      <c r="AB21" s="51">
        <f>+Base!AB21</f>
        <v>16.881342289887851</v>
      </c>
      <c r="AC21" s="51">
        <f>+Base!AC21</f>
        <v>17.515655551844304</v>
      </c>
      <c r="AD21" s="51">
        <f>+Base!AD21</f>
        <v>18.153643330531068</v>
      </c>
      <c r="AE21" s="51">
        <f>+Base!AE21</f>
        <v>18.794636890369542</v>
      </c>
      <c r="AF21" s="51">
        <f>+Base!AF21</f>
        <v>19.437979033360847</v>
      </c>
      <c r="AG21" s="51">
        <f>+Base!AG21</f>
        <v>20.08302580173595</v>
      </c>
      <c r="AH21" s="51">
        <f>+Base!AH21</f>
        <v>20.729148020621849</v>
      </c>
      <c r="AI21" s="51">
        <f>+Base!AI21</f>
        <v>21.375732682784619</v>
      </c>
      <c r="AJ21" s="51">
        <f>+Base!AJ21</f>
        <v>22.022184178549967</v>
      </c>
      <c r="AK21" s="51">
        <f>+Base!AK21</f>
        <v>22.667925374908592</v>
      </c>
      <c r="AL21" s="51">
        <f>+Base!AL21</f>
        <v>23.312398548592238</v>
      </c>
      <c r="AM21" s="51">
        <f>+Base!AM21</f>
        <v>23.955066178562941</v>
      </c>
      <c r="AN21" s="51">
        <f>+Base!AN21</f>
        <v>24.595411603899361</v>
      </c>
      <c r="AO21" s="51">
        <f>+Base!AO21</f>
        <v>25.232939553497779</v>
      </c>
      <c r="AP21" s="51">
        <f>+Base!AP21</f>
        <v>25.867176554338993</v>
      </c>
      <c r="AQ21" s="51">
        <f>+Base!AQ21</f>
        <v>26.497671225314146</v>
      </c>
      <c r="AR21" s="51">
        <f>+Base!AR21</f>
        <v>27.123994463760443</v>
      </c>
      <c r="AS21" s="51">
        <f>+Base!AS21</f>
        <v>27.745739531939883</v>
      </c>
      <c r="AT21" s="51">
        <f>+Base!AT21</f>
        <v>28.362522050708495</v>
      </c>
      <c r="AU21" s="51">
        <f>+Base!AU21</f>
        <v>28.973979907577796</v>
      </c>
      <c r="AV21" s="51">
        <f>+Base!AV21</f>
        <v>29.579773086271572</v>
      </c>
      <c r="AW21" s="51">
        <f>+Base!AW21</f>
        <v>30.179583424736954</v>
      </c>
      <c r="AX21" s="51">
        <f>+Base!AX21</f>
        <v>30.773114308385264</v>
      </c>
      <c r="AY21" s="51">
        <f>+Base!AY21</f>
        <v>31.360090305122124</v>
      </c>
      <c r="AZ21" s="51">
        <f>+Base!AZ21</f>
        <v>31.94025674848292</v>
      </c>
      <c r="BA21" s="51">
        <f>+Base!BA21</f>
        <v>32.513379274924787</v>
      </c>
      <c r="BB21" s="51">
        <f>+Base!BB21</f>
        <v>33.07924332104443</v>
      </c>
      <c r="BC21" s="51">
        <f>+Base!BC21</f>
        <v>33.63765358619667</v>
      </c>
      <c r="BD21" s="51">
        <f>+Base!BD21</f>
        <v>34.188433465685904</v>
      </c>
      <c r="BE21" s="51">
        <f>+Base!BE21</f>
        <v>34.73142445939488</v>
      </c>
      <c r="BF21" s="51">
        <f>+Base!BF21</f>
        <v>35.266485560405712</v>
      </c>
      <c r="BG21" s="51">
        <f>+Base!BG21</f>
        <v>35.793492627859642</v>
      </c>
      <c r="BH21" s="51">
        <f>+Base!BH21</f>
        <v>36.312337747996835</v>
      </c>
      <c r="BI21" s="51">
        <f>+Base!BI21</f>
        <v>36.822928587018112</v>
      </c>
      <c r="BJ21" s="51"/>
      <c r="BK21" s="51"/>
      <c r="BL21" s="51"/>
      <c r="BM21" s="51"/>
      <c r="BN21" s="51"/>
      <c r="BO21" s="51"/>
      <c r="BP21" s="51"/>
      <c r="BQ21" s="51"/>
      <c r="BR21" s="51"/>
      <c r="BS21" s="51"/>
      <c r="BT21" s="51"/>
      <c r="BU21" s="51"/>
      <c r="BV21" s="51"/>
      <c r="BW21" s="51"/>
      <c r="BX21" s="51"/>
      <c r="BY21" s="51"/>
      <c r="BZ21" s="51"/>
      <c r="CA21" s="51"/>
      <c r="CB21" s="51"/>
      <c r="CC21" s="51"/>
      <c r="CD21" s="51"/>
      <c r="CE21" s="51"/>
      <c r="CF21" s="51"/>
      <c r="CG21" s="51"/>
      <c r="CH21" s="51"/>
      <c r="CI21" s="51"/>
      <c r="CJ21" s="51"/>
      <c r="CK21" s="51"/>
      <c r="CL21" s="51"/>
      <c r="CM21" s="51"/>
      <c r="CN21" s="51"/>
      <c r="CO21" s="51"/>
      <c r="CP21" s="51"/>
      <c r="CQ21" s="51"/>
      <c r="CR21" s="51"/>
      <c r="CS21" s="51"/>
      <c r="CT21" s="51"/>
      <c r="CU21" s="51"/>
      <c r="CV21" s="51"/>
      <c r="CW21" s="51"/>
      <c r="CX21" s="51"/>
      <c r="CY21" s="51"/>
      <c r="CZ21" s="51"/>
      <c r="DA21" s="51"/>
      <c r="DB21" s="51"/>
      <c r="DC21" s="51"/>
      <c r="DD21" s="51"/>
      <c r="DE21" s="51"/>
      <c r="DF21" s="51"/>
      <c r="DG21" s="51"/>
      <c r="DH21" s="51"/>
      <c r="DI21" s="51"/>
      <c r="DJ21" s="51"/>
      <c r="DK21" s="51"/>
      <c r="DL21" s="51"/>
      <c r="DM21" s="51"/>
      <c r="DN21" s="51"/>
      <c r="DO21" s="51"/>
      <c r="DP21" s="51"/>
      <c r="DQ21" s="51"/>
      <c r="DR21" s="51"/>
      <c r="DS21" s="51"/>
      <c r="DT21" s="51"/>
    </row>
    <row r="22" spans="1:124" ht="21" customHeight="1" x14ac:dyDescent="0.35">
      <c r="A22" s="15" t="s">
        <v>89</v>
      </c>
      <c r="B22" s="51">
        <f>+Base!B22</f>
        <v>3.7976214000000001</v>
      </c>
    </row>
    <row r="23" spans="1:124" ht="21" customHeight="1" x14ac:dyDescent="0.35">
      <c r="A23" s="15" t="s">
        <v>145</v>
      </c>
      <c r="B23" s="3"/>
      <c r="C23" s="51">
        <f>+Base!C23</f>
        <v>7.9000000000000001E-2</v>
      </c>
      <c r="D23" s="51">
        <f>+Base!D23</f>
        <v>7.666519715033214E-2</v>
      </c>
      <c r="E23" s="51">
        <f>+Base!E23</f>
        <v>7.4399398153155646E-2</v>
      </c>
      <c r="F23" s="51">
        <f>+Base!F23</f>
        <v>7.2200563636427031E-2</v>
      </c>
      <c r="G23" s="51">
        <f>+Base!G23</f>
        <v>7.0066714500655436E-2</v>
      </c>
      <c r="H23" s="51">
        <f>+Base!H23</f>
        <v>6.7995930137579569E-2</v>
      </c>
      <c r="I23" s="51">
        <f>+Base!I23</f>
        <v>6.5986346701490492E-2</v>
      </c>
      <c r="J23" s="51">
        <f>+Base!J23</f>
        <v>6.4036155431644787E-2</v>
      </c>
      <c r="K23" s="51">
        <f>+Base!K23</f>
        <v>6.2143601024257727E-2</v>
      </c>
      <c r="L23" s="51">
        <f>+Base!L23</f>
        <v>6.0306980052611397E-2</v>
      </c>
      <c r="M23" s="51">
        <f>+Base!M23</f>
        <v>5.8524639433855712E-2</v>
      </c>
      <c r="N23" s="51">
        <f>+Base!N23</f>
        <v>5.6794974941122171E-2</v>
      </c>
      <c r="O23" s="51">
        <f>+Base!O23</f>
        <v>5.5116429759611452E-2</v>
      </c>
      <c r="P23" s="51">
        <f>+Base!P23</f>
        <v>5.3487493085355005E-2</v>
      </c>
      <c r="Q23" s="51">
        <f>+Base!Q23</f>
        <v>5.1906698765389482E-2</v>
      </c>
      <c r="R23" s="51">
        <f>+Base!R23</f>
        <v>5.0372623978120097E-2</v>
      </c>
      <c r="S23" s="51">
        <f>+Base!S23</f>
        <v>4.8883887952685126E-2</v>
      </c>
      <c r="T23" s="51">
        <f>+Base!T23</f>
        <v>4.7439150726169006E-2</v>
      </c>
      <c r="U23" s="51">
        <f>+Base!U23</f>
        <v>4.6037111937545179E-2</v>
      </c>
      <c r="V23" s="51">
        <f>+Base!V23</f>
        <v>4.4676509657263427E-2</v>
      </c>
      <c r="W23" s="51">
        <f>+Base!W23</f>
        <v>4.3356119251428085E-2</v>
      </c>
      <c r="X23" s="51">
        <f>+Base!X23</f>
        <v>4.207475227954488E-2</v>
      </c>
      <c r="Y23" s="51">
        <f>+Base!Y23</f>
        <v>4.0831255424844247E-2</v>
      </c>
      <c r="Z23" s="51">
        <f>+Base!Z23</f>
        <v>3.9624509456218392E-2</v>
      </c>
      <c r="AA23" s="51">
        <f>+Base!AA23</f>
        <v>3.8453428220837763E-2</v>
      </c>
      <c r="AB23" s="51">
        <f>+Base!AB23</f>
        <v>3.7316957666540161E-2</v>
      </c>
      <c r="AC23" s="51">
        <f>+Base!AC23</f>
        <v>3.6214074893112659E-2</v>
      </c>
      <c r="AD23" s="51">
        <f>+Base!AD23</f>
        <v>3.514378723161235E-2</v>
      </c>
      <c r="AE23" s="51">
        <f>+Base!AE23</f>
        <v>3.4105131350897301E-2</v>
      </c>
      <c r="AF23" s="51">
        <f>+Base!AF23</f>
        <v>3.3097172390563478E-2</v>
      </c>
      <c r="AG23" s="51">
        <f>+Base!AG23</f>
        <v>3.2119003119507335E-2</v>
      </c>
      <c r="AH23" s="51">
        <f>+Base!AH23</f>
        <v>3.116974311935649E-2</v>
      </c>
      <c r="AI23" s="51">
        <f>+Base!AI23</f>
        <v>3.0248537992033853E-2</v>
      </c>
      <c r="AJ23" s="51">
        <f>+Base!AJ23</f>
        <v>2.9354558590741611E-2</v>
      </c>
      <c r="AK23" s="51">
        <f>+Base!AK23</f>
        <v>2.8487000273673187E-2</v>
      </c>
      <c r="AL23" s="51">
        <f>+Base!AL23</f>
        <v>2.7645082179781271E-2</v>
      </c>
      <c r="AM23" s="51">
        <f>+Base!AM23</f>
        <v>2.6828046525950191E-2</v>
      </c>
      <c r="AN23" s="51">
        <f>+Base!AN23</f>
        <v>2.603515792493994E-2</v>
      </c>
      <c r="AO23" s="51">
        <f>+Base!AO23</f>
        <v>2.5265702723488014E-2</v>
      </c>
      <c r="AP23" s="51">
        <f>+Base!AP23</f>
        <v>2.4518988359973317E-2</v>
      </c>
      <c r="AQ23" s="51">
        <f>+Base!AQ23</f>
        <v>2.379434274106397E-2</v>
      </c>
      <c r="AR23" s="51">
        <f>+Base!AR23</f>
        <v>2.3091113636787893E-2</v>
      </c>
      <c r="AS23" s="51">
        <f>+Base!AS23</f>
        <v>2.2408668093481861E-2</v>
      </c>
      <c r="AT23" s="51">
        <f>+Base!AT23</f>
        <v>2.1746391864090435E-2</v>
      </c>
      <c r="AU23" s="51">
        <f>+Base!AU23</f>
        <v>2.1103688855302182E-2</v>
      </c>
      <c r="AV23" s="51">
        <f>+Base!AV23</f>
        <v>2.0479980591025435E-2</v>
      </c>
      <c r="AW23" s="51">
        <f>+Base!AW23</f>
        <v>1.9874705691720763E-2</v>
      </c>
      <c r="AX23" s="51">
        <f>+Base!AX23</f>
        <v>1.9287319369121533E-2</v>
      </c>
      <c r="AY23" s="51">
        <f>+Base!AY23</f>
        <v>1.8717292935887621E-2</v>
      </c>
      <c r="AZ23" s="51">
        <f>+Base!AZ23</f>
        <v>1.8164113329751184E-2</v>
      </c>
      <c r="BA23" s="51">
        <f>+Base!BA23</f>
        <v>1.7627282651725956E-2</v>
      </c>
      <c r="BB23" s="51">
        <f>+Base!BB23</f>
        <v>1.7106317717964559E-2</v>
      </c>
      <c r="BC23" s="51">
        <f>+Base!BC23</f>
        <v>1.6600749624860411E-2</v>
      </c>
      <c r="BD23" s="51">
        <f>+Base!BD23</f>
        <v>1.6110123327002866E-2</v>
      </c>
      <c r="BE23" s="51">
        <f>+Base!BE23</f>
        <v>1.5633997227605563E-2</v>
      </c>
      <c r="BF23" s="51">
        <f>+Base!BF23</f>
        <v>1.5171942781039578E-2</v>
      </c>
      <c r="BG23" s="51">
        <f>+Base!BG23</f>
        <v>1.4723544107113387E-2</v>
      </c>
      <c r="BH23" s="51">
        <f>+Base!BH23</f>
        <v>1.4288397616752647E-2</v>
      </c>
      <c r="BI23" s="51">
        <f>+Base!BI23</f>
        <v>1.3866111648742753E-2</v>
      </c>
    </row>
    <row r="24" spans="1:124" ht="21" customHeight="1" thickBot="1" x14ac:dyDescent="0.4">
      <c r="A24" s="82" t="s">
        <v>50</v>
      </c>
    </row>
    <row r="25" spans="1:124" ht="21" customHeight="1" thickTop="1" x14ac:dyDescent="0.35">
      <c r="A25" s="15" t="s">
        <v>81</v>
      </c>
      <c r="B25" s="51">
        <f>+Base!B25</f>
        <v>0</v>
      </c>
    </row>
    <row r="26" spans="1:124" ht="21" customHeight="1" x14ac:dyDescent="0.35">
      <c r="A26" s="15" t="s">
        <v>82</v>
      </c>
      <c r="B26" s="51">
        <f>+Base!B26</f>
        <v>2.6637500000000003E-3</v>
      </c>
    </row>
    <row r="27" spans="1:124" ht="21" customHeight="1" x14ac:dyDescent="0.35">
      <c r="A27" s="15" t="s">
        <v>20</v>
      </c>
      <c r="B27" s="51">
        <f>+Base!B27</f>
        <v>2</v>
      </c>
    </row>
    <row r="28" spans="1:124" ht="21" customHeight="1" x14ac:dyDescent="0.35">
      <c r="A28" s="15" t="str">
        <f>+Parameters!A18</f>
        <v>Threshold for catastrophic damages</v>
      </c>
      <c r="B28" s="51">
        <f>+Base!B28</f>
        <v>4</v>
      </c>
    </row>
    <row r="29" spans="1:124" ht="21" customHeight="1" x14ac:dyDescent="0.35">
      <c r="A29" s="15" t="str">
        <f>+Parameters!A19</f>
        <v>Exponent for catastrophic damages</v>
      </c>
      <c r="B29" s="51">
        <f>+Base!B29</f>
        <v>3</v>
      </c>
    </row>
    <row r="30" spans="1:124" ht="21" customHeight="1" x14ac:dyDescent="0.35">
      <c r="A30" s="15" t="str">
        <f>+Parameters!A17</f>
        <v>Damage rate at threshold for catastrophic damages</v>
      </c>
      <c r="B30" s="51">
        <f>+Base!B30</f>
        <v>0</v>
      </c>
    </row>
    <row r="31" spans="1:124" ht="21" customHeight="1" thickBot="1" x14ac:dyDescent="0.4">
      <c r="A31" s="82" t="s">
        <v>49</v>
      </c>
    </row>
    <row r="32" spans="1:124" ht="21" customHeight="1" thickTop="1" x14ac:dyDescent="0.35">
      <c r="A32" s="15" t="s">
        <v>36</v>
      </c>
      <c r="B32" s="3">
        <f>+B34*B41/$B39/1000</f>
        <v>6.0074995839112348E-2</v>
      </c>
      <c r="C32" s="3">
        <f t="shared" ref="C32:BI32" si="3">+C34*C41/$B39/1000</f>
        <v>5.5716476125948579E-2</v>
      </c>
      <c r="D32" s="3">
        <f t="shared" si="3"/>
        <v>5.1687067072907732E-2</v>
      </c>
      <c r="E32" s="3">
        <f t="shared" si="3"/>
        <v>4.7960969508636458E-2</v>
      </c>
      <c r="F32" s="3">
        <f t="shared" si="3"/>
        <v>4.4514479113862096E-2</v>
      </c>
      <c r="G32" s="3">
        <f t="shared" si="3"/>
        <v>4.1325810583862081E-2</v>
      </c>
      <c r="H32" s="3">
        <f t="shared" si="3"/>
        <v>3.8374937020832646E-2</v>
      </c>
      <c r="I32" s="3">
        <f t="shared" si="3"/>
        <v>3.5643443197204687E-2</v>
      </c>
      <c r="J32" s="3">
        <f t="shared" si="3"/>
        <v>3.311439145569213E-2</v>
      </c>
      <c r="K32" s="3">
        <f t="shared" si="3"/>
        <v>3.0772199124832176E-2</v>
      </c>
      <c r="L32" s="3">
        <f t="shared" si="3"/>
        <v>2.8602526431127418E-2</v>
      </c>
      <c r="M32" s="3">
        <f t="shared" si="3"/>
        <v>2.6592173981650903E-2</v>
      </c>
      <c r="N32" s="3">
        <f t="shared" si="3"/>
        <v>2.4728988975051856E-2</v>
      </c>
      <c r="O32" s="3">
        <f t="shared" si="3"/>
        <v>2.3001779375133119E-2</v>
      </c>
      <c r="P32" s="3">
        <f t="shared" si="3"/>
        <v>2.1400235350313459E-2</v>
      </c>
      <c r="Q32" s="3">
        <f t="shared" si="3"/>
        <v>1.9914857345015261E-2</v>
      </c>
      <c r="R32" s="3">
        <f t="shared" si="3"/>
        <v>1.8536890205941146E-2</v>
      </c>
      <c r="S32" s="3">
        <f t="shared" si="3"/>
        <v>1.7258262837874048E-2</v>
      </c>
      <c r="T32" s="3">
        <f t="shared" si="3"/>
        <v>1.6071532910550385E-2</v>
      </c>
      <c r="U32" s="3">
        <f t="shared" si="3"/>
        <v>1.4969836180765512E-2</v>
      </c>
      <c r="V32" s="3">
        <f t="shared" si="3"/>
        <v>1.3946840032579743E-2</v>
      </c>
      <c r="W32" s="3">
        <f t="shared" si="3"/>
        <v>1.2996700873668398E-2</v>
      </c>
      <c r="X32" s="3">
        <f t="shared" si="3"/>
        <v>1.2114025057832123E-2</v>
      </c>
      <c r="Y32" s="3">
        <f t="shared" si="3"/>
        <v>1.1293833032752996E-2</v>
      </c>
      <c r="Z32" s="3">
        <f t="shared" si="3"/>
        <v>1.0531526438518842E-2</v>
      </c>
      <c r="AA32" s="3">
        <f t="shared" si="3"/>
        <v>9.8228579064871049E-3</v>
      </c>
      <c r="AB32" s="3">
        <f t="shared" si="3"/>
        <v>9.163903329942269E-3</v>
      </c>
      <c r="AC32" s="3">
        <f t="shared" si="3"/>
        <v>8.5510363979175111E-3</v>
      </c>
      <c r="AD32" s="3">
        <f t="shared" si="3"/>
        <v>7.9809052016832499E-3</v>
      </c>
      <c r="AE32" s="3">
        <f t="shared" si="3"/>
        <v>7.4504107399169621E-3</v>
      </c>
      <c r="AF32" s="3">
        <f t="shared" si="3"/>
        <v>6.9566871636085629E-3</v>
      </c>
      <c r="AG32" s="3">
        <f t="shared" si="3"/>
        <v>6.497083615458683E-3</v>
      </c>
      <c r="AH32" s="3">
        <f t="shared" si="3"/>
        <v>6.0691475310152209E-3</v>
      </c>
      <c r="AI32" s="3">
        <f t="shared" si="3"/>
        <v>5.6706092801773935E-3</v>
      </c>
      <c r="AJ32" s="3">
        <f t="shared" si="3"/>
        <v>5.299368038076303E-3</v>
      </c>
      <c r="AK32" s="3">
        <f t="shared" si="3"/>
        <v>4.9534787838078796E-3</v>
      </c>
      <c r="AL32" s="3">
        <f t="shared" si="3"/>
        <v>4.631140334130277E-3</v>
      </c>
      <c r="AM32" s="3">
        <f t="shared" si="3"/>
        <v>4.3306843271184161E-3</v>
      </c>
      <c r="AN32" s="3">
        <f t="shared" si="3"/>
        <v>4.0505650779612068E-3</v>
      </c>
      <c r="AO32" s="3">
        <f t="shared" si="3"/>
        <v>3.7893502356536506E-3</v>
      </c>
      <c r="AP32" s="3">
        <f t="shared" si="3"/>
        <v>3.5457121753327409E-3</v>
      </c>
      <c r="AQ32" s="3">
        <f t="shared" si="3"/>
        <v>3.3184200664834141E-3</v>
      </c>
      <c r="AR32" s="3">
        <f t="shared" si="3"/>
        <v>3.1063325622451266E-3</v>
      </c>
      <c r="AS32" s="3">
        <f t="shared" si="3"/>
        <v>2.9083910596229097E-3</v>
      </c>
      <c r="AT32" s="3">
        <f t="shared" si="3"/>
        <v>2.7236134845870928E-3</v>
      </c>
      <c r="AU32" s="3">
        <f t="shared" si="3"/>
        <v>2.5510885598679588E-3</v>
      </c>
      <c r="AV32" s="3">
        <f t="shared" si="3"/>
        <v>2.3899705167470639E-3</v>
      </c>
      <c r="AW32" s="3">
        <f t="shared" si="3"/>
        <v>2.2394742153443556E-3</v>
      </c>
      <c r="AX32" s="3">
        <f t="shared" si="3"/>
        <v>2.0988706408258074E-3</v>
      </c>
      <c r="AY32" s="3">
        <f t="shared" si="3"/>
        <v>1.9674827456336989E-3</v>
      </c>
      <c r="AZ32" s="3">
        <f t="shared" si="3"/>
        <v>1.8446816102926501E-3</v>
      </c>
      <c r="BA32" s="3">
        <f t="shared" si="3"/>
        <v>1.7298828975886378E-3</v>
      </c>
      <c r="BB32" s="3">
        <f t="shared" si="3"/>
        <v>1.6225435769735177E-3</v>
      </c>
      <c r="BC32" s="3">
        <f t="shared" si="3"/>
        <v>1.5221588979303421E-3</v>
      </c>
      <c r="BD32" s="3">
        <f t="shared" si="3"/>
        <v>1.4282595927598738E-3</v>
      </c>
      <c r="BE32" s="3">
        <f t="shared" si="3"/>
        <v>1.3404092908297566E-3</v>
      </c>
      <c r="BF32" s="3">
        <f t="shared" si="3"/>
        <v>1.2582021277771501E-3</v>
      </c>
      <c r="BG32" s="3">
        <f t="shared" si="3"/>
        <v>1.1812605344845683E-3</v>
      </c>
      <c r="BH32" s="3">
        <f t="shared" si="3"/>
        <v>1.1092331918674599E-3</v>
      </c>
      <c r="BI32" s="3">
        <f t="shared" si="3"/>
        <v>1.041793138630097E-3</v>
      </c>
    </row>
    <row r="33" spans="1:124" ht="21" customHeight="1" x14ac:dyDescent="0.35">
      <c r="A33" s="15" t="s">
        <v>207</v>
      </c>
      <c r="B33" s="51">
        <f>+Base!B33</f>
        <v>344</v>
      </c>
    </row>
    <row r="34" spans="1:124" ht="21" customHeight="1" x14ac:dyDescent="0.35">
      <c r="A34" s="15" t="s">
        <v>155</v>
      </c>
      <c r="B34" s="51">
        <f>+B33</f>
        <v>344</v>
      </c>
      <c r="C34" s="3">
        <f>+B34*(1-$B$36)</f>
        <v>335.4</v>
      </c>
      <c r="D34" s="3">
        <f>+C34*(1-$B$36)</f>
        <v>327.01499999999999</v>
      </c>
      <c r="E34" s="3">
        <f>+D34*(1-$B$36)</f>
        <v>318.83962499999996</v>
      </c>
      <c r="F34" s="3">
        <f>+E34*(1-$B$36)</f>
        <v>310.86863437499994</v>
      </c>
      <c r="G34" s="3">
        <f>+F34*(1-$B$36)</f>
        <v>303.09691851562496</v>
      </c>
      <c r="H34" s="3">
        <f t="shared" ref="H34:BI34" si="4">+G34*(1-$B$36)</f>
        <v>295.51949555273433</v>
      </c>
      <c r="I34" s="3">
        <f t="shared" si="4"/>
        <v>288.13150816391595</v>
      </c>
      <c r="J34" s="3">
        <f t="shared" si="4"/>
        <v>280.92822045981802</v>
      </c>
      <c r="K34" s="3">
        <f t="shared" si="4"/>
        <v>273.90501494832256</v>
      </c>
      <c r="L34" s="3">
        <f t="shared" si="4"/>
        <v>267.05738957461449</v>
      </c>
      <c r="M34" s="3">
        <f t="shared" si="4"/>
        <v>260.3809548352491</v>
      </c>
      <c r="N34" s="3">
        <f t="shared" si="4"/>
        <v>253.87143096436787</v>
      </c>
      <c r="O34" s="3">
        <f t="shared" si="4"/>
        <v>247.52464519025867</v>
      </c>
      <c r="P34" s="3">
        <f t="shared" si="4"/>
        <v>241.33652906050219</v>
      </c>
      <c r="Q34" s="3">
        <f t="shared" si="4"/>
        <v>235.30311583398964</v>
      </c>
      <c r="R34" s="3">
        <f t="shared" si="4"/>
        <v>229.42053793813989</v>
      </c>
      <c r="S34" s="3">
        <f t="shared" si="4"/>
        <v>223.68502448968638</v>
      </c>
      <c r="T34" s="3">
        <f t="shared" si="4"/>
        <v>218.09289887744421</v>
      </c>
      <c r="U34" s="3">
        <f t="shared" si="4"/>
        <v>212.64057640550811</v>
      </c>
      <c r="V34" s="3">
        <f t="shared" si="4"/>
        <v>207.3245619953704</v>
      </c>
      <c r="W34" s="3">
        <f t="shared" si="4"/>
        <v>202.14144794548614</v>
      </c>
      <c r="X34" s="3">
        <f t="shared" si="4"/>
        <v>197.08791174684899</v>
      </c>
      <c r="Y34" s="3">
        <f t="shared" si="4"/>
        <v>192.16071395317775</v>
      </c>
      <c r="Z34" s="3">
        <f t="shared" si="4"/>
        <v>187.35669610434829</v>
      </c>
      <c r="AA34" s="3">
        <f t="shared" si="4"/>
        <v>182.67277870173959</v>
      </c>
      <c r="AB34" s="3">
        <f t="shared" si="4"/>
        <v>178.10595923419609</v>
      </c>
      <c r="AC34" s="3">
        <f t="shared" si="4"/>
        <v>173.65331025334117</v>
      </c>
      <c r="AD34" s="3">
        <f t="shared" si="4"/>
        <v>169.31197749700763</v>
      </c>
      <c r="AE34" s="3">
        <f t="shared" si="4"/>
        <v>165.07917805958243</v>
      </c>
      <c r="AF34" s="3">
        <f t="shared" si="4"/>
        <v>160.95219860809286</v>
      </c>
      <c r="AG34" s="3">
        <f t="shared" si="4"/>
        <v>156.92839364289054</v>
      </c>
      <c r="AH34" s="3">
        <f t="shared" si="4"/>
        <v>153.00518380181828</v>
      </c>
      <c r="AI34" s="3">
        <f t="shared" si="4"/>
        <v>149.18005420677281</v>
      </c>
      <c r="AJ34" s="3">
        <f t="shared" si="4"/>
        <v>145.45055285160348</v>
      </c>
      <c r="AK34" s="3">
        <f t="shared" si="4"/>
        <v>141.81428903031338</v>
      </c>
      <c r="AL34" s="3">
        <f t="shared" si="4"/>
        <v>138.26893180455554</v>
      </c>
      <c r="AM34" s="3">
        <f t="shared" si="4"/>
        <v>134.81220850944163</v>
      </c>
      <c r="AN34" s="3">
        <f t="shared" si="4"/>
        <v>131.44190329670559</v>
      </c>
      <c r="AO34" s="3">
        <f t="shared" si="4"/>
        <v>128.15585571428795</v>
      </c>
      <c r="AP34" s="3">
        <f t="shared" si="4"/>
        <v>124.95195932143075</v>
      </c>
      <c r="AQ34" s="3">
        <f t="shared" si="4"/>
        <v>121.82816033839498</v>
      </c>
      <c r="AR34" s="3">
        <f t="shared" si="4"/>
        <v>118.7824563299351</v>
      </c>
      <c r="AS34" s="3">
        <f t="shared" si="4"/>
        <v>115.81289492168672</v>
      </c>
      <c r="AT34" s="3">
        <f t="shared" si="4"/>
        <v>112.91757254864454</v>
      </c>
      <c r="AU34" s="3">
        <f t="shared" si="4"/>
        <v>110.09463323492842</v>
      </c>
      <c r="AV34" s="3">
        <f t="shared" si="4"/>
        <v>107.34226740405521</v>
      </c>
      <c r="AW34" s="3">
        <f t="shared" si="4"/>
        <v>104.65871071895383</v>
      </c>
      <c r="AX34" s="3">
        <f t="shared" si="4"/>
        <v>102.04224295097998</v>
      </c>
      <c r="AY34" s="3">
        <f t="shared" si="4"/>
        <v>99.491186877205479</v>
      </c>
      <c r="AZ34" s="3">
        <f t="shared" si="4"/>
        <v>97.00390720527534</v>
      </c>
      <c r="BA34" s="3">
        <f t="shared" si="4"/>
        <v>94.578809525143456</v>
      </c>
      <c r="BB34" s="3">
        <f t="shared" si="4"/>
        <v>92.214339287014866</v>
      </c>
      <c r="BC34" s="3">
        <f t="shared" si="4"/>
        <v>89.908980804839487</v>
      </c>
      <c r="BD34" s="3">
        <f t="shared" si="4"/>
        <v>87.661256284718505</v>
      </c>
      <c r="BE34" s="3">
        <f t="shared" si="4"/>
        <v>85.469724877600541</v>
      </c>
      <c r="BF34" s="3">
        <f t="shared" si="4"/>
        <v>83.332981755660526</v>
      </c>
      <c r="BG34" s="3">
        <f t="shared" si="4"/>
        <v>81.249657211769005</v>
      </c>
      <c r="BH34" s="3">
        <f t="shared" si="4"/>
        <v>79.218415781474775</v>
      </c>
      <c r="BI34" s="3">
        <f t="shared" si="4"/>
        <v>77.237955386937898</v>
      </c>
    </row>
    <row r="35" spans="1:124" ht="21" customHeight="1" x14ac:dyDescent="0.35">
      <c r="A35" s="15" t="s">
        <v>208</v>
      </c>
      <c r="B35" s="51">
        <f>+Base!B35</f>
        <v>0</v>
      </c>
      <c r="D35" s="3">
        <f>+D34/C34</f>
        <v>0.97499999999999998</v>
      </c>
      <c r="E35" s="3">
        <f t="shared" ref="E35:AC35" si="5">+E34/D34</f>
        <v>0.97499999999999987</v>
      </c>
      <c r="F35" s="3">
        <f t="shared" si="5"/>
        <v>0.97499999999999998</v>
      </c>
      <c r="G35" s="3">
        <f t="shared" si="5"/>
        <v>0.97500000000000009</v>
      </c>
      <c r="H35" s="3">
        <f t="shared" si="5"/>
        <v>0.97499999999999998</v>
      </c>
      <c r="I35" s="3">
        <f t="shared" si="5"/>
        <v>0.97499999999999998</v>
      </c>
      <c r="J35" s="3">
        <f t="shared" si="5"/>
        <v>0.97499999999999987</v>
      </c>
      <c r="K35" s="3">
        <f t="shared" si="5"/>
        <v>0.97499999999999998</v>
      </c>
      <c r="L35" s="3">
        <f t="shared" si="5"/>
        <v>0.97499999999999998</v>
      </c>
      <c r="M35" s="3">
        <f t="shared" si="5"/>
        <v>0.97499999999999987</v>
      </c>
      <c r="N35" s="3">
        <f t="shared" si="5"/>
        <v>0.97499999999999998</v>
      </c>
      <c r="O35" s="3">
        <f t="shared" si="5"/>
        <v>0.97499999999999998</v>
      </c>
      <c r="P35" s="3">
        <f t="shared" si="5"/>
        <v>0.97499999999999998</v>
      </c>
      <c r="Q35" s="3">
        <f t="shared" si="5"/>
        <v>0.97499999999999998</v>
      </c>
      <c r="R35" s="3">
        <f t="shared" si="5"/>
        <v>0.97499999999999998</v>
      </c>
      <c r="S35" s="3">
        <f t="shared" si="5"/>
        <v>0.97499999999999998</v>
      </c>
      <c r="T35" s="3">
        <f t="shared" si="5"/>
        <v>0.97499999999999998</v>
      </c>
      <c r="U35" s="3">
        <f t="shared" si="5"/>
        <v>0.97499999999999998</v>
      </c>
      <c r="V35" s="3">
        <f t="shared" si="5"/>
        <v>0.97499999999999998</v>
      </c>
      <c r="W35" s="3">
        <f t="shared" si="5"/>
        <v>0.97499999999999998</v>
      </c>
      <c r="X35" s="3">
        <f t="shared" si="5"/>
        <v>0.97499999999999998</v>
      </c>
      <c r="Y35" s="3">
        <f t="shared" si="5"/>
        <v>0.97499999999999987</v>
      </c>
      <c r="Z35" s="3">
        <f t="shared" si="5"/>
        <v>0.97499999999999987</v>
      </c>
      <c r="AA35" s="3">
        <f t="shared" si="5"/>
        <v>0.97500000000000009</v>
      </c>
      <c r="AB35" s="3">
        <f t="shared" si="5"/>
        <v>0.97499999999999998</v>
      </c>
      <c r="AC35" s="3">
        <f t="shared" si="5"/>
        <v>0.97499999999999987</v>
      </c>
    </row>
    <row r="36" spans="1:124" ht="21" customHeight="1" x14ac:dyDescent="0.35">
      <c r="A36" s="15" t="s">
        <v>209</v>
      </c>
      <c r="B36" s="51">
        <f>+Base!B36</f>
        <v>2.5000000000000001E-2</v>
      </c>
    </row>
    <row r="37" spans="1:124" ht="21" customHeight="1" x14ac:dyDescent="0.35">
      <c r="A37" s="15" t="s">
        <v>43</v>
      </c>
      <c r="B37" s="51">
        <f>+Base!B37</f>
        <v>1</v>
      </c>
    </row>
    <row r="38" spans="1:124" ht="28.25" customHeight="1" x14ac:dyDescent="0.35">
      <c r="A38" s="15" t="s">
        <v>161</v>
      </c>
      <c r="B38" s="51">
        <f>+Base!B38</f>
        <v>2250</v>
      </c>
    </row>
    <row r="39" spans="1:124" ht="21" customHeight="1" x14ac:dyDescent="0.35">
      <c r="A39" s="15" t="s">
        <v>37</v>
      </c>
      <c r="B39" s="51">
        <f>+Base!B39</f>
        <v>2.8</v>
      </c>
    </row>
    <row r="40" spans="1:124" ht="21" customHeight="1" thickBot="1" x14ac:dyDescent="0.4">
      <c r="A40" s="82" t="s">
        <v>38</v>
      </c>
    </row>
    <row r="41" spans="1:124" ht="24" customHeight="1" thickTop="1" x14ac:dyDescent="0.35">
      <c r="A41" s="15" t="s">
        <v>210</v>
      </c>
      <c r="B41" s="51">
        <f>+B42</f>
        <v>0.48898252427184469</v>
      </c>
      <c r="C41" s="3">
        <f t="shared" ref="C41:BI41" si="6">+B41*EXP(C43*(C2-B2))</f>
        <v>0.46513456515401325</v>
      </c>
      <c r="D41" s="3">
        <f t="shared" si="6"/>
        <v>0.44256008991679779</v>
      </c>
      <c r="E41" s="3">
        <f t="shared" si="6"/>
        <v>0.42118577521279577</v>
      </c>
      <c r="F41" s="3">
        <f t="shared" si="6"/>
        <v>0.40094280263881599</v>
      </c>
      <c r="G41" s="3">
        <f t="shared" si="6"/>
        <v>0.38176656563022343</v>
      </c>
      <c r="H41" s="3">
        <f t="shared" si="6"/>
        <v>0.36359639643184688</v>
      </c>
      <c r="I41" s="3">
        <f t="shared" si="6"/>
        <v>0.3463753117045314</v>
      </c>
      <c r="J41" s="3">
        <f t="shared" si="6"/>
        <v>0.33004977543436226</v>
      </c>
      <c r="K41" s="3">
        <f t="shared" si="6"/>
        <v>0.31456947791111545</v>
      </c>
      <c r="L41" s="3">
        <f t="shared" si="6"/>
        <v>0.29988712963428726</v>
      </c>
      <c r="M41" s="3">
        <f t="shared" si="6"/>
        <v>0.28595826908974353</v>
      </c>
      <c r="N41" s="3">
        <f t="shared" si="6"/>
        <v>0.27274108341817926</v>
      </c>
      <c r="O41" s="3">
        <f t="shared" si="6"/>
        <v>0.26019624106871514</v>
      </c>
      <c r="P41" s="3">
        <f t="shared" si="6"/>
        <v>0.24828673559755968</v>
      </c>
      <c r="Q41" s="3">
        <f t="shared" si="6"/>
        <v>0.23697773983317538</v>
      </c>
      <c r="R41" s="3">
        <f t="shared" si="6"/>
        <v>0.22623646968620664</v>
      </c>
      <c r="S41" s="3">
        <f t="shared" si="6"/>
        <v>0.21603205693493088</v>
      </c>
      <c r="T41" s="3">
        <f t="shared" si="6"/>
        <v>0.20633543036551905</v>
      </c>
      <c r="U41" s="3">
        <f t="shared" si="6"/>
        <v>0.19711920469125327</v>
      </c>
      <c r="V41" s="3">
        <f t="shared" si="6"/>
        <v>0.18835757671633377</v>
      </c>
      <c r="W41" s="3">
        <f t="shared" si="6"/>
        <v>0.1800262282482781</v>
      </c>
      <c r="X41" s="3">
        <f t="shared" si="6"/>
        <v>0.17210223529841748</v>
      </c>
      <c r="Y41" s="3">
        <f t="shared" si="6"/>
        <v>0.16456398314284804</v>
      </c>
      <c r="Z41" s="3">
        <f t="shared" si="6"/>
        <v>0.15739108684660658</v>
      </c>
      <c r="AA41" s="3">
        <f t="shared" si="6"/>
        <v>0.15056431688199842</v>
      </c>
      <c r="AB41" s="3">
        <f t="shared" si="6"/>
        <v>0.14406552949808246</v>
      </c>
      <c r="AC41" s="3">
        <f t="shared" si="6"/>
        <v>0.13787760152247575</v>
      </c>
      <c r="AD41" s="3">
        <f t="shared" si="6"/>
        <v>0.13198436929902402</v>
      </c>
      <c r="AE41" s="3">
        <f t="shared" si="6"/>
        <v>0.12637057148562994</v>
      </c>
      <c r="AF41" s="3">
        <f t="shared" si="6"/>
        <v>0.12102179545576312</v>
      </c>
      <c r="AG41" s="3">
        <f t="shared" si="6"/>
        <v>0.11592442706500916</v>
      </c>
      <c r="AH41" s="3">
        <f t="shared" si="6"/>
        <v>0.11106560356055512</v>
      </c>
      <c r="AI41" s="3">
        <f t="shared" si="6"/>
        <v>0.10643316942685391</v>
      </c>
      <c r="AJ41" s="3">
        <f t="shared" si="6"/>
        <v>0.10201563497494859</v>
      </c>
      <c r="AK41" s="3">
        <f t="shared" si="6"/>
        <v>9.7802137496154212E-2</v>
      </c>
      <c r="AL41" s="3">
        <f t="shared" si="6"/>
        <v>9.3782404813064046E-2</v>
      </c>
      <c r="AM41" s="3">
        <f t="shared" si="6"/>
        <v>8.9946721072241179E-2</v>
      </c>
      <c r="AN41" s="3">
        <f t="shared" si="6"/>
        <v>8.628589463353914E-2</v>
      </c>
      <c r="AO41" s="3">
        <f t="shared" si="6"/>
        <v>8.2791227920826896E-2</v>
      </c>
      <c r="AP41" s="3">
        <f t="shared" si="6"/>
        <v>7.9454489108030366E-2</v>
      </c>
      <c r="AQ41" s="3">
        <f t="shared" si="6"/>
        <v>7.6267885522894624E-2</v>
      </c>
      <c r="AR41" s="3">
        <f t="shared" si="6"/>
        <v>7.3224038658766005E-2</v>
      </c>
      <c r="AS41" s="3">
        <f t="shared" si="6"/>
        <v>7.031596069203537E-2</v>
      </c>
      <c r="AT41" s="3">
        <f t="shared" si="6"/>
        <v>6.7537032409712414E-2</v>
      </c>
      <c r="AU41" s="3">
        <f t="shared" si="6"/>
        <v>6.4880982457954123E-2</v>
      </c>
      <c r="AV41" s="3">
        <f t="shared" si="6"/>
        <v>6.2341867828282604E-2</v>
      </c>
      <c r="AW41" s="3">
        <f t="shared" si="6"/>
        <v>5.991405550372976E-2</v>
      </c>
      <c r="AX41" s="3">
        <f t="shared" si="6"/>
        <v>5.7592205192269555E-2</v>
      </c>
      <c r="AY41" s="3">
        <f t="shared" si="6"/>
        <v>5.5371253079668684E-2</v>
      </c>
      <c r="AZ41" s="3">
        <f t="shared" si="6"/>
        <v>5.3246396538329618E-2</v>
      </c>
      <c r="BA41" s="3">
        <f t="shared" si="6"/>
        <v>5.1213079732839228E-2</v>
      </c>
      <c r="BB41" s="3">
        <f t="shared" si="6"/>
        <v>4.9266980066793017E-2</v>
      </c>
      <c r="BC41" s="3">
        <f t="shared" si="6"/>
        <v>4.7403995419059923E-2</v>
      </c>
      <c r="BD41" s="3">
        <f t="shared" si="6"/>
        <v>4.5620232121003627E-2</v>
      </c>
      <c r="BE41" s="3">
        <f t="shared" si="6"/>
        <v>4.3911993629301163E-2</v>
      </c>
      <c r="BF41" s="3">
        <f t="shared" si="6"/>
        <v>4.22757698519136E-2</v>
      </c>
      <c r="BG41" s="3">
        <f t="shared" si="6"/>
        <v>4.0708227087482361E-2</v>
      </c>
      <c r="BH41" s="3">
        <f t="shared" si="6"/>
        <v>3.9206198540960864E-2</v>
      </c>
      <c r="BI41" s="3">
        <f t="shared" si="6"/>
        <v>3.776667538065856E-2</v>
      </c>
    </row>
    <row r="42" spans="1:124" ht="21" customHeight="1" x14ac:dyDescent="0.35">
      <c r="A42" s="15" t="s">
        <v>211</v>
      </c>
      <c r="B42" s="51">
        <f>+Base!B42</f>
        <v>0.48898252427184469</v>
      </c>
      <c r="C42" s="51"/>
    </row>
    <row r="43" spans="1:124" ht="21" customHeight="1" x14ac:dyDescent="0.35">
      <c r="A43" s="15" t="s">
        <v>212</v>
      </c>
      <c r="B43" s="3"/>
      <c r="C43" s="3">
        <f>+Parameters!B15</f>
        <v>-0.01</v>
      </c>
      <c r="D43" s="3">
        <f>+C43*(1+Parameters!$B$57)^5</f>
        <v>-9.9500999000499898E-3</v>
      </c>
      <c r="E43" s="3">
        <f>+D43*(1+Parameters!$B$57)^5</f>
        <v>-9.9004488020974814E-3</v>
      </c>
      <c r="F43" s="3">
        <f>+E43*(1+Parameters!$B$57)^5</f>
        <v>-9.8510454636200201E-3</v>
      </c>
      <c r="G43" s="3">
        <f>+F43*(1+Parameters!$B$57)^5</f>
        <v>-9.8018886482953479E-3</v>
      </c>
      <c r="H43" s="3">
        <f>+G43*(1+Parameters!$B$57)^5</f>
        <v>-9.7529771259704679E-3</v>
      </c>
      <c r="I43" s="3">
        <f>+H43*(1+Parameters!$B$57)^5</f>
        <v>-9.7043096726308585E-3</v>
      </c>
      <c r="J43" s="3">
        <f>+I43*(1+Parameters!$B$57)^5</f>
        <v>-9.6558850703698466E-3</v>
      </c>
      <c r="K43" s="3">
        <f>+J43*(1+Parameters!$B$57)^5</f>
        <v>-9.6077021073581199E-3</v>
      </c>
      <c r="L43" s="3">
        <f>+K43*(1+Parameters!$B$57)^5</f>
        <v>-9.559759577813411E-3</v>
      </c>
      <c r="M43" s="3">
        <f>+L43*(1+Parameters!$B$57)^5</f>
        <v>-9.5120562819703148E-3</v>
      </c>
      <c r="N43" s="3">
        <f>+M43*(1+Parameters!$B$57)^5</f>
        <v>-9.4645910260502709E-3</v>
      </c>
      <c r="O43" s="3">
        <f>+N43*(1+Parameters!$B$57)^5</f>
        <v>-9.4173626222316831E-3</v>
      </c>
      <c r="P43" s="3">
        <f>+O43*(1+Parameters!$B$57)^5</f>
        <v>-9.3703698886201982E-3</v>
      </c>
      <c r="Q43" s="3">
        <f>+P43*(1+Parameters!$B$57)^5</f>
        <v>-9.3236116492191271E-3</v>
      </c>
      <c r="R43" s="3">
        <f>+Q43*(1+Parameters!$B$57)^5</f>
        <v>-9.2770867339000158E-3</v>
      </c>
      <c r="S43" s="3">
        <f>+R43*(1+Parameters!$B$57)^5</f>
        <v>-9.2307939783733643E-3</v>
      </c>
      <c r="T43" s="3">
        <f>+S43*(1+Parameters!$B$57)^5</f>
        <v>-9.1847322241594854E-3</v>
      </c>
      <c r="U43" s="3">
        <f>+T43*(1+Parameters!$B$57)^5</f>
        <v>-9.1389003185595227E-3</v>
      </c>
      <c r="V43" s="3">
        <f>+U43*(1+Parameters!$B$57)^5</f>
        <v>-9.0932971146265931E-3</v>
      </c>
      <c r="W43" s="3">
        <f>+V43*(1+Parameters!$B$57)^5</f>
        <v>-9.0479214711370933E-3</v>
      </c>
      <c r="X43" s="3">
        <f>+W43*(1+Parameters!$B$57)^5</f>
        <v>-9.0027722525621353E-3</v>
      </c>
      <c r="Y43" s="3">
        <f>+X43*(1+Parameters!$B$57)^5</f>
        <v>-8.9578483290391319E-3</v>
      </c>
      <c r="Z43" s="3">
        <f>+Y43*(1+Parameters!$B$57)^5</f>
        <v>-8.9131485763435242E-3</v>
      </c>
      <c r="AA43" s="3">
        <f>+Z43*(1+Parameters!$B$57)^5</f>
        <v>-8.8686718758606408E-3</v>
      </c>
      <c r="AB43" s="3">
        <f>+AA43*(1+Parameters!$B$57)^5</f>
        <v>-8.8244171145577116E-3</v>
      </c>
      <c r="AC43" s="3">
        <f>+AB43*(1+Parameters!$B$57)^5</f>
        <v>-8.7803831849560116E-3</v>
      </c>
      <c r="AD43" s="3">
        <f>+AC43*(1+Parameters!$B$57)^5</f>
        <v>-8.7365689851031433E-3</v>
      </c>
      <c r="AE43" s="3">
        <f>+AD43*(1+Parameters!$B$57)^5</f>
        <v>-8.6929734185454636E-3</v>
      </c>
      <c r="AF43" s="3">
        <f>+AE43*(1+Parameters!$B$57)^5</f>
        <v>-8.6495953943006437E-3</v>
      </c>
      <c r="AG43" s="3">
        <f>+AF43*(1+Parameters!$B$57)^5</f>
        <v>-8.6064338268303682E-3</v>
      </c>
      <c r="AH43" s="3">
        <f>+AG43*(1+Parameters!$B$57)^5</f>
        <v>-8.5634876360131708E-3</v>
      </c>
      <c r="AI43" s="3">
        <f>+AH43*(1+Parameters!$B$57)^5</f>
        <v>-8.5207557471173971E-3</v>
      </c>
      <c r="AJ43" s="3">
        <f>+AI43*(1+Parameters!$B$57)^5</f>
        <v>-8.4782370907743199E-3</v>
      </c>
      <c r="AK43" s="3">
        <f>+AJ43*(1+Parameters!$B$57)^5</f>
        <v>-8.4359306029513671E-3</v>
      </c>
      <c r="AL43" s="3">
        <f>+AK43*(1+Parameters!$B$57)^5</f>
        <v>-8.3938352249255058E-3</v>
      </c>
      <c r="AM43" s="3">
        <f>+AL43*(1+Parameters!$B$57)^5</f>
        <v>-8.3519499032567359E-3</v>
      </c>
      <c r="AN43" s="3">
        <f>+AM43*(1+Parameters!$B$57)^5</f>
        <v>-8.3102735897617377E-3</v>
      </c>
      <c r="AO43" s="3">
        <f>+AN43*(1+Parameters!$B$57)^5</f>
        <v>-8.2688052414876343E-3</v>
      </c>
      <c r="AP43" s="3">
        <f>+AO43*(1+Parameters!$B$57)^5</f>
        <v>-8.2275438206858946E-3</v>
      </c>
      <c r="AQ43" s="3">
        <f>+AP43*(1+Parameters!$B$57)^5</f>
        <v>-8.1864882947863642E-3</v>
      </c>
      <c r="AR43" s="3">
        <f>+AQ43*(1+Parameters!$B$57)^5</f>
        <v>-8.1456376363714215E-3</v>
      </c>
      <c r="AS43" s="3">
        <f>+AR43*(1+Parameters!$B$57)^5</f>
        <v>-8.1049908231502713E-3</v>
      </c>
      <c r="AT43" s="3">
        <f>+AS43*(1+Parameters!$B$57)^5</f>
        <v>-8.0645468379333604E-3</v>
      </c>
      <c r="AU43" s="3">
        <f>+AT43*(1+Parameters!$B$57)^5</f>
        <v>-8.0243046686069193E-3</v>
      </c>
      <c r="AV43" s="3">
        <f>+AU43*(1+Parameters!$B$57)^5</f>
        <v>-7.9842633081076385E-3</v>
      </c>
      <c r="AW43" s="3">
        <f>+AV43*(1+Parameters!$B$57)^5</f>
        <v>-7.9444217543974613E-3</v>
      </c>
      <c r="AX43" s="3">
        <f>+AW43*(1+Parameters!$B$57)^5</f>
        <v>-7.9047790104385153E-3</v>
      </c>
      <c r="AY43" s="3">
        <f>+AX43*(1+Parameters!$B$57)^5</f>
        <v>-7.8653340841681532E-3</v>
      </c>
      <c r="AZ43" s="3">
        <f>+AY43*(1+Parameters!$B$57)^5</f>
        <v>-7.8260859884741324E-3</v>
      </c>
      <c r="BA43" s="3">
        <f>+AZ43*(1+Parameters!$B$57)^5</f>
        <v>-7.7870337411699089E-3</v>
      </c>
      <c r="BB43" s="3">
        <f>+BA43*(1+Parameters!$B$57)^5</f>
        <v>-7.748176364970061E-3</v>
      </c>
      <c r="BC43" s="3">
        <f>+BB43*(1+Parameters!$B$57)^5</f>
        <v>-7.70951288746583E-3</v>
      </c>
      <c r="BD43" s="3">
        <f>+BC43*(1+Parameters!$B$57)^5</f>
        <v>-7.6710423411007868E-3</v>
      </c>
      <c r="BE43" s="3">
        <f>+BD43*(1+Parameters!$B$57)^5</f>
        <v>-7.6327637631466178E-3</v>
      </c>
      <c r="BF43" s="3">
        <f>+BE43*(1+Parameters!$B$57)^5</f>
        <v>-7.5946761956790345E-3</v>
      </c>
      <c r="BG43" s="3">
        <f>+BF43*(1+Parameters!$B$57)^5</f>
        <v>-7.5567786855537996E-3</v>
      </c>
      <c r="BH43" s="3">
        <f>+BG43*(1+Parameters!$B$57)^5</f>
        <v>-7.5190702843828758E-3</v>
      </c>
      <c r="BI43" s="3">
        <f>+BH43*(1+Parameters!$B$57)^5</f>
        <v>-7.4815500485106903E-3</v>
      </c>
    </row>
    <row r="44" spans="1:124" ht="21" customHeight="1" x14ac:dyDescent="0.35">
      <c r="A44" s="15" t="s">
        <v>164</v>
      </c>
      <c r="B44" s="51">
        <f>+B45</f>
        <v>1.53972</v>
      </c>
      <c r="C44" s="3">
        <f>+B44*(1-Parameters!$C$55)</f>
        <v>1.231776</v>
      </c>
      <c r="D44" s="3">
        <f>+C44*(1-Parameters!$C$55)</f>
        <v>0.98542079999999999</v>
      </c>
      <c r="E44" s="3">
        <f>+D44*(1-Parameters!$C$55)</f>
        <v>0.78833664000000003</v>
      </c>
      <c r="F44" s="3">
        <f>+E44*(1-Parameters!$C$55)</f>
        <v>0.63066931200000009</v>
      </c>
      <c r="G44" s="3">
        <f>+F44*(1-Parameters!$C$55)</f>
        <v>0.50453544960000007</v>
      </c>
      <c r="H44" s="3">
        <f>+G44*(1-Parameters!$C$55)</f>
        <v>0.4036283596800001</v>
      </c>
      <c r="I44" s="3">
        <f>+H44*(1-Parameters!$C$55)</f>
        <v>0.32290268774400011</v>
      </c>
      <c r="J44" s="3">
        <f>+I44*(1-Parameters!$C$55)</f>
        <v>0.25832215019520011</v>
      </c>
      <c r="K44" s="3">
        <f>+J44*(1-Parameters!$C$55)</f>
        <v>0.2066577201561601</v>
      </c>
      <c r="L44" s="3">
        <f>+K44*(1-Parameters!$C$55)</f>
        <v>0.16532617612492809</v>
      </c>
      <c r="M44" s="3">
        <f>+L44*(1-Parameters!$C$55)</f>
        <v>0.13226094089994248</v>
      </c>
      <c r="N44" s="3">
        <f>+M44*(1-Parameters!$C$55)</f>
        <v>0.10580875271995399</v>
      </c>
      <c r="O44" s="3">
        <f>+N44*(1-Parameters!$C$55)</f>
        <v>8.4647002175963201E-2</v>
      </c>
      <c r="P44" s="3">
        <f>+O44*(1-Parameters!$C$55)</f>
        <v>6.7717601740770558E-2</v>
      </c>
      <c r="Q44" s="3">
        <f>+P44*(1-Parameters!$C$55)</f>
        <v>5.4174081392616452E-2</v>
      </c>
      <c r="R44" s="3">
        <f>+Q44*(1-Parameters!$C$55)</f>
        <v>4.3339265114093167E-2</v>
      </c>
      <c r="S44" s="3">
        <f>+R44*(1-Parameters!$C$55)</f>
        <v>3.4671412091274535E-2</v>
      </c>
      <c r="T44" s="3">
        <f>+S44*(1-Parameters!$C$55)</f>
        <v>2.7737129673019629E-2</v>
      </c>
      <c r="U44" s="3">
        <f>+T44*(1-Parameters!$C$55)</f>
        <v>2.2189703738415705E-2</v>
      </c>
      <c r="V44" s="3">
        <f>+U44*(1-Parameters!$C$55)</f>
        <v>1.7751762990732566E-2</v>
      </c>
      <c r="W44" s="3">
        <f>+V44*(1-Parameters!$C$55)</f>
        <v>1.4201410392586053E-2</v>
      </c>
      <c r="X44" s="3">
        <f>+W44*(1-Parameters!$C$55)</f>
        <v>1.1361128314068844E-2</v>
      </c>
      <c r="Y44" s="3">
        <f>+X44*(1-Parameters!$C$55)</f>
        <v>9.0889026512550753E-3</v>
      </c>
      <c r="Z44" s="3">
        <f>+Y44*(1-Parameters!$C$55)</f>
        <v>7.2711221210040606E-3</v>
      </c>
      <c r="AA44" s="3">
        <f>+Z44*(1-Parameters!$C$55)</f>
        <v>5.8168976968032485E-3</v>
      </c>
      <c r="AB44" s="3">
        <f>+AA44*(1-Parameters!$C$55)</f>
        <v>4.6535181574425986E-3</v>
      </c>
      <c r="AC44" s="3">
        <f>+AB44*(1-Parameters!$C$55)</f>
        <v>3.722814525954079E-3</v>
      </c>
      <c r="AD44" s="3">
        <f>+AC44*(1-Parameters!$C$55)</f>
        <v>2.9782516207632632E-3</v>
      </c>
      <c r="AE44" s="3">
        <f>+AD44*(1-Parameters!$C$55)</f>
        <v>2.3826012966106109E-3</v>
      </c>
      <c r="AF44" s="3">
        <f>+AE44*(1-Parameters!$C$55)</f>
        <v>1.9060810372884887E-3</v>
      </c>
      <c r="AG44" s="3">
        <f>+AF44*(1-Parameters!$C$55)</f>
        <v>1.524864829830791E-3</v>
      </c>
      <c r="AH44" s="3">
        <f>+AG44*(1-Parameters!$C$55)</f>
        <v>1.2198918638646329E-3</v>
      </c>
      <c r="AI44" s="3">
        <f>+AH44*(1-Parameters!$C$55)</f>
        <v>9.7591349109170638E-4</v>
      </c>
      <c r="AJ44" s="3">
        <f>+AI44*(1-Parameters!$C$55)</f>
        <v>7.8073079287336515E-4</v>
      </c>
      <c r="AK44" s="3">
        <f>+AJ44*(1-Parameters!$C$55)</f>
        <v>6.2458463429869221E-4</v>
      </c>
      <c r="AL44" s="3">
        <f>+AK44*(1-Parameters!$C$55)</f>
        <v>4.9966770743895374E-4</v>
      </c>
      <c r="AM44" s="3">
        <f>+AL44*(1-Parameters!$C$55)</f>
        <v>3.9973416595116303E-4</v>
      </c>
      <c r="AN44" s="3">
        <f>+AM44*(1-Parameters!$C$55)</f>
        <v>3.1978733276093044E-4</v>
      </c>
      <c r="AO44" s="3">
        <f>+AN44*(1-Parameters!$C$55)</f>
        <v>2.5582986620874439E-4</v>
      </c>
      <c r="AP44" s="3">
        <f>+AO44*(1-Parameters!$C$55)</f>
        <v>2.0466389296699552E-4</v>
      </c>
      <c r="AQ44" s="3">
        <f>+AP44*(1-Parameters!$C$55)</f>
        <v>1.6373111437359642E-4</v>
      </c>
      <c r="AR44" s="3">
        <f>+AQ44*(1-Parameters!$C$55)</f>
        <v>1.3098489149887714E-4</v>
      </c>
      <c r="AS44" s="3">
        <f>+AR44*(1-Parameters!$C$55)</f>
        <v>1.0478791319910172E-4</v>
      </c>
      <c r="AT44" s="3">
        <f>+AS44*(1-Parameters!$C$55)</f>
        <v>8.3830330559281379E-5</v>
      </c>
      <c r="AU44" s="3">
        <f>+AT44*(1-Parameters!$C$55)</f>
        <v>6.7064264447425106E-5</v>
      </c>
      <c r="AV44" s="3">
        <f>+AU44*(1-Parameters!$C$55)</f>
        <v>5.365141155794009E-5</v>
      </c>
      <c r="AW44" s="3">
        <f>+AV44*(1-Parameters!$C$55)</f>
        <v>4.2921129246352076E-5</v>
      </c>
      <c r="AX44" s="3">
        <f>+AW44*(1-Parameters!$C$55)</f>
        <v>3.4336903397081661E-5</v>
      </c>
      <c r="AY44" s="3">
        <f>+AX44*(1-Parameters!$C$55)</f>
        <v>2.7469522717665329E-5</v>
      </c>
      <c r="AZ44" s="3">
        <f>+AY44*(1-Parameters!$C$55)</f>
        <v>2.1975618174132264E-5</v>
      </c>
      <c r="BA44" s="3">
        <f>+AZ44*(1-Parameters!$C$55)</f>
        <v>1.7580494539305812E-5</v>
      </c>
      <c r="BB44" s="3">
        <f>+BA44*(1-Parameters!$C$55)</f>
        <v>1.4064395631444651E-5</v>
      </c>
      <c r="BC44" s="3">
        <f>+BB44*(1-Parameters!$C$55)</f>
        <v>1.1251516505155721E-5</v>
      </c>
      <c r="BD44" s="3">
        <f>+BC44*(1-Parameters!$C$55)</f>
        <v>9.0012132041245777E-6</v>
      </c>
      <c r="BE44" s="3">
        <f>+BD44*(1-Parameters!$C$55)</f>
        <v>7.2009705632996627E-6</v>
      </c>
      <c r="BF44" s="3">
        <f>+BE44*(1-Parameters!$C$55)</f>
        <v>5.7607764506397308E-6</v>
      </c>
      <c r="BG44" s="3">
        <f>+BF44*(1-Parameters!$C$55)</f>
        <v>4.6086211605117848E-6</v>
      </c>
      <c r="BH44" s="3">
        <f>+BG44*(1-Parameters!$C$55)</f>
        <v>3.6868969284094279E-6</v>
      </c>
      <c r="BI44" s="3">
        <f>+BH44*(1-Parameters!$C$55)</f>
        <v>2.9495175427275426E-6</v>
      </c>
    </row>
    <row r="45" spans="1:124" ht="22.25" customHeight="1" x14ac:dyDescent="0.35">
      <c r="A45" s="15" t="s">
        <v>213</v>
      </c>
      <c r="B45" s="51">
        <f>+Base!B45</f>
        <v>1.53972</v>
      </c>
    </row>
    <row r="46" spans="1:124" ht="21" customHeight="1" thickBot="1" x14ac:dyDescent="0.4">
      <c r="A46" s="83" t="s">
        <v>3</v>
      </c>
      <c r="B46" s="56"/>
    </row>
    <row r="47" spans="1:124" ht="21" customHeight="1" thickTop="1" x14ac:dyDescent="0.35">
      <c r="A47" s="15" t="str">
        <f>+IF(Parameters!B27=1,"Copenhagen",IF(Parameters!B27=2,"Copenhagen rich",IF(Parameters!B27=3,"Realistically optimistic","All immediate")))</f>
        <v>All immediate</v>
      </c>
      <c r="B47" s="57">
        <v>1</v>
      </c>
      <c r="C47" s="57">
        <f>+IF(Parameters!$B$27=1,Parameters!C45,IF(Parameters!$B$27=2,Parameters!C46,IF(Parameters!$B$27=3,Parameters!C47,Parameters!C48)))</f>
        <v>1</v>
      </c>
      <c r="D47" s="57">
        <f>+IF(Parameters!$B$27=1,Parameters!D45,IF(Parameters!$B$27=2,Parameters!D46,IF(Parameters!$B$27=3,Parameters!D47,Parameters!D48)))</f>
        <v>1</v>
      </c>
      <c r="E47" s="57">
        <f>+IF(Parameters!$B$27=1,Parameters!E45,IF(Parameters!$B$27=2,Parameters!E46,IF(Parameters!$B$27=3,Parameters!E47,Parameters!E48)))</f>
        <v>1</v>
      </c>
      <c r="F47" s="57">
        <f>+IF(Parameters!$B$27=1,Parameters!F45,IF(Parameters!$B$27=2,Parameters!F46,IF(Parameters!$B$27=3,Parameters!F47,Parameters!F48)))</f>
        <v>1</v>
      </c>
      <c r="G47" s="57">
        <f>+IF(Parameters!$B$27=1,Parameters!G45,IF(Parameters!$B$27=2,Parameters!G46,IF(Parameters!$B$27=3,Parameters!G47,Parameters!G48)))</f>
        <v>1</v>
      </c>
      <c r="H47" s="57">
        <f>+IF(Parameters!$B$27=1,Parameters!H45,IF(Parameters!$B$27=2,Parameters!H46,IF(Parameters!$B$27=3,Parameters!H47,Parameters!H48)))</f>
        <v>1</v>
      </c>
      <c r="I47" s="57">
        <f>+IF(Parameters!$B$27=1,Parameters!I45,IF(Parameters!$B$27=2,Parameters!I46,IF(Parameters!$B$27=3,Parameters!I47,Parameters!I48)))</f>
        <v>1</v>
      </c>
      <c r="J47" s="57">
        <f>+IF(Parameters!$B$27=1,Parameters!J45,IF(Parameters!$B$27=2,Parameters!J46,IF(Parameters!$B$27=3,Parameters!J47,Parameters!J48)))</f>
        <v>1</v>
      </c>
      <c r="K47" s="57">
        <f>+IF(Parameters!$B$27=1,Parameters!K45,IF(Parameters!$B$27=2,Parameters!K46,IF(Parameters!$B$27=3,Parameters!K47,Parameters!K48)))</f>
        <v>1</v>
      </c>
      <c r="L47" s="57">
        <f>+IF(Parameters!$B$27=1,Parameters!L45,IF(Parameters!$B$27=2,Parameters!L46,IF(Parameters!$B$27=3,Parameters!L47,Parameters!L48)))</f>
        <v>1</v>
      </c>
      <c r="M47" s="57">
        <f>+IF(Parameters!$B$27=1,Parameters!M45,IF(Parameters!$B$27=2,Parameters!M46,IF(Parameters!$B$27=3,Parameters!M47,Parameters!M48)))</f>
        <v>1</v>
      </c>
      <c r="N47" s="57">
        <f>+IF(Parameters!$B$27=1,Parameters!N45,IF(Parameters!$B$27=2,Parameters!N46,IF(Parameters!$B$27=3,Parameters!N47,Parameters!N48)))</f>
        <v>1</v>
      </c>
      <c r="O47" s="57">
        <f>+IF(Parameters!$B$27=1,Parameters!O45,IF(Parameters!$B$27=2,Parameters!O46,IF(Parameters!$B$27=3,Parameters!O47,Parameters!O48)))</f>
        <v>1</v>
      </c>
      <c r="P47" s="57">
        <f>+IF(Parameters!$B$27=1,Parameters!P45,IF(Parameters!$B$27=2,Parameters!P46,IF(Parameters!$B$27=3,Parameters!P47,Parameters!P48)))</f>
        <v>1</v>
      </c>
      <c r="Q47" s="57">
        <f>+IF(Parameters!$B$27=1,Parameters!Q45,IF(Parameters!$B$27=2,Parameters!Q46,IF(Parameters!$B$27=3,Parameters!Q47,Parameters!Q48)))</f>
        <v>1</v>
      </c>
      <c r="R47" s="57">
        <f>+IF(Parameters!$B$27=1,Parameters!R45,IF(Parameters!$B$27=2,Parameters!R46,IF(Parameters!$B$27=3,Parameters!R47,Parameters!R48)))</f>
        <v>1</v>
      </c>
      <c r="S47" s="57">
        <f>+IF(Parameters!$B$27=1,Parameters!S45,IF(Parameters!$B$27=2,Parameters!S46,IF(Parameters!$B$27=3,Parameters!S47,Parameters!S48)))</f>
        <v>1</v>
      </c>
      <c r="T47" s="57">
        <f>+IF(Parameters!$B$27=1,Parameters!T45,IF(Parameters!$B$27=2,Parameters!T46,IF(Parameters!$B$27=3,Parameters!T47,Parameters!T48)))</f>
        <v>1</v>
      </c>
      <c r="U47" s="57">
        <f>+IF(Parameters!$B$27=1,Parameters!U45,IF(Parameters!$B$27=2,Parameters!U46,IF(Parameters!$B$27=3,Parameters!U47,Parameters!U48)))</f>
        <v>1</v>
      </c>
      <c r="V47" s="57">
        <f>+IF(Parameters!$B$27=1,Parameters!V45,IF(Parameters!$B$27=2,Parameters!V46,IF(Parameters!$B$27=3,Parameters!V47,Parameters!V48)))</f>
        <v>1</v>
      </c>
      <c r="W47" s="57">
        <f>+IF(Parameters!$B$27=1,Parameters!W45,IF(Parameters!$B$27=2,Parameters!W46,IF(Parameters!$B$27=3,Parameters!W47,Parameters!W48)))</f>
        <v>1</v>
      </c>
      <c r="X47" s="57">
        <f>+IF(Parameters!$B$27=1,Parameters!X45,IF(Parameters!$B$27=2,Parameters!X46,IF(Parameters!$B$27=3,Parameters!X47,Parameters!X48)))</f>
        <v>1</v>
      </c>
      <c r="Y47" s="57">
        <f>+IF(Parameters!$B$27=1,Parameters!Y45,IF(Parameters!$B$27=2,Parameters!Y46,IF(Parameters!$B$27=3,Parameters!Y47,Parameters!Y48)))</f>
        <v>1</v>
      </c>
      <c r="Z47" s="57">
        <f>+IF(Parameters!$B$27=1,Parameters!Z45,IF(Parameters!$B$27=2,Parameters!Z46,IF(Parameters!$B$27=3,Parameters!Z47,Parameters!Z48)))</f>
        <v>1</v>
      </c>
      <c r="AA47" s="57">
        <f>+IF(Parameters!$B$27=1,Parameters!AA45,IF(Parameters!$B$27=2,Parameters!AA46,IF(Parameters!$B$27=3,Parameters!AA47,Parameters!AA48)))</f>
        <v>1</v>
      </c>
      <c r="AB47" s="57">
        <f>+IF(Parameters!$B$27=1,Parameters!AB45,IF(Parameters!$B$27=2,Parameters!AB46,IF(Parameters!$B$27=3,Parameters!AB47,Parameters!AB48)))</f>
        <v>1</v>
      </c>
      <c r="AC47" s="57">
        <f>+IF(Parameters!$B$27=1,Parameters!AC45,IF(Parameters!$B$27=2,Parameters!AC46,IF(Parameters!$B$27=3,Parameters!AC47,Parameters!AC48)))</f>
        <v>1</v>
      </c>
      <c r="AD47" s="57">
        <f>+IF(Parameters!$B$27=1,Parameters!AD45,IF(Parameters!$B$27=2,Parameters!AD46,IF(Parameters!$B$27=3,Parameters!AD47,Parameters!AD48)))</f>
        <v>1</v>
      </c>
      <c r="AE47" s="57">
        <f>+IF(Parameters!$B$27=1,Parameters!AE45,IF(Parameters!$B$27=2,Parameters!AE46,IF(Parameters!$B$27=3,Parameters!AE47,Parameters!AE48)))</f>
        <v>1</v>
      </c>
      <c r="AF47" s="57">
        <f>+IF(Parameters!$B$27=1,Parameters!AF45,IF(Parameters!$B$27=2,Parameters!AF46,IF(Parameters!$B$27=3,Parameters!AF47,Parameters!AF48)))</f>
        <v>1</v>
      </c>
      <c r="AG47" s="57">
        <f>+IF(Parameters!$B$27=1,Parameters!AG45,IF(Parameters!$B$27=2,Parameters!AG46,IF(Parameters!$B$27=3,Parameters!AG47,Parameters!AG48)))</f>
        <v>1</v>
      </c>
      <c r="AH47" s="57">
        <f>+IF(Parameters!$B$27=1,Parameters!AH45,IF(Parameters!$B$27=2,Parameters!AH46,IF(Parameters!$B$27=3,Parameters!AH47,Parameters!AH48)))</f>
        <v>1</v>
      </c>
      <c r="AI47" s="57">
        <f>+IF(Parameters!$B$27=1,Parameters!AI45,IF(Parameters!$B$27=2,Parameters!AI46,IF(Parameters!$B$27=3,Parameters!AI47,Parameters!AI48)))</f>
        <v>1</v>
      </c>
      <c r="AJ47" s="57">
        <f>+IF(Parameters!$B$27=1,Parameters!AJ45,IF(Parameters!$B$27=2,Parameters!AJ46,IF(Parameters!$B$27=3,Parameters!AJ47,Parameters!AJ48)))</f>
        <v>1</v>
      </c>
      <c r="AK47" s="57">
        <f>+IF(Parameters!$B$27=1,Parameters!AK45,IF(Parameters!$B$27=2,Parameters!AK46,IF(Parameters!$B$27=3,Parameters!AK47,Parameters!AK48)))</f>
        <v>1</v>
      </c>
      <c r="AL47" s="57">
        <f>+IF(Parameters!$B$27=1,Parameters!AL45,IF(Parameters!$B$27=2,Parameters!AL46,IF(Parameters!$B$27=3,Parameters!AL47,Parameters!AL48)))</f>
        <v>1</v>
      </c>
      <c r="AM47" s="57">
        <f>+IF(Parameters!$B$27=1,Parameters!AM45,IF(Parameters!$B$27=2,Parameters!AM46,IF(Parameters!$B$27=3,Parameters!AM47,Parameters!AM48)))</f>
        <v>1</v>
      </c>
      <c r="AN47" s="57">
        <f>+IF(Parameters!$B$27=1,Parameters!AN45,IF(Parameters!$B$27=2,Parameters!AN46,IF(Parameters!$B$27=3,Parameters!AN47,Parameters!AN48)))</f>
        <v>1</v>
      </c>
      <c r="AO47" s="57">
        <f>+IF(Parameters!$B$27=1,Parameters!AO45,IF(Parameters!$B$27=2,Parameters!AO46,IF(Parameters!$B$27=3,Parameters!AO47,Parameters!AO48)))</f>
        <v>1</v>
      </c>
      <c r="AP47" s="57">
        <f>+IF(Parameters!$B$27=1,Parameters!AP45,IF(Parameters!$B$27=2,Parameters!AP46,IF(Parameters!$B$27=3,Parameters!AP47,Parameters!AP48)))</f>
        <v>1</v>
      </c>
      <c r="AQ47" s="57">
        <f>+IF(Parameters!$B$27=1,Parameters!AQ45,IF(Parameters!$B$27=2,Parameters!AQ46,IF(Parameters!$B$27=3,Parameters!AQ47,Parameters!AQ48)))</f>
        <v>1</v>
      </c>
      <c r="AR47" s="57">
        <f>+IF(Parameters!$B$27=1,Parameters!AR45,IF(Parameters!$B$27=2,Parameters!AR46,IF(Parameters!$B$27=3,Parameters!AR47,Parameters!AR48)))</f>
        <v>1</v>
      </c>
      <c r="AS47" s="57">
        <f>+IF(Parameters!$B$27=1,Parameters!AS45,IF(Parameters!$B$27=2,Parameters!AS46,IF(Parameters!$B$27=3,Parameters!AS47,Parameters!AS48)))</f>
        <v>1</v>
      </c>
      <c r="AT47" s="57">
        <f>+IF(Parameters!$B$27=1,Parameters!AT45,IF(Parameters!$B$27=2,Parameters!AT46,IF(Parameters!$B$27=3,Parameters!AT47,Parameters!AT48)))</f>
        <v>1</v>
      </c>
      <c r="AU47" s="57">
        <f>+IF(Parameters!$B$27=1,Parameters!AU45,IF(Parameters!$B$27=2,Parameters!AU46,IF(Parameters!$B$27=3,Parameters!AU47,Parameters!AU48)))</f>
        <v>1</v>
      </c>
      <c r="AV47" s="57">
        <f>+IF(Parameters!$B$27=1,Parameters!AV45,IF(Parameters!$B$27=2,Parameters!AV46,IF(Parameters!$B$27=3,Parameters!AV47,Parameters!AV48)))</f>
        <v>1</v>
      </c>
      <c r="AW47" s="57">
        <f>+IF(Parameters!$B$27=1,Parameters!AW45,IF(Parameters!$B$27=2,Parameters!AW46,IF(Parameters!$B$27=3,Parameters!AW47,Parameters!AW48)))</f>
        <v>1</v>
      </c>
      <c r="AX47" s="57">
        <f>+IF(Parameters!$B$27=1,Parameters!AX45,IF(Parameters!$B$27=2,Parameters!AX46,IF(Parameters!$B$27=3,Parameters!AX47,Parameters!AX48)))</f>
        <v>1</v>
      </c>
      <c r="AY47" s="57">
        <f>+IF(Parameters!$B$27=1,Parameters!AY45,IF(Parameters!$B$27=2,Parameters!AY46,IF(Parameters!$B$27=3,Parameters!AY47,Parameters!AY48)))</f>
        <v>1</v>
      </c>
      <c r="AZ47" s="57">
        <f>+IF(Parameters!$B$27=1,Parameters!AZ45,IF(Parameters!$B$27=2,Parameters!AZ46,IF(Parameters!$B$27=3,Parameters!AZ47,Parameters!AZ48)))</f>
        <v>1</v>
      </c>
      <c r="BA47" s="57">
        <f>+IF(Parameters!$B$27=1,Parameters!BA45,IF(Parameters!$B$27=2,Parameters!BA46,IF(Parameters!$B$27=3,Parameters!BA47,Parameters!BA48)))</f>
        <v>1</v>
      </c>
      <c r="BB47" s="57">
        <f>+IF(Parameters!$B$27=1,Parameters!BB45,IF(Parameters!$B$27=2,Parameters!BB46,IF(Parameters!$B$27=3,Parameters!BB47,Parameters!BB48)))</f>
        <v>1</v>
      </c>
      <c r="BC47" s="57">
        <f>+IF(Parameters!$B$27=1,Parameters!BC45,IF(Parameters!$B$27=2,Parameters!BC46,IF(Parameters!$B$27=3,Parameters!BC47,Parameters!BC48)))</f>
        <v>1</v>
      </c>
      <c r="BD47" s="57">
        <f>+IF(Parameters!$B$27=1,Parameters!BD45,IF(Parameters!$B$27=2,Parameters!BD46,IF(Parameters!$B$27=3,Parameters!BD47,Parameters!BD48)))</f>
        <v>1</v>
      </c>
      <c r="BE47" s="57">
        <f>+IF(Parameters!$B$27=1,Parameters!BE45,IF(Parameters!$B$27=2,Parameters!BE46,IF(Parameters!$B$27=3,Parameters!BE47,Parameters!BE48)))</f>
        <v>1</v>
      </c>
      <c r="BF47" s="57">
        <f>+IF(Parameters!$B$27=1,Parameters!BF45,IF(Parameters!$B$27=2,Parameters!BF46,IF(Parameters!$B$27=3,Parameters!BF47,Parameters!BF48)))</f>
        <v>1</v>
      </c>
      <c r="BG47" s="57">
        <f>+IF(Parameters!$B$27=1,Parameters!BG45,IF(Parameters!$B$27=2,Parameters!BG46,IF(Parameters!$B$27=3,Parameters!BG47,Parameters!BG48)))</f>
        <v>1</v>
      </c>
      <c r="BH47" s="57">
        <f>+IF(Parameters!$B$27=1,Parameters!BH45,IF(Parameters!$B$27=2,Parameters!BH46,IF(Parameters!$B$27=3,Parameters!BH47,Parameters!BH48)))</f>
        <v>1</v>
      </c>
      <c r="BI47" s="57">
        <f>+IF(Parameters!$B$27=1,Parameters!BI45,IF(Parameters!$B$27=2,Parameters!BI46,IF(Parameters!$B$27=3,Parameters!BI47,Parameters!BI48)))</f>
        <v>1</v>
      </c>
      <c r="BJ47" s="57"/>
      <c r="BK47" s="57"/>
      <c r="BL47" s="57"/>
      <c r="BM47" s="57"/>
      <c r="BN47" s="57"/>
      <c r="BO47" s="57"/>
      <c r="BP47" s="57"/>
      <c r="BQ47" s="57"/>
      <c r="BR47" s="57"/>
      <c r="BS47" s="57"/>
      <c r="BT47" s="57"/>
      <c r="BU47" s="57"/>
      <c r="BV47" s="57"/>
      <c r="BW47" s="57"/>
      <c r="BX47" s="57"/>
      <c r="BY47" s="57"/>
      <c r="BZ47" s="57"/>
      <c r="CA47" s="57"/>
      <c r="CB47" s="57"/>
      <c r="CC47" s="57"/>
      <c r="CD47" s="57"/>
      <c r="CE47" s="57"/>
      <c r="CF47" s="57"/>
      <c r="CG47" s="57"/>
      <c r="CH47" s="57"/>
      <c r="CI47" s="57"/>
      <c r="CJ47" s="57"/>
      <c r="CK47" s="57"/>
      <c r="CL47" s="57"/>
      <c r="CM47" s="57"/>
      <c r="CN47" s="57"/>
      <c r="CO47" s="57"/>
      <c r="CP47" s="57"/>
      <c r="CQ47" s="57"/>
      <c r="CR47" s="57"/>
      <c r="CS47" s="57"/>
      <c r="CT47" s="57"/>
      <c r="CU47" s="57"/>
      <c r="CV47" s="57"/>
      <c r="CW47" s="57"/>
      <c r="CX47" s="57"/>
      <c r="CY47" s="57"/>
      <c r="CZ47" s="57"/>
      <c r="DA47" s="57"/>
      <c r="DB47" s="57"/>
      <c r="DC47" s="57"/>
      <c r="DD47" s="57"/>
      <c r="DE47" s="57"/>
      <c r="DF47" s="57"/>
      <c r="DG47" s="57"/>
      <c r="DH47" s="57"/>
      <c r="DI47" s="57"/>
      <c r="DJ47" s="57"/>
      <c r="DK47" s="57"/>
      <c r="DL47" s="57"/>
      <c r="DM47" s="57"/>
      <c r="DN47" s="57"/>
      <c r="DO47" s="57"/>
      <c r="DP47" s="57"/>
      <c r="DQ47" s="57"/>
      <c r="DR47" s="57"/>
      <c r="DS47" s="57"/>
      <c r="DT47" s="57"/>
    </row>
    <row r="48" spans="1:124" ht="21" customHeight="1" thickBot="1" x14ac:dyDescent="0.4">
      <c r="A48" s="82" t="s">
        <v>98</v>
      </c>
      <c r="C48" s="3" t="s">
        <v>131</v>
      </c>
      <c r="D48" s="3">
        <f>+B127</f>
        <v>6.8716233014676149</v>
      </c>
      <c r="E48" s="3">
        <v>7.5267760935020336</v>
      </c>
      <c r="F48" s="51"/>
    </row>
    <row r="49" spans="1:124" ht="21" customHeight="1" thickTop="1" x14ac:dyDescent="0.35">
      <c r="A49" s="15" t="s">
        <v>54</v>
      </c>
      <c r="B49" s="51">
        <f>+Base!B49</f>
        <v>1.6396699869977365E-2</v>
      </c>
      <c r="C49" s="51"/>
    </row>
    <row r="50" spans="1:124" ht="21" customHeight="1" x14ac:dyDescent="0.35">
      <c r="A50" s="15" t="s">
        <v>55</v>
      </c>
      <c r="B50" s="51">
        <f>+Base!B50</f>
        <v>-3823.8684027386507</v>
      </c>
      <c r="C50" s="58"/>
      <c r="D50" s="58"/>
    </row>
    <row r="51" spans="1:124" ht="21" customHeight="1" thickBot="1" x14ac:dyDescent="0.4">
      <c r="A51" s="82" t="s">
        <v>253</v>
      </c>
      <c r="B51" s="51">
        <v>0</v>
      </c>
      <c r="C51" s="3" t="s">
        <v>146</v>
      </c>
      <c r="D51" s="3">
        <f>+D50-B130</f>
        <v>-2717.599051440362</v>
      </c>
    </row>
    <row r="52" spans="1:124" ht="21" customHeight="1" thickTop="1" thickBot="1" x14ac:dyDescent="0.4">
      <c r="A52" s="82" t="s">
        <v>17</v>
      </c>
      <c r="C52" s="51"/>
      <c r="D52" s="51"/>
      <c r="E52" s="51"/>
      <c r="F52" s="51"/>
      <c r="G52" s="51"/>
      <c r="H52" s="51"/>
      <c r="I52" s="51"/>
      <c r="J52" s="51"/>
      <c r="K52" s="51"/>
      <c r="L52" s="51"/>
      <c r="M52" s="51"/>
      <c r="N52" s="51"/>
      <c r="O52" s="51"/>
      <c r="P52" s="51"/>
      <c r="Q52" s="51"/>
      <c r="R52" s="51"/>
      <c r="S52" s="51"/>
      <c r="T52" s="51"/>
      <c r="U52" s="51"/>
      <c r="V52" s="51"/>
      <c r="W52" s="51"/>
      <c r="X52" s="51"/>
      <c r="Y52" s="51"/>
      <c r="Z52" s="51"/>
      <c r="AA52" s="51"/>
      <c r="AB52" s="51"/>
      <c r="AC52" s="51"/>
      <c r="AD52" s="51"/>
      <c r="AE52" s="51"/>
      <c r="AF52" s="51"/>
      <c r="AG52" s="51"/>
      <c r="AH52" s="51"/>
      <c r="AI52" s="51"/>
      <c r="AJ52" s="51"/>
      <c r="AK52" s="51"/>
      <c r="AL52" s="51"/>
      <c r="AM52" s="51"/>
      <c r="AN52" s="51"/>
      <c r="AO52" s="51"/>
      <c r="AP52" s="51"/>
      <c r="AQ52" s="51"/>
      <c r="AR52" s="51"/>
      <c r="AS52" s="51"/>
      <c r="AT52" s="51"/>
      <c r="AU52" s="51"/>
      <c r="AV52" s="51"/>
      <c r="AW52" s="51"/>
      <c r="AX52" s="51"/>
      <c r="AY52" s="51"/>
      <c r="AZ52" s="51"/>
      <c r="BA52" s="51"/>
      <c r="BB52" s="51"/>
      <c r="BC52" s="51"/>
      <c r="BD52" s="51"/>
      <c r="BE52" s="51"/>
      <c r="BF52" s="51"/>
      <c r="BG52" s="51"/>
      <c r="BH52" s="51"/>
      <c r="BI52" s="51"/>
      <c r="BJ52" s="51"/>
      <c r="BK52" s="51"/>
      <c r="BL52" s="51"/>
      <c r="BM52" s="51"/>
      <c r="BN52" s="51"/>
      <c r="BO52" s="51"/>
      <c r="BP52" s="51"/>
      <c r="BQ52" s="51"/>
      <c r="BR52" s="51"/>
      <c r="BS52" s="51"/>
      <c r="BT52" s="51"/>
      <c r="BU52" s="51"/>
      <c r="BV52" s="51"/>
      <c r="BW52" s="51"/>
      <c r="BX52" s="51"/>
      <c r="BY52" s="51"/>
      <c r="BZ52" s="51"/>
      <c r="CA52" s="51"/>
      <c r="CB52" s="51"/>
      <c r="CC52" s="51"/>
      <c r="CD52" s="51"/>
      <c r="CE52" s="51"/>
      <c r="CF52" s="51"/>
      <c r="CG52" s="51"/>
      <c r="CH52" s="51"/>
      <c r="CI52" s="51"/>
      <c r="CJ52" s="51"/>
      <c r="CK52" s="51"/>
      <c r="CL52" s="51"/>
      <c r="CM52" s="51"/>
      <c r="CN52" s="51"/>
      <c r="CO52" s="51"/>
      <c r="CP52" s="51"/>
      <c r="CQ52" s="51"/>
      <c r="CR52" s="51"/>
      <c r="CS52" s="51"/>
      <c r="CT52" s="51"/>
      <c r="CU52" s="51"/>
      <c r="CV52" s="51"/>
      <c r="CW52" s="51"/>
      <c r="CX52" s="51"/>
      <c r="CY52" s="51"/>
      <c r="CZ52" s="51"/>
      <c r="DA52" s="51"/>
      <c r="DB52" s="51"/>
      <c r="DC52" s="51"/>
      <c r="DD52" s="51"/>
      <c r="DE52" s="51"/>
      <c r="DF52" s="51"/>
      <c r="DG52" s="51"/>
      <c r="DH52" s="51"/>
      <c r="DI52" s="51"/>
      <c r="DJ52" s="51"/>
      <c r="DK52" s="51"/>
      <c r="DL52" s="51"/>
      <c r="DM52" s="51"/>
      <c r="DN52" s="51"/>
      <c r="DO52" s="51"/>
      <c r="DP52" s="51"/>
      <c r="DQ52" s="51"/>
      <c r="DR52" s="51"/>
      <c r="DS52" s="51"/>
      <c r="DT52" s="51"/>
    </row>
    <row r="53" spans="1:124" ht="21" customHeight="1" thickTop="1" x14ac:dyDescent="0.35">
      <c r="A53" s="15" t="s">
        <v>18</v>
      </c>
      <c r="B53" s="51">
        <f>+Base!B53</f>
        <v>6838</v>
      </c>
      <c r="C53" s="51">
        <f>+Base!C53</f>
        <v>7244.0131682715773</v>
      </c>
      <c r="D53" s="51">
        <f>+Base!D53</f>
        <v>7614.8328217481658</v>
      </c>
      <c r="E53" s="51">
        <f>+Base!E53</f>
        <v>7951.0707590505608</v>
      </c>
      <c r="F53" s="51">
        <f>+Base!F53</f>
        <v>8254.0505790007173</v>
      </c>
      <c r="G53" s="51">
        <f>+Base!G53</f>
        <v>8525.5874386257801</v>
      </c>
      <c r="H53" s="51">
        <f>+Base!H53</f>
        <v>8767.8063434235337</v>
      </c>
      <c r="I53" s="51">
        <f>+Base!I53</f>
        <v>8982.9978140746662</v>
      </c>
      <c r="J53" s="51">
        <f>+Base!J53</f>
        <v>9173.5073444878253</v>
      </c>
      <c r="K53" s="51">
        <f>+Base!K53</f>
        <v>9341.6539239806625</v>
      </c>
      <c r="L53" s="51">
        <f>+Base!L53</f>
        <v>9489.6726076231553</v>
      </c>
      <c r="M53" s="51">
        <f>+Base!M53</f>
        <v>9619.6763483350842</v>
      </c>
      <c r="N53" s="51">
        <f>+Base!N53</f>
        <v>9733.6328118544734</v>
      </c>
      <c r="O53" s="51">
        <f>+Base!O53</f>
        <v>9833.3525197035178</v>
      </c>
      <c r="P53" s="51">
        <f>+Base!P53</f>
        <v>9920.4853046792614</v>
      </c>
      <c r="Q53" s="51">
        <f>+Base!Q53</f>
        <v>9996.5226603527044</v>
      </c>
      <c r="R53" s="51">
        <f>+Base!R53</f>
        <v>10062.804091979313</v>
      </c>
      <c r="S53" s="51">
        <f>+Base!S53</f>
        <v>10120.526021146155</v>
      </c>
      <c r="T53" s="51">
        <f>+Base!T53</f>
        <v>10170.75216151042</v>
      </c>
      <c r="U53" s="51">
        <f>+Base!U53</f>
        <v>10214.424575159541</v>
      </c>
      <c r="V53" s="51">
        <f>+Base!V53</f>
        <v>10252.374848116402</v>
      </c>
      <c r="W53" s="51">
        <f>+Base!W53</f>
        <v>10285.334999620252</v>
      </c>
      <c r="X53" s="51">
        <f>+Base!X53</f>
        <v>10313.947872827168</v>
      </c>
      <c r="Y53" s="51">
        <f>+Base!Y53</f>
        <v>10338.776853219713</v>
      </c>
      <c r="Z53" s="51">
        <f>+Base!Z53</f>
        <v>10360.314832745784</v>
      </c>
      <c r="AA53" s="51">
        <f>+Base!AA53</f>
        <v>10378.992388692368</v>
      </c>
      <c r="AB53" s="51">
        <f>+Base!AB53</f>
        <v>10395.185181534063</v>
      </c>
      <c r="AC53" s="51">
        <f>+Base!AC53</f>
        <v>10409.220599442217</v>
      </c>
      <c r="AD53" s="51">
        <f>+Base!AD53</f>
        <v>10421.383691897539</v>
      </c>
      <c r="AE53" s="51">
        <f>+Base!AE53</f>
        <v>10431.922443305928</v>
      </c>
      <c r="AF53" s="51">
        <f>+Base!AF53</f>
        <v>10441.052441493106</v>
      </c>
      <c r="AG53" s="51">
        <f>+Base!AG53</f>
        <v>10448.960996817566</v>
      </c>
      <c r="AH53" s="51">
        <f>+Base!AH53</f>
        <v>10455.810766410352</v>
      </c>
      <c r="AI53" s="51">
        <f>+Base!AI53</f>
        <v>10461.742935471591</v>
      </c>
      <c r="AJ53" s="51">
        <f>+Base!AJ53</f>
        <v>10466.880004167821</v>
      </c>
      <c r="AK53" s="51">
        <f>+Base!AK53</f>
        <v>10471.3282248657</v>
      </c>
      <c r="AL53" s="51">
        <f>+Base!AL53</f>
        <v>10475.179730475338</v>
      </c>
      <c r="AM53" s="51">
        <f>+Base!AM53</f>
        <v>10478.514390742053</v>
      </c>
      <c r="AN53" s="51">
        <f>+Base!AN53</f>
        <v>10481.401429538373</v>
      </c>
      <c r="AO53" s="51">
        <f>+Base!AO53</f>
        <v>10483.900832641932</v>
      </c>
      <c r="AP53" s="51">
        <f>+Base!AP53</f>
        <v>10486.064572180732</v>
      </c>
      <c r="AQ53" s="51">
        <f>+Base!AQ53</f>
        <v>10487.937670903442</v>
      </c>
      <c r="AR53" s="51">
        <f>+Base!AR53</f>
        <v>10489.559126691636</v>
      </c>
      <c r="AS53" s="51">
        <f>+Base!AS53</f>
        <v>10490.962715265843</v>
      </c>
      <c r="AT53" s="51">
        <f>+Base!AT53</f>
        <v>10492.177686833749</v>
      </c>
      <c r="AU53" s="51">
        <f>+Base!AU53</f>
        <v>10493.229370469204</v>
      </c>
      <c r="AV53" s="51">
        <f>+Base!AV53</f>
        <v>10494.139698275025</v>
      </c>
      <c r="AW53" s="51">
        <f>+Base!AW53</f>
        <v>10494.927659850739</v>
      </c>
      <c r="AX53" s="51">
        <f>+Base!AX53</f>
        <v>10495.609696238218</v>
      </c>
      <c r="AY53" s="51">
        <f>+Base!AY53</f>
        <v>10496.200041334723</v>
      </c>
      <c r="AZ53" s="51">
        <f>+Base!AZ53</f>
        <v>10496.711017725867</v>
      </c>
      <c r="BA53" s="51">
        <f>+Base!BA53</f>
        <v>10497.153292984229</v>
      </c>
      <c r="BB53" s="51">
        <f>+Base!BB53</f>
        <v>10497.536101687356</v>
      </c>
      <c r="BC53" s="51">
        <f>+Base!BC53</f>
        <v>10497.867437718181</v>
      </c>
      <c r="BD53" s="51">
        <f>+Base!BD53</f>
        <v>10498.154220809072</v>
      </c>
      <c r="BE53" s="51">
        <f>+Base!BE53</f>
        <v>10498.402440766844</v>
      </c>
      <c r="BF53" s="51">
        <f>+Base!BF53</f>
        <v>10498.617282360547</v>
      </c>
      <c r="BG53" s="51">
        <f>+Base!BG53</f>
        <v>10498.803233457693</v>
      </c>
      <c r="BH53" s="51">
        <f>+Base!BH53</f>
        <v>10498.964178650702</v>
      </c>
      <c r="BI53" s="51">
        <f>+Base!BI53</f>
        <v>10499.103480316548</v>
      </c>
      <c r="BJ53" s="51"/>
      <c r="BK53" s="51"/>
      <c r="BL53" s="51"/>
      <c r="BM53" s="51"/>
      <c r="BN53" s="51"/>
      <c r="BO53" s="51"/>
      <c r="BP53" s="51"/>
      <c r="BQ53" s="51"/>
      <c r="BR53" s="51"/>
      <c r="BS53" s="51"/>
      <c r="BT53" s="51"/>
      <c r="BU53" s="51"/>
      <c r="BV53" s="51"/>
      <c r="BW53" s="51"/>
      <c r="BX53" s="51"/>
      <c r="BY53" s="51"/>
      <c r="BZ53" s="51"/>
      <c r="CA53" s="51"/>
      <c r="CB53" s="51"/>
      <c r="CC53" s="51"/>
      <c r="CD53" s="51"/>
      <c r="CE53" s="51"/>
      <c r="CF53" s="51"/>
      <c r="CG53" s="51"/>
      <c r="CH53" s="51"/>
      <c r="CI53" s="51"/>
      <c r="CJ53" s="51"/>
      <c r="CK53" s="51"/>
      <c r="CL53" s="51"/>
      <c r="CM53" s="51"/>
      <c r="CN53" s="51"/>
      <c r="CO53" s="51"/>
      <c r="CP53" s="51"/>
      <c r="CQ53" s="51"/>
      <c r="CR53" s="51"/>
      <c r="CS53" s="51"/>
      <c r="CT53" s="51"/>
      <c r="CU53" s="51"/>
      <c r="CV53" s="51"/>
      <c r="CW53" s="51"/>
      <c r="CX53" s="51"/>
      <c r="CY53" s="51"/>
      <c r="CZ53" s="51"/>
      <c r="DA53" s="51"/>
      <c r="DB53" s="51"/>
      <c r="DC53" s="51"/>
      <c r="DD53" s="51"/>
      <c r="DE53" s="51"/>
      <c r="DF53" s="51"/>
      <c r="DG53" s="51"/>
      <c r="DH53" s="51"/>
      <c r="DI53" s="51"/>
      <c r="DJ53" s="51"/>
      <c r="DK53" s="51"/>
      <c r="DL53" s="51"/>
      <c r="DM53" s="51"/>
      <c r="DN53" s="51"/>
      <c r="DO53" s="51"/>
      <c r="DP53" s="51"/>
      <c r="DQ53" s="51"/>
      <c r="DR53" s="51"/>
      <c r="DS53" s="51"/>
      <c r="DT53" s="51"/>
    </row>
    <row r="54" spans="1:124" ht="21" customHeight="1" x14ac:dyDescent="0.35">
      <c r="A54" s="15" t="s">
        <v>160</v>
      </c>
      <c r="C54" s="51">
        <f t="shared" ref="C54:BI54" si="7">+C53/B53-1</f>
        <v>5.9376011739043166E-2</v>
      </c>
      <c r="D54" s="51">
        <f t="shared" si="7"/>
        <v>5.1189809414035947E-2</v>
      </c>
      <c r="E54" s="51">
        <f t="shared" si="7"/>
        <v>4.4155655832927909E-2</v>
      </c>
      <c r="F54" s="51">
        <f t="shared" si="7"/>
        <v>3.8105536868135559E-2</v>
      </c>
      <c r="G54" s="51">
        <f t="shared" si="7"/>
        <v>3.2897406797564921E-2</v>
      </c>
      <c r="H54" s="51">
        <f t="shared" si="7"/>
        <v>2.841081703066739E-2</v>
      </c>
      <c r="I54" s="51">
        <f t="shared" si="7"/>
        <v>2.4543364921893129E-2</v>
      </c>
      <c r="J54" s="51">
        <f t="shared" si="7"/>
        <v>2.1207789911143804E-2</v>
      </c>
      <c r="K54" s="51">
        <f t="shared" si="7"/>
        <v>1.8329584659227738E-2</v>
      </c>
      <c r="L54" s="51">
        <f t="shared" si="7"/>
        <v>1.5845018970625624E-2</v>
      </c>
      <c r="M54" s="51">
        <f t="shared" si="7"/>
        <v>1.3699496925478227E-2</v>
      </c>
      <c r="N54" s="51">
        <f t="shared" si="7"/>
        <v>1.1846184777215774E-2</v>
      </c>
      <c r="O54" s="51">
        <f t="shared" si="7"/>
        <v>1.0244860246587217E-2</v>
      </c>
      <c r="P54" s="51">
        <f t="shared" si="7"/>
        <v>8.8609438948874519E-3</v>
      </c>
      <c r="Q54" s="51">
        <f t="shared" si="7"/>
        <v>7.6646810451479475E-3</v>
      </c>
      <c r="R54" s="51">
        <f t="shared" si="7"/>
        <v>6.6304487949082613E-3</v>
      </c>
      <c r="S54" s="51">
        <f t="shared" si="7"/>
        <v>5.736167437946138E-3</v>
      </c>
      <c r="T54" s="51">
        <f t="shared" si="7"/>
        <v>4.9627993900041023E-3</v>
      </c>
      <c r="U54" s="51">
        <f t="shared" si="7"/>
        <v>4.2939217233501914E-3</v>
      </c>
      <c r="V54" s="51">
        <f t="shared" si="7"/>
        <v>3.7153608289548501E-3</v>
      </c>
      <c r="W54" s="51">
        <f t="shared" si="7"/>
        <v>3.2148796734550178E-3</v>
      </c>
      <c r="X54" s="51">
        <f t="shared" si="7"/>
        <v>2.7819097003618509E-3</v>
      </c>
      <c r="Y54" s="51">
        <f t="shared" si="7"/>
        <v>2.4073207174102329E-3</v>
      </c>
      <c r="Z54" s="51">
        <f t="shared" si="7"/>
        <v>2.0832231734804196E-3</v>
      </c>
      <c r="AA54" s="51">
        <f t="shared" si="7"/>
        <v>1.8027981048944763E-3</v>
      </c>
      <c r="AB54" s="51">
        <f t="shared" si="7"/>
        <v>1.56015075792304E-3</v>
      </c>
      <c r="AC54" s="51">
        <f t="shared" si="7"/>
        <v>1.3501845001362422E-3</v>
      </c>
      <c r="AD54" s="51">
        <f t="shared" si="7"/>
        <v>1.1684921401295956E-3</v>
      </c>
      <c r="AE54" s="51">
        <f t="shared" si="7"/>
        <v>1.0112622008708883E-3</v>
      </c>
      <c r="AF54" s="51">
        <f t="shared" si="7"/>
        <v>8.7519805067537426E-4</v>
      </c>
      <c r="AG54" s="51">
        <f t="shared" si="7"/>
        <v>7.5744809910460731E-4</v>
      </c>
      <c r="AH54" s="51">
        <f t="shared" si="7"/>
        <v>6.5554552216928741E-4</v>
      </c>
      <c r="AI54" s="51">
        <f t="shared" si="7"/>
        <v>5.6735619970260665E-4</v>
      </c>
      <c r="AJ54" s="51">
        <f t="shared" si="7"/>
        <v>4.9103373385439575E-4</v>
      </c>
      <c r="AK54" s="51">
        <f t="shared" si="7"/>
        <v>4.249805764571235E-4</v>
      </c>
      <c r="AL54" s="51">
        <f t="shared" si="7"/>
        <v>3.6781442878397463E-4</v>
      </c>
      <c r="AM54" s="51">
        <f t="shared" si="7"/>
        <v>3.1833919345691797E-4</v>
      </c>
      <c r="AN54" s="51">
        <f t="shared" si="7"/>
        <v>2.7551985793627942E-4</v>
      </c>
      <c r="AO54" s="51">
        <f t="shared" si="7"/>
        <v>2.3846077457867487E-4</v>
      </c>
      <c r="AP54" s="51">
        <f t="shared" si="7"/>
        <v>2.0638687577667625E-4</v>
      </c>
      <c r="AQ54" s="51">
        <f t="shared" si="7"/>
        <v>1.7862742593433012E-4</v>
      </c>
      <c r="AR54" s="51">
        <f t="shared" si="7"/>
        <v>1.546019664755427E-4</v>
      </c>
      <c r="AS54" s="51">
        <f t="shared" si="7"/>
        <v>1.3380815697350279E-4</v>
      </c>
      <c r="AT54" s="51">
        <f t="shared" si="7"/>
        <v>1.1581125592385888E-4</v>
      </c>
      <c r="AU54" s="51">
        <f t="shared" si="7"/>
        <v>1.0023501953981828E-4</v>
      </c>
      <c r="AV54" s="51">
        <f t="shared" si="7"/>
        <v>8.6753827032826081E-5</v>
      </c>
      <c r="AW54" s="51">
        <f t="shared" si="7"/>
        <v>7.5085866814150748E-5</v>
      </c>
      <c r="AX54" s="51">
        <f t="shared" si="7"/>
        <v>6.498724046366533E-5</v>
      </c>
      <c r="AY54" s="51">
        <f t="shared" si="7"/>
        <v>5.6246860696163026E-5</v>
      </c>
      <c r="AZ54" s="51">
        <f t="shared" si="7"/>
        <v>4.8682036273284268E-5</v>
      </c>
      <c r="BA54" s="51">
        <f t="shared" si="7"/>
        <v>4.2134651283998181E-5</v>
      </c>
      <c r="BB54" s="51">
        <f t="shared" si="7"/>
        <v>3.6467858708144618E-5</v>
      </c>
      <c r="BC54" s="51">
        <f t="shared" si="7"/>
        <v>3.1563218989338893E-5</v>
      </c>
      <c r="BD54" s="51">
        <f t="shared" si="7"/>
        <v>2.7318223686068066E-5</v>
      </c>
      <c r="BE54" s="51">
        <f t="shared" si="7"/>
        <v>2.3644152348234471E-5</v>
      </c>
      <c r="BF54" s="51">
        <f t="shared" si="7"/>
        <v>2.0464217762139469E-5</v>
      </c>
      <c r="BG54" s="51">
        <f t="shared" si="7"/>
        <v>1.7711960741628729E-5</v>
      </c>
      <c r="BH54" s="51">
        <f t="shared" si="7"/>
        <v>1.5329860883150914E-5</v>
      </c>
      <c r="BI54" s="51">
        <f t="shared" si="7"/>
        <v>1.3268134215538296E-5</v>
      </c>
      <c r="BJ54" s="51"/>
      <c r="BK54" s="51"/>
      <c r="BL54" s="51"/>
      <c r="BM54" s="51"/>
      <c r="BN54" s="51"/>
      <c r="BO54" s="51"/>
      <c r="BP54" s="51"/>
      <c r="BQ54" s="51"/>
      <c r="BR54" s="51"/>
      <c r="BS54" s="51"/>
      <c r="BT54" s="51"/>
      <c r="BU54" s="51"/>
      <c r="BV54" s="51"/>
      <c r="BW54" s="51"/>
      <c r="BX54" s="51"/>
      <c r="BY54" s="51"/>
      <c r="BZ54" s="51"/>
      <c r="CA54" s="51"/>
      <c r="CB54" s="51"/>
      <c r="CC54" s="51"/>
      <c r="CD54" s="51"/>
      <c r="CE54" s="51"/>
      <c r="CF54" s="51"/>
      <c r="CG54" s="51"/>
      <c r="CH54" s="51"/>
      <c r="CI54" s="51"/>
      <c r="CJ54" s="51"/>
      <c r="CK54" s="51"/>
      <c r="CL54" s="51"/>
      <c r="CM54" s="51"/>
      <c r="CN54" s="51"/>
      <c r="CO54" s="51"/>
      <c r="CP54" s="51"/>
      <c r="CQ54" s="51"/>
      <c r="CR54" s="51"/>
      <c r="CS54" s="51"/>
      <c r="CT54" s="51"/>
      <c r="CU54" s="51"/>
      <c r="CV54" s="51"/>
      <c r="CW54" s="51"/>
      <c r="CX54" s="51"/>
      <c r="CY54" s="51"/>
      <c r="CZ54" s="51"/>
      <c r="DA54" s="51"/>
      <c r="DB54" s="51"/>
      <c r="DC54" s="51"/>
      <c r="DD54" s="51"/>
      <c r="DE54" s="51"/>
      <c r="DF54" s="51"/>
      <c r="DG54" s="51"/>
      <c r="DH54" s="51"/>
      <c r="DI54" s="51"/>
      <c r="DJ54" s="51"/>
      <c r="DK54" s="51"/>
      <c r="DL54" s="51"/>
      <c r="DM54" s="51"/>
      <c r="DN54" s="51"/>
      <c r="DO54" s="51"/>
      <c r="DP54" s="51"/>
      <c r="DQ54" s="51"/>
      <c r="DR54" s="51"/>
      <c r="DS54" s="51"/>
      <c r="DT54" s="51"/>
    </row>
    <row r="55" spans="1:124" s="59" customFormat="1" ht="38.4" customHeight="1" thickBot="1" x14ac:dyDescent="0.3">
      <c r="A55" s="81" t="s">
        <v>203</v>
      </c>
    </row>
    <row r="56" spans="1:124" s="23" customFormat="1" ht="21" customHeight="1" thickTop="1" thickBot="1" x14ac:dyDescent="0.35">
      <c r="A56" s="82" t="s">
        <v>8</v>
      </c>
      <c r="B56" s="60"/>
      <c r="C56" s="60"/>
      <c r="D56" s="60"/>
      <c r="E56" s="60"/>
      <c r="F56" s="60"/>
      <c r="G56" s="60"/>
      <c r="H56" s="60"/>
      <c r="I56" s="60"/>
      <c r="J56" s="60"/>
      <c r="K56" s="60"/>
      <c r="L56" s="60"/>
      <c r="M56" s="60"/>
      <c r="N56" s="60"/>
      <c r="O56" s="60"/>
      <c r="P56" s="60"/>
      <c r="Q56" s="60"/>
      <c r="R56" s="60"/>
      <c r="S56" s="60"/>
      <c r="T56" s="60"/>
      <c r="U56" s="60"/>
      <c r="V56" s="60"/>
      <c r="W56" s="60"/>
      <c r="X56" s="60"/>
      <c r="Y56" s="60"/>
      <c r="Z56" s="60"/>
      <c r="AA56" s="60"/>
      <c r="AB56" s="60"/>
      <c r="AC56" s="60"/>
      <c r="AD56" s="60"/>
      <c r="AE56" s="60"/>
      <c r="AF56" s="60"/>
      <c r="AG56" s="60"/>
      <c r="AH56" s="60"/>
      <c r="AI56" s="60"/>
      <c r="AJ56" s="60"/>
      <c r="AK56" s="60"/>
      <c r="AL56" s="60"/>
      <c r="AM56" s="60"/>
      <c r="AN56" s="60"/>
      <c r="AO56" s="60"/>
      <c r="AP56" s="60"/>
      <c r="AQ56" s="60"/>
      <c r="AR56" s="60"/>
      <c r="AS56" s="60"/>
      <c r="AT56" s="60"/>
      <c r="AU56" s="60"/>
      <c r="AV56" s="60"/>
      <c r="AW56" s="60"/>
      <c r="AX56" s="60"/>
      <c r="AY56" s="60"/>
      <c r="AZ56" s="60"/>
      <c r="BA56" s="60"/>
      <c r="BB56" s="60"/>
      <c r="BC56" s="60"/>
      <c r="BD56" s="60"/>
      <c r="BE56" s="60"/>
      <c r="BF56" s="60"/>
      <c r="BG56" s="60"/>
      <c r="BH56" s="60"/>
      <c r="BI56" s="60"/>
    </row>
    <row r="57" spans="1:124" s="23" customFormat="1" ht="21" customHeight="1" thickTop="1" x14ac:dyDescent="0.35">
      <c r="A57" s="15" t="s">
        <v>28</v>
      </c>
      <c r="B57" s="51">
        <f>+Base!B57</f>
        <v>6000</v>
      </c>
      <c r="C57" s="60"/>
      <c r="D57" s="60"/>
      <c r="E57" s="60"/>
      <c r="F57" s="60"/>
      <c r="G57" s="60"/>
      <c r="H57" s="60"/>
      <c r="I57" s="60"/>
      <c r="J57" s="60"/>
      <c r="K57" s="60"/>
      <c r="L57" s="60"/>
      <c r="M57" s="60"/>
      <c r="N57" s="60"/>
      <c r="O57" s="60"/>
      <c r="P57" s="60"/>
      <c r="Q57" s="60"/>
      <c r="R57" s="60"/>
      <c r="S57" s="60"/>
      <c r="T57" s="60"/>
      <c r="U57" s="60"/>
      <c r="V57" s="60"/>
      <c r="W57" s="60"/>
      <c r="X57" s="60"/>
      <c r="Y57" s="60"/>
      <c r="Z57" s="60"/>
      <c r="AA57" s="60"/>
      <c r="AB57" s="60"/>
      <c r="AC57" s="60"/>
      <c r="AD57" s="60"/>
      <c r="AE57" s="60"/>
      <c r="AF57" s="60"/>
      <c r="AG57" s="60"/>
      <c r="AH57" s="60"/>
      <c r="AI57" s="60"/>
      <c r="AJ57" s="60"/>
      <c r="AK57" s="60"/>
      <c r="AL57" s="60"/>
      <c r="AM57" s="60"/>
      <c r="AN57" s="60"/>
      <c r="AO57" s="60"/>
      <c r="AP57" s="60"/>
      <c r="AQ57" s="60"/>
      <c r="AR57" s="60"/>
      <c r="AS57" s="60"/>
      <c r="AT57" s="60"/>
      <c r="AU57" s="60"/>
      <c r="AV57" s="60"/>
      <c r="AW57" s="60"/>
      <c r="AX57" s="60"/>
      <c r="AY57" s="60"/>
      <c r="AZ57" s="60"/>
      <c r="BA57" s="60"/>
      <c r="BB57" s="60"/>
      <c r="BC57" s="60"/>
      <c r="BD57" s="60"/>
      <c r="BE57" s="60"/>
      <c r="BF57" s="60"/>
      <c r="BG57" s="60"/>
      <c r="BH57" s="60"/>
      <c r="BI57" s="60"/>
    </row>
    <row r="58" spans="1:124" s="23" customFormat="1" ht="21" customHeight="1" thickBot="1" x14ac:dyDescent="0.35">
      <c r="A58" s="82" t="s">
        <v>216</v>
      </c>
      <c r="B58" s="60"/>
      <c r="C58" s="60"/>
      <c r="D58" s="60"/>
      <c r="E58" s="60"/>
      <c r="F58" s="60"/>
      <c r="G58" s="60"/>
      <c r="H58" s="60"/>
      <c r="I58" s="60"/>
      <c r="J58" s="60"/>
      <c r="K58" s="60"/>
      <c r="L58" s="60"/>
      <c r="M58" s="60"/>
      <c r="N58" s="60"/>
      <c r="O58" s="60"/>
      <c r="P58" s="60"/>
      <c r="Q58" s="60"/>
      <c r="R58" s="60"/>
      <c r="S58" s="60"/>
      <c r="T58" s="60"/>
      <c r="U58" s="60"/>
      <c r="V58" s="60"/>
      <c r="W58" s="60"/>
      <c r="X58" s="60"/>
      <c r="Y58" s="60"/>
      <c r="Z58" s="60"/>
      <c r="AA58" s="60"/>
      <c r="AB58" s="60"/>
      <c r="AC58" s="60"/>
      <c r="AD58" s="60"/>
      <c r="AE58" s="60"/>
      <c r="AF58" s="60"/>
      <c r="AG58" s="60"/>
      <c r="AH58" s="60"/>
      <c r="AI58" s="60"/>
      <c r="AJ58" s="60"/>
      <c r="AK58" s="60"/>
      <c r="AL58" s="60"/>
      <c r="AM58" s="60"/>
      <c r="AN58" s="60"/>
      <c r="AO58" s="60"/>
      <c r="AP58" s="60"/>
      <c r="AQ58" s="60"/>
      <c r="AR58" s="60"/>
      <c r="AS58" s="60"/>
      <c r="AT58" s="60"/>
      <c r="AU58" s="60"/>
      <c r="AV58" s="60"/>
      <c r="AW58" s="60"/>
      <c r="AX58" s="60"/>
      <c r="AY58" s="60"/>
      <c r="AZ58" s="60"/>
      <c r="BA58" s="60"/>
      <c r="BB58" s="60"/>
      <c r="BC58" s="60"/>
      <c r="BD58" s="60"/>
      <c r="BE58" s="60"/>
      <c r="BF58" s="60"/>
      <c r="BG58" s="60"/>
      <c r="BH58" s="60"/>
      <c r="BI58" s="60"/>
    </row>
    <row r="59" spans="1:124" s="23" customFormat="1" ht="21" customHeight="1" thickTop="1" x14ac:dyDescent="0.3">
      <c r="A59" s="15" t="s">
        <v>46</v>
      </c>
      <c r="D59" s="60"/>
      <c r="E59" s="60"/>
      <c r="F59" s="60"/>
      <c r="G59" s="60"/>
      <c r="H59" s="60"/>
      <c r="I59" s="60"/>
      <c r="J59" s="60"/>
      <c r="K59" s="60"/>
      <c r="L59" s="60"/>
      <c r="M59" s="60"/>
      <c r="N59" s="60"/>
      <c r="O59" s="60"/>
      <c r="P59" s="60"/>
      <c r="Q59" s="60"/>
      <c r="R59" s="60"/>
      <c r="S59" s="60"/>
      <c r="T59" s="60"/>
      <c r="U59" s="60"/>
      <c r="V59" s="60"/>
      <c r="W59" s="60"/>
      <c r="X59" s="60"/>
      <c r="Y59" s="60"/>
      <c r="Z59" s="60"/>
      <c r="AA59" s="60"/>
      <c r="AB59" s="60"/>
      <c r="AC59" s="60"/>
      <c r="AD59" s="60"/>
      <c r="AE59" s="60"/>
      <c r="AF59" s="60"/>
      <c r="AG59" s="60"/>
      <c r="AH59" s="60"/>
      <c r="AI59" s="60"/>
      <c r="AJ59" s="60"/>
      <c r="AK59" s="60"/>
      <c r="AL59" s="60"/>
      <c r="AM59" s="60"/>
      <c r="AN59" s="60"/>
      <c r="AO59" s="60"/>
      <c r="AP59" s="60"/>
      <c r="AQ59" s="60"/>
      <c r="AR59" s="60"/>
      <c r="AS59" s="60"/>
      <c r="AT59" s="60"/>
      <c r="AU59" s="60"/>
      <c r="AV59" s="60"/>
      <c r="AW59" s="60"/>
      <c r="AX59" s="60"/>
      <c r="AY59" s="60"/>
      <c r="AZ59" s="60"/>
      <c r="BA59" s="60"/>
      <c r="BB59" s="60"/>
      <c r="BC59" s="60"/>
      <c r="BD59" s="60"/>
      <c r="BE59" s="60"/>
      <c r="BF59" s="60"/>
      <c r="BG59" s="60"/>
      <c r="BH59" s="60"/>
      <c r="BI59" s="60"/>
    </row>
    <row r="60" spans="1:124" s="23" customFormat="1" ht="21" customHeight="1" x14ac:dyDescent="0.35">
      <c r="A60" s="15" t="s">
        <v>271</v>
      </c>
      <c r="B60" s="51">
        <f>+Base!B60</f>
        <v>818.98500000000001</v>
      </c>
      <c r="C60" s="60"/>
      <c r="D60" s="60"/>
      <c r="E60" s="60"/>
      <c r="F60" s="60"/>
      <c r="G60" s="60"/>
      <c r="H60" s="60"/>
      <c r="I60" s="60"/>
      <c r="J60" s="60"/>
      <c r="K60" s="60"/>
      <c r="L60" s="60"/>
      <c r="M60" s="60"/>
      <c r="N60" s="60"/>
      <c r="O60" s="60"/>
      <c r="P60" s="60"/>
      <c r="Q60" s="60"/>
      <c r="R60" s="60"/>
      <c r="S60" s="60"/>
      <c r="T60" s="60"/>
      <c r="U60" s="60"/>
      <c r="V60" s="60"/>
      <c r="W60" s="60"/>
      <c r="X60" s="60"/>
      <c r="Y60" s="60"/>
      <c r="Z60" s="60"/>
      <c r="AA60" s="60"/>
      <c r="AB60" s="60"/>
      <c r="AC60" s="60"/>
      <c r="AD60" s="60"/>
      <c r="AE60" s="60"/>
      <c r="AF60" s="60"/>
      <c r="AG60" s="60"/>
      <c r="AH60" s="60"/>
      <c r="AI60" s="60"/>
      <c r="AJ60" s="60"/>
      <c r="AK60" s="60"/>
      <c r="AL60" s="60"/>
      <c r="AM60" s="60"/>
      <c r="AN60" s="60"/>
      <c r="AO60" s="60"/>
      <c r="AP60" s="60"/>
      <c r="AQ60" s="60"/>
      <c r="AR60" s="60"/>
      <c r="AS60" s="60"/>
      <c r="AT60" s="60"/>
      <c r="AU60" s="60"/>
      <c r="AV60" s="60"/>
      <c r="AW60" s="60"/>
      <c r="AX60" s="60"/>
      <c r="AY60" s="60"/>
      <c r="AZ60" s="60"/>
      <c r="BA60" s="60"/>
      <c r="BB60" s="60"/>
      <c r="BC60" s="60"/>
      <c r="BD60" s="60"/>
      <c r="BE60" s="60"/>
      <c r="BF60" s="60"/>
      <c r="BG60" s="60"/>
      <c r="BH60" s="60"/>
      <c r="BI60" s="60"/>
    </row>
    <row r="61" spans="1:124" s="23" customFormat="1" ht="21" customHeight="1" x14ac:dyDescent="0.35">
      <c r="A61" s="15" t="s">
        <v>272</v>
      </c>
      <c r="B61" s="51">
        <f>+Base!B61</f>
        <v>839.64599999999996</v>
      </c>
      <c r="C61" s="60"/>
      <c r="D61" s="60"/>
      <c r="E61" s="60"/>
      <c r="F61" s="60"/>
      <c r="G61" s="60"/>
      <c r="H61" s="60"/>
      <c r="I61" s="60"/>
      <c r="J61" s="60"/>
      <c r="K61" s="60"/>
      <c r="L61" s="60"/>
      <c r="M61" s="60"/>
      <c r="N61" s="60"/>
      <c r="O61" s="60"/>
      <c r="P61" s="60"/>
      <c r="Q61" s="60"/>
      <c r="R61" s="60"/>
      <c r="S61" s="60"/>
      <c r="T61" s="60"/>
      <c r="U61" s="60"/>
      <c r="V61" s="60"/>
      <c r="W61" s="60"/>
      <c r="X61" s="60"/>
      <c r="Y61" s="60"/>
      <c r="Z61" s="60"/>
      <c r="AA61" s="60"/>
      <c r="AB61" s="60"/>
      <c r="AC61" s="60"/>
      <c r="AD61" s="60"/>
      <c r="AE61" s="60"/>
      <c r="AF61" s="60"/>
      <c r="AG61" s="60"/>
      <c r="AH61" s="60"/>
      <c r="AI61" s="60"/>
      <c r="AJ61" s="60"/>
      <c r="AK61" s="60"/>
      <c r="AL61" s="60"/>
      <c r="AM61" s="60"/>
      <c r="AN61" s="60"/>
      <c r="AO61" s="60"/>
      <c r="AP61" s="60"/>
      <c r="AQ61" s="60"/>
      <c r="AR61" s="60"/>
      <c r="AS61" s="60"/>
      <c r="AT61" s="60"/>
      <c r="AU61" s="60"/>
      <c r="AV61" s="60"/>
      <c r="AW61" s="60"/>
      <c r="AX61" s="60"/>
      <c r="AY61" s="60"/>
      <c r="AZ61" s="60"/>
      <c r="BA61" s="60"/>
      <c r="BB61" s="60"/>
      <c r="BC61" s="60"/>
      <c r="BD61" s="60"/>
      <c r="BE61" s="60"/>
      <c r="BF61" s="60"/>
      <c r="BG61" s="60"/>
      <c r="BH61" s="60"/>
      <c r="BI61" s="60"/>
    </row>
    <row r="62" spans="1:124" s="23" customFormat="1" ht="21" customHeight="1" x14ac:dyDescent="0.35">
      <c r="A62" s="15" t="s">
        <v>214</v>
      </c>
      <c r="B62" s="51">
        <f>+Base!B62</f>
        <v>1527</v>
      </c>
      <c r="C62" s="60"/>
      <c r="D62" s="60"/>
      <c r="E62" s="60"/>
      <c r="F62" s="60"/>
      <c r="G62" s="60"/>
      <c r="H62" s="60"/>
      <c r="I62" s="60"/>
      <c r="J62" s="60"/>
      <c r="K62" s="60"/>
      <c r="L62" s="60"/>
      <c r="M62" s="60"/>
      <c r="N62" s="60"/>
      <c r="O62" s="60"/>
      <c r="P62" s="60"/>
      <c r="Q62" s="60"/>
      <c r="R62" s="60"/>
      <c r="S62" s="60"/>
      <c r="T62" s="60"/>
      <c r="U62" s="60"/>
      <c r="V62" s="60"/>
      <c r="W62" s="60"/>
      <c r="X62" s="60"/>
      <c r="Y62" s="60"/>
      <c r="Z62" s="60"/>
      <c r="AA62" s="60"/>
      <c r="AB62" s="60"/>
      <c r="AC62" s="60"/>
      <c r="AD62" s="60"/>
      <c r="AE62" s="60"/>
      <c r="AF62" s="60"/>
      <c r="AG62" s="60"/>
      <c r="AH62" s="60"/>
      <c r="AI62" s="60"/>
      <c r="AJ62" s="60"/>
      <c r="AK62" s="60"/>
      <c r="AL62" s="60"/>
      <c r="AM62" s="60"/>
      <c r="AN62" s="60"/>
      <c r="AO62" s="60"/>
      <c r="AP62" s="60"/>
      <c r="AQ62" s="60"/>
      <c r="AR62" s="60"/>
      <c r="AS62" s="60"/>
      <c r="AT62" s="60"/>
      <c r="AU62" s="60"/>
      <c r="AV62" s="60"/>
      <c r="AW62" s="60"/>
      <c r="AX62" s="60"/>
      <c r="AY62" s="60"/>
      <c r="AZ62" s="60"/>
      <c r="BA62" s="60"/>
      <c r="BB62" s="60"/>
      <c r="BC62" s="60"/>
      <c r="BD62" s="60"/>
      <c r="BE62" s="60"/>
      <c r="BF62" s="60"/>
      <c r="BG62" s="60"/>
      <c r="BH62" s="60"/>
      <c r="BI62" s="60"/>
    </row>
    <row r="63" spans="1:124" s="23" customFormat="1" ht="21" customHeight="1" x14ac:dyDescent="0.35">
      <c r="A63" s="15" t="s">
        <v>215</v>
      </c>
      <c r="B63" s="51">
        <f>+Base!B63</f>
        <v>10010</v>
      </c>
      <c r="C63" s="60"/>
      <c r="D63" s="60"/>
      <c r="E63" s="60"/>
      <c r="F63" s="60"/>
      <c r="G63" s="60"/>
      <c r="H63" s="60"/>
      <c r="I63" s="60"/>
      <c r="J63" s="60"/>
      <c r="K63" s="60"/>
      <c r="L63" s="60"/>
      <c r="M63" s="60"/>
      <c r="N63" s="60"/>
      <c r="O63" s="60"/>
      <c r="P63" s="60"/>
      <c r="Q63" s="60"/>
      <c r="R63" s="60"/>
      <c r="S63" s="60"/>
      <c r="T63" s="60"/>
      <c r="U63" s="60"/>
      <c r="V63" s="60"/>
      <c r="W63" s="60"/>
      <c r="X63" s="60"/>
      <c r="Y63" s="60"/>
      <c r="Z63" s="60"/>
      <c r="AA63" s="60"/>
      <c r="AB63" s="60"/>
      <c r="AC63" s="60"/>
      <c r="AD63" s="60"/>
      <c r="AE63" s="60"/>
      <c r="AF63" s="60"/>
      <c r="AG63" s="60"/>
      <c r="AH63" s="60"/>
      <c r="AI63" s="60"/>
      <c r="AJ63" s="60"/>
      <c r="AK63" s="60"/>
      <c r="AL63" s="60"/>
      <c r="AM63" s="60"/>
      <c r="AN63" s="60"/>
      <c r="AO63" s="60"/>
      <c r="AP63" s="60"/>
      <c r="AQ63" s="60"/>
      <c r="AR63" s="60"/>
      <c r="AS63" s="60"/>
      <c r="AT63" s="60"/>
      <c r="AU63" s="60"/>
      <c r="AV63" s="60"/>
      <c r="AW63" s="60"/>
      <c r="AX63" s="60"/>
      <c r="AY63" s="60"/>
      <c r="AZ63" s="60"/>
      <c r="BA63" s="60"/>
      <c r="BB63" s="60"/>
      <c r="BC63" s="60"/>
      <c r="BD63" s="60"/>
      <c r="BE63" s="60"/>
      <c r="BF63" s="60"/>
      <c r="BG63" s="60"/>
      <c r="BH63" s="60"/>
      <c r="BI63" s="60"/>
    </row>
    <row r="64" spans="1:124" s="23" customFormat="1" ht="21" customHeight="1" thickBot="1" x14ac:dyDescent="0.35">
      <c r="A64" s="82" t="s">
        <v>217</v>
      </c>
      <c r="B64" s="60"/>
      <c r="C64" s="60"/>
      <c r="D64" s="60"/>
      <c r="E64" s="60"/>
      <c r="F64" s="60"/>
      <c r="G64" s="60"/>
      <c r="H64" s="60"/>
      <c r="I64" s="60"/>
      <c r="J64" s="60"/>
      <c r="K64" s="60"/>
      <c r="L64" s="60"/>
      <c r="M64" s="60"/>
      <c r="N64" s="60"/>
      <c r="O64" s="60"/>
      <c r="P64" s="60"/>
      <c r="Q64" s="60"/>
      <c r="R64" s="60"/>
      <c r="S64" s="60"/>
      <c r="T64" s="60"/>
      <c r="U64" s="60"/>
      <c r="V64" s="60"/>
      <c r="W64" s="60"/>
      <c r="X64" s="60"/>
      <c r="Y64" s="60"/>
      <c r="Z64" s="60"/>
      <c r="AA64" s="60"/>
      <c r="AB64" s="60"/>
      <c r="AC64" s="60"/>
      <c r="AD64" s="60"/>
      <c r="AE64" s="60"/>
      <c r="AF64" s="60"/>
      <c r="AG64" s="60"/>
      <c r="AH64" s="60"/>
      <c r="AI64" s="60"/>
      <c r="AJ64" s="60"/>
      <c r="AK64" s="60"/>
      <c r="AL64" s="60"/>
      <c r="AM64" s="60"/>
      <c r="AN64" s="60"/>
      <c r="AO64" s="60"/>
      <c r="AP64" s="60"/>
      <c r="AQ64" s="60"/>
      <c r="AR64" s="60"/>
      <c r="AS64" s="60"/>
      <c r="AT64" s="60"/>
      <c r="AU64" s="60"/>
      <c r="AV64" s="60"/>
      <c r="AW64" s="60"/>
      <c r="AX64" s="60"/>
      <c r="AY64" s="60"/>
      <c r="AZ64" s="60"/>
      <c r="BA64" s="60"/>
      <c r="BB64" s="60"/>
      <c r="BC64" s="60"/>
      <c r="BD64" s="60"/>
      <c r="BE64" s="60"/>
      <c r="BF64" s="60"/>
      <c r="BG64" s="60"/>
      <c r="BH64" s="60"/>
      <c r="BI64" s="60"/>
    </row>
    <row r="65" spans="1:124" s="23" customFormat="1" ht="21" customHeight="1" thickTop="1" x14ac:dyDescent="0.35">
      <c r="A65" s="15" t="s">
        <v>218</v>
      </c>
      <c r="B65" s="51">
        <f>+Base!B65</f>
        <v>91.2</v>
      </c>
      <c r="C65" s="60"/>
      <c r="D65" s="60"/>
      <c r="E65" s="60"/>
      <c r="F65" s="60"/>
      <c r="G65" s="60"/>
      <c r="H65" s="60"/>
      <c r="I65" s="60"/>
      <c r="J65" s="60"/>
      <c r="K65" s="60"/>
      <c r="L65" s="60"/>
      <c r="M65" s="60"/>
      <c r="N65" s="60"/>
      <c r="O65" s="60"/>
      <c r="P65" s="60"/>
      <c r="Q65" s="60"/>
      <c r="R65" s="60"/>
      <c r="S65" s="60"/>
      <c r="T65" s="60"/>
      <c r="U65" s="60"/>
      <c r="V65" s="60"/>
      <c r="W65" s="60"/>
      <c r="X65" s="60"/>
      <c r="Y65" s="60"/>
      <c r="Z65" s="60"/>
      <c r="AA65" s="60"/>
      <c r="AB65" s="60"/>
      <c r="AC65" s="60"/>
      <c r="AD65" s="60"/>
      <c r="AE65" s="60"/>
      <c r="AF65" s="60"/>
      <c r="AG65" s="60"/>
      <c r="AH65" s="60"/>
      <c r="AI65" s="60"/>
      <c r="AJ65" s="60"/>
      <c r="AK65" s="60"/>
      <c r="AL65" s="60"/>
      <c r="AM65" s="60"/>
      <c r="AN65" s="60"/>
      <c r="AO65" s="60"/>
      <c r="AP65" s="60"/>
      <c r="AQ65" s="60"/>
      <c r="AR65" s="60"/>
      <c r="AS65" s="60"/>
      <c r="AT65" s="60"/>
      <c r="AU65" s="60"/>
      <c r="AV65" s="60"/>
      <c r="AW65" s="60"/>
      <c r="AX65" s="60"/>
      <c r="AY65" s="60"/>
      <c r="AZ65" s="60"/>
      <c r="BA65" s="60"/>
      <c r="BB65" s="60"/>
      <c r="BC65" s="60"/>
      <c r="BD65" s="60"/>
      <c r="BE65" s="60"/>
      <c r="BF65" s="60"/>
      <c r="BG65" s="60"/>
      <c r="BH65" s="60"/>
      <c r="BI65" s="60"/>
    </row>
    <row r="66" spans="1:124" s="23" customFormat="1" ht="21" customHeight="1" x14ac:dyDescent="0.35">
      <c r="A66" s="15" t="s">
        <v>219</v>
      </c>
      <c r="B66" s="51">
        <f>+Base!B66</f>
        <v>3.8328888888888892</v>
      </c>
      <c r="C66" s="60"/>
      <c r="D66" s="60"/>
      <c r="E66" s="60"/>
      <c r="F66" s="60"/>
      <c r="G66" s="60"/>
      <c r="H66" s="60"/>
      <c r="I66" s="60"/>
      <c r="J66" s="60"/>
      <c r="K66" s="60"/>
      <c r="L66" s="60"/>
      <c r="M66" s="60"/>
      <c r="N66" s="60"/>
      <c r="O66" s="60"/>
      <c r="P66" s="60"/>
      <c r="Q66" s="60"/>
      <c r="R66" s="60"/>
      <c r="S66" s="60"/>
      <c r="T66" s="60"/>
      <c r="U66" s="60"/>
      <c r="V66" s="60"/>
      <c r="W66" s="60"/>
      <c r="X66" s="60"/>
      <c r="Y66" s="60"/>
      <c r="Z66" s="60"/>
      <c r="AA66" s="60"/>
      <c r="AB66" s="60"/>
      <c r="AC66" s="60"/>
      <c r="AD66" s="60"/>
      <c r="AE66" s="60"/>
      <c r="AF66" s="60"/>
      <c r="AG66" s="60"/>
      <c r="AH66" s="60"/>
      <c r="AI66" s="60"/>
      <c r="AJ66" s="60"/>
      <c r="AK66" s="60"/>
      <c r="AL66" s="60"/>
      <c r="AM66" s="60"/>
      <c r="AN66" s="60"/>
      <c r="AO66" s="60"/>
      <c r="AP66" s="60"/>
      <c r="AQ66" s="60"/>
      <c r="AR66" s="60"/>
      <c r="AS66" s="60"/>
      <c r="AT66" s="60"/>
      <c r="AU66" s="60"/>
      <c r="AV66" s="60"/>
      <c r="AW66" s="60"/>
      <c r="AX66" s="60"/>
      <c r="AY66" s="60"/>
      <c r="AZ66" s="60"/>
      <c r="BA66" s="60"/>
      <c r="BB66" s="60"/>
      <c r="BC66" s="60"/>
      <c r="BD66" s="60"/>
      <c r="BE66" s="60"/>
      <c r="BF66" s="60"/>
      <c r="BG66" s="60"/>
      <c r="BH66" s="60"/>
      <c r="BI66" s="60"/>
    </row>
    <row r="67" spans="1:124" s="23" customFormat="1" ht="21" customHeight="1" x14ac:dyDescent="0.35">
      <c r="A67" s="15" t="s">
        <v>220</v>
      </c>
      <c r="B67" s="51">
        <f>+Base!B67</f>
        <v>8.8000000000000007</v>
      </c>
      <c r="C67" s="60"/>
      <c r="D67" s="60"/>
      <c r="E67" s="60"/>
      <c r="F67" s="60"/>
      <c r="G67" s="60"/>
      <c r="H67" s="60"/>
      <c r="I67" s="60"/>
      <c r="J67" s="60"/>
      <c r="K67" s="60"/>
      <c r="L67" s="60"/>
      <c r="M67" s="60"/>
      <c r="N67" s="60"/>
      <c r="O67" s="60"/>
      <c r="P67" s="60"/>
      <c r="Q67" s="60"/>
      <c r="R67" s="60"/>
      <c r="S67" s="60"/>
      <c r="T67" s="60"/>
      <c r="U67" s="60"/>
      <c r="V67" s="60"/>
      <c r="W67" s="60"/>
      <c r="X67" s="60"/>
      <c r="Y67" s="60"/>
      <c r="Z67" s="60"/>
      <c r="AA67" s="60"/>
      <c r="AB67" s="60"/>
      <c r="AC67" s="60"/>
      <c r="AD67" s="60"/>
      <c r="AE67" s="60"/>
      <c r="AF67" s="60"/>
      <c r="AG67" s="60"/>
      <c r="AH67" s="60"/>
      <c r="AI67" s="60"/>
      <c r="AJ67" s="60"/>
      <c r="AK67" s="60"/>
      <c r="AL67" s="60"/>
      <c r="AM67" s="60"/>
      <c r="AN67" s="60"/>
      <c r="AO67" s="60"/>
      <c r="AP67" s="60"/>
      <c r="AQ67" s="60"/>
      <c r="AR67" s="60"/>
      <c r="AS67" s="60"/>
      <c r="AT67" s="60"/>
      <c r="AU67" s="60"/>
      <c r="AV67" s="60"/>
      <c r="AW67" s="60"/>
      <c r="AX67" s="60"/>
      <c r="AY67" s="60"/>
      <c r="AZ67" s="60"/>
      <c r="BA67" s="60"/>
      <c r="BB67" s="60"/>
      <c r="BC67" s="60"/>
      <c r="BD67" s="60"/>
      <c r="BE67" s="60"/>
      <c r="BF67" s="60"/>
      <c r="BG67" s="60"/>
      <c r="BH67" s="60"/>
      <c r="BI67" s="60"/>
    </row>
    <row r="68" spans="1:124" s="23" customFormat="1" ht="21" customHeight="1" x14ac:dyDescent="0.35">
      <c r="A68" s="15" t="s">
        <v>224</v>
      </c>
      <c r="B68" s="51">
        <f>+Base!B68</f>
        <v>95.917111111111112</v>
      </c>
      <c r="C68" s="60"/>
      <c r="D68" s="60"/>
      <c r="E68" s="60"/>
      <c r="F68" s="60"/>
      <c r="G68" s="60"/>
      <c r="H68" s="60"/>
      <c r="I68" s="60"/>
      <c r="J68" s="60"/>
      <c r="K68" s="60"/>
      <c r="L68" s="60"/>
      <c r="M68" s="60"/>
      <c r="N68" s="60"/>
      <c r="O68" s="60"/>
      <c r="P68" s="60"/>
      <c r="Q68" s="60"/>
      <c r="R68" s="60"/>
      <c r="S68" s="60"/>
      <c r="T68" s="60"/>
      <c r="U68" s="60"/>
      <c r="V68" s="60"/>
      <c r="W68" s="60"/>
      <c r="X68" s="60"/>
      <c r="Y68" s="60"/>
      <c r="Z68" s="60"/>
      <c r="AA68" s="60"/>
      <c r="AB68" s="60"/>
      <c r="AC68" s="60"/>
      <c r="AD68" s="60"/>
      <c r="AE68" s="60"/>
      <c r="AF68" s="60"/>
      <c r="AG68" s="60"/>
      <c r="AH68" s="60"/>
      <c r="AI68" s="60"/>
      <c r="AJ68" s="60"/>
      <c r="AK68" s="60"/>
      <c r="AL68" s="60"/>
      <c r="AM68" s="60"/>
      <c r="AN68" s="60"/>
      <c r="AO68" s="60"/>
      <c r="AP68" s="60"/>
      <c r="AQ68" s="60"/>
      <c r="AR68" s="60"/>
      <c r="AS68" s="60"/>
      <c r="AT68" s="60"/>
      <c r="AU68" s="60"/>
      <c r="AV68" s="60"/>
      <c r="AW68" s="60"/>
      <c r="AX68" s="60"/>
      <c r="AY68" s="60"/>
      <c r="AZ68" s="60"/>
      <c r="BA68" s="60"/>
      <c r="BB68" s="60"/>
      <c r="BC68" s="60"/>
      <c r="BD68" s="60"/>
      <c r="BE68" s="60"/>
      <c r="BF68" s="60"/>
      <c r="BG68" s="60"/>
      <c r="BH68" s="60"/>
      <c r="BI68" s="60"/>
    </row>
    <row r="69" spans="1:124" s="23" customFormat="1" ht="21" customHeight="1" x14ac:dyDescent="0.35">
      <c r="A69" s="15" t="s">
        <v>221</v>
      </c>
      <c r="B69" s="51">
        <f>+Base!B69</f>
        <v>3.3750000000000002E-2</v>
      </c>
      <c r="C69" s="60"/>
      <c r="D69" s="60"/>
      <c r="E69" s="60"/>
      <c r="F69" s="60"/>
      <c r="G69" s="60"/>
      <c r="H69" s="60"/>
      <c r="I69" s="60"/>
      <c r="J69" s="60"/>
      <c r="K69" s="60"/>
      <c r="L69" s="60"/>
      <c r="M69" s="60"/>
      <c r="N69" s="60"/>
      <c r="O69" s="60"/>
      <c r="P69" s="60"/>
      <c r="Q69" s="60"/>
      <c r="R69" s="60"/>
      <c r="S69" s="60"/>
      <c r="T69" s="60"/>
      <c r="U69" s="60"/>
      <c r="V69" s="60"/>
      <c r="W69" s="60"/>
      <c r="X69" s="60"/>
      <c r="Y69" s="60"/>
      <c r="Z69" s="60"/>
      <c r="AA69" s="60"/>
      <c r="AB69" s="60"/>
      <c r="AC69" s="60"/>
      <c r="AD69" s="60"/>
      <c r="AE69" s="60"/>
      <c r="AF69" s="60"/>
      <c r="AG69" s="60"/>
      <c r="AH69" s="60"/>
      <c r="AI69" s="60"/>
      <c r="AJ69" s="60"/>
      <c r="AK69" s="60"/>
      <c r="AL69" s="60"/>
      <c r="AM69" s="60"/>
      <c r="AN69" s="60"/>
      <c r="AO69" s="60"/>
      <c r="AP69" s="60"/>
      <c r="AQ69" s="60"/>
      <c r="AR69" s="60"/>
      <c r="AS69" s="60"/>
      <c r="AT69" s="60"/>
      <c r="AU69" s="60"/>
      <c r="AV69" s="60"/>
      <c r="AW69" s="60"/>
      <c r="AX69" s="60"/>
      <c r="AY69" s="60"/>
      <c r="AZ69" s="60"/>
      <c r="BA69" s="60"/>
      <c r="BB69" s="60"/>
      <c r="BC69" s="60"/>
      <c r="BD69" s="60"/>
      <c r="BE69" s="60"/>
      <c r="BF69" s="60"/>
      <c r="BG69" s="60"/>
      <c r="BH69" s="60"/>
      <c r="BI69" s="60"/>
    </row>
    <row r="70" spans="1:124" s="23" customFormat="1" ht="21" customHeight="1" x14ac:dyDescent="0.35">
      <c r="A70" s="15" t="s">
        <v>222</v>
      </c>
      <c r="B70" s="51">
        <f>+Base!B70</f>
        <v>0.25</v>
      </c>
      <c r="C70" s="60"/>
      <c r="D70" s="60"/>
      <c r="E70" s="60"/>
      <c r="F70" s="60"/>
      <c r="G70" s="60"/>
      <c r="H70" s="60"/>
      <c r="I70" s="60"/>
      <c r="J70" s="60"/>
      <c r="K70" s="60"/>
      <c r="L70" s="60"/>
      <c r="M70" s="60"/>
      <c r="N70" s="60"/>
      <c r="O70" s="60"/>
      <c r="P70" s="60"/>
      <c r="Q70" s="60"/>
      <c r="R70" s="60"/>
      <c r="S70" s="60"/>
      <c r="T70" s="60"/>
      <c r="U70" s="60"/>
      <c r="V70" s="60"/>
      <c r="W70" s="60"/>
      <c r="X70" s="60"/>
      <c r="Y70" s="60"/>
      <c r="Z70" s="60"/>
      <c r="AA70" s="60"/>
      <c r="AB70" s="60"/>
      <c r="AC70" s="60"/>
      <c r="AD70" s="60"/>
      <c r="AE70" s="60"/>
      <c r="AF70" s="60"/>
      <c r="AG70" s="60"/>
      <c r="AH70" s="60"/>
      <c r="AI70" s="60"/>
      <c r="AJ70" s="60"/>
      <c r="AK70" s="60"/>
      <c r="AL70" s="60"/>
      <c r="AM70" s="60"/>
      <c r="AN70" s="60"/>
      <c r="AO70" s="60"/>
      <c r="AP70" s="60"/>
      <c r="AQ70" s="60"/>
      <c r="AR70" s="60"/>
      <c r="AS70" s="60"/>
      <c r="AT70" s="60"/>
      <c r="AU70" s="60"/>
      <c r="AV70" s="60"/>
      <c r="AW70" s="60"/>
      <c r="AX70" s="60"/>
      <c r="AY70" s="60"/>
      <c r="AZ70" s="60"/>
      <c r="BA70" s="60"/>
      <c r="BB70" s="60"/>
      <c r="BC70" s="60"/>
      <c r="BD70" s="60"/>
      <c r="BE70" s="60"/>
      <c r="BF70" s="60"/>
      <c r="BG70" s="60"/>
      <c r="BH70" s="60"/>
      <c r="BI70" s="60"/>
    </row>
    <row r="71" spans="1:124" s="23" customFormat="1" ht="21" customHeight="1" x14ac:dyDescent="0.35">
      <c r="A71" s="15" t="s">
        <v>223</v>
      </c>
      <c r="B71" s="51">
        <f>+Base!B71</f>
        <v>99.966250000000002</v>
      </c>
      <c r="C71" s="60"/>
      <c r="D71" s="60"/>
      <c r="E71" s="60"/>
      <c r="F71" s="60"/>
      <c r="G71" s="60"/>
      <c r="H71" s="60"/>
      <c r="I71" s="60"/>
      <c r="J71" s="60"/>
      <c r="K71" s="60"/>
      <c r="L71" s="60"/>
      <c r="M71" s="60"/>
      <c r="N71" s="60"/>
      <c r="O71" s="60"/>
      <c r="P71" s="60"/>
      <c r="Q71" s="60"/>
      <c r="R71" s="60"/>
      <c r="S71" s="60"/>
      <c r="T71" s="60"/>
      <c r="U71" s="60"/>
      <c r="V71" s="60"/>
      <c r="W71" s="60"/>
      <c r="X71" s="60"/>
      <c r="Y71" s="60"/>
      <c r="Z71" s="60"/>
      <c r="AA71" s="60"/>
      <c r="AB71" s="60"/>
      <c r="AC71" s="60"/>
      <c r="AD71" s="60"/>
      <c r="AE71" s="60"/>
      <c r="AF71" s="60"/>
      <c r="AG71" s="60"/>
      <c r="AH71" s="60"/>
      <c r="AI71" s="60"/>
      <c r="AJ71" s="60"/>
      <c r="AK71" s="60"/>
      <c r="AL71" s="60"/>
      <c r="AM71" s="60"/>
      <c r="AN71" s="60"/>
      <c r="AO71" s="60"/>
      <c r="AP71" s="60"/>
      <c r="AQ71" s="60"/>
      <c r="AR71" s="60"/>
      <c r="AS71" s="60"/>
      <c r="AT71" s="60"/>
      <c r="AU71" s="60"/>
      <c r="AV71" s="60"/>
      <c r="AW71" s="60"/>
      <c r="AX71" s="60"/>
      <c r="AY71" s="60"/>
      <c r="AZ71" s="60"/>
      <c r="BA71" s="60"/>
      <c r="BB71" s="60"/>
      <c r="BC71" s="60"/>
      <c r="BD71" s="60"/>
      <c r="BE71" s="60"/>
      <c r="BF71" s="60"/>
      <c r="BG71" s="60"/>
      <c r="BH71" s="60"/>
      <c r="BI71" s="60"/>
    </row>
    <row r="72" spans="1:124" s="23" customFormat="1" ht="21" customHeight="1" thickBot="1" x14ac:dyDescent="0.35">
      <c r="A72" s="82" t="s">
        <v>225</v>
      </c>
      <c r="B72" s="60"/>
      <c r="C72" s="60"/>
      <c r="D72" s="60"/>
      <c r="E72" s="60"/>
      <c r="F72" s="60"/>
      <c r="G72" s="60"/>
      <c r="H72" s="60"/>
      <c r="I72" s="60"/>
      <c r="J72" s="60"/>
      <c r="K72" s="60"/>
      <c r="L72" s="60"/>
      <c r="M72" s="60"/>
      <c r="N72" s="60"/>
      <c r="O72" s="60"/>
      <c r="P72" s="60"/>
      <c r="Q72" s="60"/>
      <c r="R72" s="60"/>
      <c r="S72" s="60"/>
      <c r="T72" s="60"/>
      <c r="U72" s="60"/>
      <c r="V72" s="60"/>
      <c r="W72" s="60"/>
      <c r="X72" s="60"/>
      <c r="Y72" s="60"/>
      <c r="Z72" s="60"/>
      <c r="AA72" s="60"/>
      <c r="AB72" s="60"/>
      <c r="AC72" s="60"/>
      <c r="AD72" s="60"/>
      <c r="AE72" s="60"/>
      <c r="AF72" s="60"/>
      <c r="AG72" s="60"/>
      <c r="AH72" s="60"/>
      <c r="AI72" s="60"/>
      <c r="AJ72" s="60"/>
      <c r="AK72" s="60"/>
      <c r="AL72" s="60"/>
      <c r="AM72" s="60"/>
      <c r="AN72" s="60"/>
      <c r="AO72" s="60"/>
      <c r="AP72" s="60"/>
      <c r="AQ72" s="60"/>
      <c r="AR72" s="60"/>
      <c r="AS72" s="60"/>
      <c r="AT72" s="60"/>
      <c r="AU72" s="60"/>
      <c r="AV72" s="60"/>
      <c r="AW72" s="60"/>
      <c r="AX72" s="60"/>
      <c r="AY72" s="60"/>
      <c r="AZ72" s="60"/>
      <c r="BA72" s="60"/>
      <c r="BB72" s="60"/>
      <c r="BC72" s="60"/>
      <c r="BD72" s="60"/>
      <c r="BE72" s="60"/>
      <c r="BF72" s="60"/>
      <c r="BG72" s="60"/>
      <c r="BH72" s="60"/>
      <c r="BI72" s="60"/>
    </row>
    <row r="73" spans="1:124" s="23" customFormat="1" ht="21" customHeight="1" thickTop="1" x14ac:dyDescent="0.35">
      <c r="A73" s="15" t="s">
        <v>42</v>
      </c>
      <c r="B73" s="51">
        <f>+Base!B73</f>
        <v>7.9999999999999932E-3</v>
      </c>
      <c r="C73" s="51">
        <f>+Base!C73</f>
        <v>4.1999999999999982E-2</v>
      </c>
      <c r="D73" s="51">
        <f>+Base!D73</f>
        <v>7.5999999999999984E-2</v>
      </c>
      <c r="E73" s="51">
        <f>+Base!E73</f>
        <v>0.10999999999999999</v>
      </c>
      <c r="F73" s="51">
        <f>+Base!F73</f>
        <v>0.14399999999999996</v>
      </c>
      <c r="G73" s="51">
        <f>+Base!G73</f>
        <v>0.17799999999999996</v>
      </c>
      <c r="H73" s="51">
        <f>+Base!H73</f>
        <v>0.21199999999999997</v>
      </c>
      <c r="I73" s="51">
        <f>+Base!I73</f>
        <v>0.24599999999999994</v>
      </c>
      <c r="J73" s="51">
        <f>+Base!J73</f>
        <v>0.27999999999999997</v>
      </c>
      <c r="K73" s="51">
        <f>+Base!K73</f>
        <v>0.31399999999999995</v>
      </c>
      <c r="L73" s="51">
        <f>+Base!L73</f>
        <v>0.34799999999999992</v>
      </c>
      <c r="M73" s="51">
        <f>+Base!M73</f>
        <v>0.38199999999999995</v>
      </c>
      <c r="N73" s="51">
        <f>+Base!N73</f>
        <v>0.41599999999999993</v>
      </c>
      <c r="O73" s="51">
        <f>+Base!O73</f>
        <v>0.4499999999999999</v>
      </c>
      <c r="P73" s="51">
        <f>+Base!P73</f>
        <v>0.48399999999999993</v>
      </c>
      <c r="Q73" s="51">
        <f>+Base!Q73</f>
        <v>0.51800000000000002</v>
      </c>
      <c r="R73" s="51">
        <f>+Base!R73</f>
        <v>0.55199999999999982</v>
      </c>
      <c r="S73" s="51">
        <f>+Base!S73</f>
        <v>0.58599999999999985</v>
      </c>
      <c r="T73" s="51">
        <f>+Base!T73</f>
        <v>0.62</v>
      </c>
      <c r="U73" s="51">
        <f>+Base!U73</f>
        <v>0.62</v>
      </c>
      <c r="V73" s="51">
        <f>+Base!V73</f>
        <v>0.62</v>
      </c>
      <c r="W73" s="51">
        <f>+Base!W73</f>
        <v>0.62</v>
      </c>
      <c r="X73" s="51">
        <f>+Base!X73</f>
        <v>0.62</v>
      </c>
      <c r="Y73" s="51">
        <f>+Base!Y73</f>
        <v>0.62</v>
      </c>
      <c r="Z73" s="51">
        <f>+Base!Z73</f>
        <v>0.62</v>
      </c>
      <c r="AA73" s="51">
        <f>+Base!AA73</f>
        <v>0.62</v>
      </c>
      <c r="AB73" s="51">
        <f>+Base!AB73</f>
        <v>0.62</v>
      </c>
      <c r="AC73" s="51">
        <f>+Base!AC73</f>
        <v>0.62</v>
      </c>
      <c r="AD73" s="51">
        <f>+Base!AD73</f>
        <v>0.62</v>
      </c>
      <c r="AE73" s="51">
        <f>+Base!AE73</f>
        <v>0.62</v>
      </c>
      <c r="AF73" s="51">
        <f>+Base!AF73</f>
        <v>0.62</v>
      </c>
      <c r="AG73" s="51">
        <f>+Base!AG73</f>
        <v>0.62</v>
      </c>
      <c r="AH73" s="51">
        <f>+Base!AH73</f>
        <v>0.62</v>
      </c>
      <c r="AI73" s="51">
        <f>+Base!AI73</f>
        <v>0.62</v>
      </c>
      <c r="AJ73" s="51">
        <f>+Base!AJ73</f>
        <v>0.62</v>
      </c>
      <c r="AK73" s="51">
        <f>+Base!AK73</f>
        <v>0.62</v>
      </c>
      <c r="AL73" s="51">
        <f>+Base!AL73</f>
        <v>0.62</v>
      </c>
      <c r="AM73" s="51">
        <f>+Base!AM73</f>
        <v>0.62</v>
      </c>
      <c r="AN73" s="51">
        <f>+Base!AN73</f>
        <v>0.62</v>
      </c>
      <c r="AO73" s="51">
        <f>+Base!AO73</f>
        <v>0.62</v>
      </c>
      <c r="AP73" s="51">
        <f>+Base!AP73</f>
        <v>0.62</v>
      </c>
      <c r="AQ73" s="51">
        <f>+Base!AQ73</f>
        <v>0.62</v>
      </c>
      <c r="AR73" s="51">
        <f>+Base!AR73</f>
        <v>0.62</v>
      </c>
      <c r="AS73" s="51">
        <f>+Base!AS73</f>
        <v>0.62</v>
      </c>
      <c r="AT73" s="51">
        <f>+Base!AT73</f>
        <v>0.62</v>
      </c>
      <c r="AU73" s="51">
        <f>+Base!AU73</f>
        <v>0.62</v>
      </c>
      <c r="AV73" s="51">
        <f>+Base!AV73</f>
        <v>0.62</v>
      </c>
      <c r="AW73" s="51">
        <f>+Base!AW73</f>
        <v>0.62</v>
      </c>
      <c r="AX73" s="51">
        <f>+Base!AX73</f>
        <v>0.62</v>
      </c>
      <c r="AY73" s="51">
        <f>+Base!AY73</f>
        <v>0.62</v>
      </c>
      <c r="AZ73" s="51">
        <f>+Base!AZ73</f>
        <v>0.62</v>
      </c>
      <c r="BA73" s="51">
        <f>+Base!BA73</f>
        <v>0.62</v>
      </c>
      <c r="BB73" s="51">
        <f>+Base!BB73</f>
        <v>0.62</v>
      </c>
      <c r="BC73" s="51">
        <f>+Base!BC73</f>
        <v>0.62</v>
      </c>
      <c r="BD73" s="51">
        <f>+Base!BD73</f>
        <v>0.62</v>
      </c>
      <c r="BE73" s="51">
        <f>+Base!BE73</f>
        <v>0.62</v>
      </c>
      <c r="BF73" s="51">
        <f>+Base!BF73</f>
        <v>0.62</v>
      </c>
      <c r="BG73" s="51">
        <f>+Base!BG73</f>
        <v>0.62</v>
      </c>
      <c r="BH73" s="51">
        <f>+Base!BH73</f>
        <v>0.62</v>
      </c>
      <c r="BI73" s="51">
        <f>+Base!BI73</f>
        <v>0.62</v>
      </c>
      <c r="BJ73" s="60"/>
      <c r="BK73" s="60"/>
      <c r="BL73" s="60"/>
      <c r="BM73" s="60"/>
      <c r="BN73" s="60"/>
      <c r="BO73" s="60"/>
      <c r="BP73" s="60"/>
      <c r="BQ73" s="60"/>
      <c r="BR73" s="60"/>
      <c r="BS73" s="60"/>
      <c r="BT73" s="60"/>
      <c r="BU73" s="60"/>
      <c r="BV73" s="60"/>
      <c r="BW73" s="60"/>
      <c r="BX73" s="60"/>
      <c r="BY73" s="60"/>
      <c r="BZ73" s="60"/>
      <c r="CA73" s="60"/>
      <c r="CB73" s="60"/>
      <c r="CC73" s="60"/>
      <c r="CD73" s="60"/>
      <c r="CE73" s="60"/>
      <c r="CF73" s="60"/>
      <c r="CG73" s="60"/>
      <c r="CH73" s="60"/>
      <c r="CI73" s="60"/>
      <c r="CJ73" s="60"/>
      <c r="CK73" s="60"/>
      <c r="CL73" s="60"/>
      <c r="CM73" s="60"/>
      <c r="CN73" s="60"/>
      <c r="CO73" s="60"/>
      <c r="CP73" s="60"/>
      <c r="CQ73" s="60"/>
      <c r="CR73" s="60"/>
      <c r="CS73" s="60"/>
      <c r="CT73" s="60"/>
      <c r="CU73" s="60"/>
      <c r="CV73" s="60"/>
      <c r="CW73" s="60"/>
      <c r="CX73" s="60"/>
      <c r="CY73" s="60"/>
      <c r="CZ73" s="60"/>
      <c r="DA73" s="60"/>
      <c r="DB73" s="60"/>
      <c r="DC73" s="60"/>
      <c r="DD73" s="60"/>
      <c r="DE73" s="60"/>
      <c r="DF73" s="60"/>
      <c r="DG73" s="60"/>
      <c r="DH73" s="60"/>
      <c r="DI73" s="60"/>
      <c r="DJ73" s="60"/>
      <c r="DK73" s="60"/>
      <c r="DL73" s="60"/>
      <c r="DM73" s="60"/>
      <c r="DN73" s="60"/>
      <c r="DO73" s="60"/>
      <c r="DP73" s="60"/>
      <c r="DQ73" s="60"/>
      <c r="DR73" s="60"/>
      <c r="DS73" s="60"/>
      <c r="DT73" s="60"/>
    </row>
    <row r="74" spans="1:124" s="23" customFormat="1" ht="21" customHeight="1" x14ac:dyDescent="0.35">
      <c r="A74" s="15" t="s">
        <v>186</v>
      </c>
      <c r="B74" s="51">
        <f>+Base!B74</f>
        <v>-0.06</v>
      </c>
      <c r="C74" s="60"/>
      <c r="D74" s="60"/>
      <c r="E74" s="60"/>
      <c r="F74" s="60"/>
      <c r="G74" s="60"/>
      <c r="H74" s="60"/>
      <c r="I74" s="60"/>
      <c r="J74" s="60"/>
      <c r="K74" s="60"/>
      <c r="L74" s="60"/>
      <c r="M74" s="60"/>
      <c r="N74" s="60"/>
      <c r="O74" s="60"/>
      <c r="P74" s="60"/>
      <c r="Q74" s="60"/>
      <c r="R74" s="60"/>
      <c r="S74" s="60"/>
      <c r="T74" s="60"/>
      <c r="U74" s="60"/>
      <c r="V74" s="60"/>
      <c r="W74" s="60"/>
      <c r="X74" s="60"/>
      <c r="Y74" s="60"/>
      <c r="Z74" s="60"/>
      <c r="AA74" s="60"/>
      <c r="AB74" s="60"/>
      <c r="AC74" s="60"/>
      <c r="AD74" s="60"/>
      <c r="AE74" s="60"/>
      <c r="AF74" s="60"/>
      <c r="AG74" s="60"/>
      <c r="AH74" s="60"/>
      <c r="AI74" s="60"/>
      <c r="AJ74" s="60"/>
      <c r="AK74" s="60"/>
      <c r="AL74" s="60"/>
      <c r="AM74" s="60"/>
      <c r="AN74" s="60"/>
      <c r="AO74" s="60"/>
      <c r="AP74" s="60"/>
      <c r="AQ74" s="60"/>
      <c r="AR74" s="60"/>
      <c r="AS74" s="60"/>
      <c r="AT74" s="60"/>
      <c r="AU74" s="60"/>
      <c r="AV74" s="60"/>
      <c r="AW74" s="60"/>
      <c r="AX74" s="60"/>
      <c r="AY74" s="60"/>
      <c r="AZ74" s="60"/>
      <c r="BA74" s="60"/>
      <c r="BB74" s="60"/>
      <c r="BC74" s="60"/>
      <c r="BD74" s="60"/>
      <c r="BE74" s="60"/>
      <c r="BF74" s="60"/>
      <c r="BG74" s="60"/>
      <c r="BH74" s="60"/>
      <c r="BI74" s="60"/>
    </row>
    <row r="75" spans="1:124" s="23" customFormat="1" ht="21" customHeight="1" x14ac:dyDescent="0.35">
      <c r="A75" s="15" t="s">
        <v>187</v>
      </c>
      <c r="B75" s="51">
        <f>+Base!B75</f>
        <v>0.62</v>
      </c>
      <c r="C75" s="60"/>
      <c r="D75" s="60"/>
      <c r="E75" s="60"/>
      <c r="F75" s="60"/>
      <c r="G75" s="60"/>
      <c r="H75" s="60"/>
      <c r="I75" s="60"/>
      <c r="J75" s="60"/>
      <c r="K75" s="60"/>
      <c r="L75" s="60"/>
      <c r="M75" s="60"/>
      <c r="N75" s="60"/>
      <c r="O75" s="60"/>
      <c r="P75" s="60"/>
      <c r="Q75" s="60"/>
      <c r="R75" s="60"/>
      <c r="S75" s="60"/>
      <c r="T75" s="60"/>
      <c r="U75" s="60"/>
      <c r="V75" s="60"/>
      <c r="W75" s="60"/>
      <c r="X75" s="60"/>
      <c r="Y75" s="60"/>
      <c r="Z75" s="60"/>
      <c r="AA75" s="60"/>
      <c r="AB75" s="60"/>
      <c r="AC75" s="60"/>
      <c r="AD75" s="60"/>
      <c r="AE75" s="60"/>
      <c r="AF75" s="60"/>
      <c r="AG75" s="60"/>
      <c r="AH75" s="60"/>
      <c r="AI75" s="60"/>
      <c r="AJ75" s="60"/>
      <c r="AK75" s="60"/>
      <c r="AL75" s="60"/>
      <c r="AM75" s="60"/>
      <c r="AN75" s="60"/>
      <c r="AO75" s="60"/>
      <c r="AP75" s="60"/>
      <c r="AQ75" s="60"/>
      <c r="AR75" s="60"/>
      <c r="AS75" s="60"/>
      <c r="AT75" s="60"/>
      <c r="AU75" s="60"/>
      <c r="AV75" s="60"/>
      <c r="AW75" s="60"/>
      <c r="AX75" s="60"/>
      <c r="AY75" s="60"/>
      <c r="AZ75" s="60"/>
      <c r="BA75" s="60"/>
      <c r="BB75" s="60"/>
      <c r="BC75" s="60"/>
      <c r="BD75" s="60"/>
      <c r="BE75" s="60"/>
      <c r="BF75" s="60"/>
      <c r="BG75" s="60"/>
      <c r="BH75" s="60"/>
      <c r="BI75" s="60"/>
    </row>
    <row r="76" spans="1:124" s="23" customFormat="1" ht="21" customHeight="1" x14ac:dyDescent="0.35">
      <c r="A76" s="15" t="s">
        <v>188</v>
      </c>
      <c r="B76" s="51">
        <f>+Base!B76</f>
        <v>0.83</v>
      </c>
      <c r="C76" s="60"/>
      <c r="D76" s="60"/>
      <c r="E76" s="60"/>
      <c r="F76" s="60"/>
      <c r="G76" s="60"/>
      <c r="H76" s="60"/>
      <c r="I76" s="60"/>
      <c r="J76" s="60"/>
      <c r="K76" s="60"/>
      <c r="L76" s="60"/>
      <c r="M76" s="60"/>
      <c r="N76" s="60"/>
      <c r="O76" s="60"/>
      <c r="P76" s="60"/>
      <c r="Q76" s="60"/>
      <c r="R76" s="60"/>
      <c r="S76" s="60"/>
      <c r="T76" s="60"/>
      <c r="U76" s="60"/>
      <c r="V76" s="60"/>
      <c r="W76" s="60"/>
      <c r="X76" s="60"/>
      <c r="Y76" s="60"/>
      <c r="Z76" s="60"/>
      <c r="AA76" s="60"/>
      <c r="AB76" s="60"/>
      <c r="AC76" s="60"/>
      <c r="AD76" s="60"/>
      <c r="AE76" s="60"/>
      <c r="AF76" s="60"/>
      <c r="AG76" s="60"/>
      <c r="AH76" s="60"/>
      <c r="AI76" s="60"/>
      <c r="AJ76" s="60"/>
      <c r="AK76" s="60"/>
      <c r="AL76" s="60"/>
      <c r="AM76" s="60"/>
      <c r="AN76" s="60"/>
      <c r="AO76" s="60"/>
      <c r="AP76" s="60"/>
      <c r="AQ76" s="60"/>
      <c r="AR76" s="60"/>
      <c r="AS76" s="60"/>
      <c r="AT76" s="60"/>
      <c r="AU76" s="60"/>
      <c r="AV76" s="60"/>
      <c r="AW76" s="60"/>
      <c r="AX76" s="60"/>
      <c r="AY76" s="60"/>
      <c r="AZ76" s="60"/>
      <c r="BA76" s="60"/>
      <c r="BB76" s="60"/>
      <c r="BC76" s="60"/>
      <c r="BD76" s="60"/>
      <c r="BE76" s="60"/>
      <c r="BF76" s="60"/>
      <c r="BG76" s="60"/>
      <c r="BH76" s="60"/>
      <c r="BI76" s="60"/>
    </row>
    <row r="77" spans="1:124" s="23" customFormat="1" ht="21" customHeight="1" x14ac:dyDescent="0.35">
      <c r="A77" s="15" t="s">
        <v>5</v>
      </c>
      <c r="B77" s="51">
        <f>+Base!B77</f>
        <v>6.7999999999999996E-3</v>
      </c>
      <c r="C77" s="60"/>
      <c r="D77" s="60"/>
      <c r="E77" s="60"/>
      <c r="F77" s="60"/>
      <c r="G77" s="60"/>
      <c r="H77" s="60"/>
      <c r="I77" s="60"/>
      <c r="J77" s="60"/>
      <c r="K77" s="60"/>
      <c r="L77" s="60"/>
      <c r="M77" s="60"/>
      <c r="N77" s="60"/>
      <c r="O77" s="60"/>
      <c r="P77" s="60"/>
      <c r="Q77" s="60"/>
      <c r="R77" s="60"/>
      <c r="S77" s="60"/>
      <c r="T77" s="60"/>
      <c r="U77" s="60"/>
      <c r="V77" s="60"/>
      <c r="W77" s="60"/>
      <c r="X77" s="60"/>
      <c r="Y77" s="60"/>
      <c r="Z77" s="60"/>
      <c r="AA77" s="60"/>
      <c r="AB77" s="60"/>
      <c r="AC77" s="60"/>
      <c r="AD77" s="60"/>
      <c r="AE77" s="60"/>
      <c r="AF77" s="60"/>
      <c r="AG77" s="60"/>
      <c r="AH77" s="60"/>
      <c r="AI77" s="60"/>
      <c r="AJ77" s="60"/>
      <c r="AK77" s="60"/>
      <c r="AL77" s="60"/>
      <c r="AM77" s="60"/>
      <c r="AN77" s="60"/>
      <c r="AO77" s="60"/>
      <c r="AP77" s="60"/>
      <c r="AQ77" s="60"/>
      <c r="AR77" s="60"/>
      <c r="AS77" s="60"/>
      <c r="AT77" s="60"/>
      <c r="AU77" s="60"/>
      <c r="AV77" s="60"/>
      <c r="AW77" s="60"/>
      <c r="AX77" s="60"/>
      <c r="AY77" s="60"/>
      <c r="AZ77" s="60"/>
      <c r="BA77" s="60"/>
      <c r="BB77" s="60"/>
      <c r="BC77" s="60"/>
      <c r="BD77" s="60"/>
      <c r="BE77" s="60"/>
      <c r="BF77" s="60"/>
      <c r="BG77" s="60"/>
      <c r="BH77" s="60"/>
      <c r="BI77" s="60"/>
    </row>
    <row r="78" spans="1:124" s="23" customFormat="1" ht="21" customHeight="1" thickBot="1" x14ac:dyDescent="0.35">
      <c r="A78" s="82" t="s">
        <v>227</v>
      </c>
      <c r="B78" s="60"/>
      <c r="C78" s="60"/>
      <c r="D78" s="60"/>
      <c r="E78" s="60"/>
      <c r="F78" s="60"/>
      <c r="G78" s="60"/>
      <c r="H78" s="60"/>
      <c r="I78" s="60"/>
      <c r="J78" s="60"/>
      <c r="K78" s="60"/>
      <c r="L78" s="60"/>
      <c r="M78" s="60"/>
      <c r="N78" s="60"/>
      <c r="O78" s="60"/>
      <c r="P78" s="60"/>
      <c r="Q78" s="60"/>
      <c r="R78" s="60"/>
      <c r="S78" s="60"/>
      <c r="T78" s="60"/>
      <c r="U78" s="60"/>
      <c r="V78" s="60"/>
      <c r="W78" s="60"/>
      <c r="X78" s="60"/>
      <c r="Y78" s="60"/>
      <c r="Z78" s="60"/>
      <c r="AA78" s="60"/>
      <c r="AB78" s="60"/>
      <c r="AC78" s="60"/>
      <c r="AD78" s="60"/>
      <c r="AE78" s="60"/>
      <c r="AF78" s="60"/>
      <c r="AG78" s="60"/>
      <c r="AH78" s="60"/>
      <c r="AI78" s="60"/>
      <c r="AJ78" s="60"/>
      <c r="AK78" s="60"/>
      <c r="AL78" s="60"/>
      <c r="AM78" s="60"/>
      <c r="AN78" s="60"/>
      <c r="AO78" s="60"/>
      <c r="AP78" s="60"/>
      <c r="AQ78" s="60"/>
      <c r="AR78" s="60"/>
      <c r="AS78" s="60"/>
      <c r="AT78" s="60"/>
      <c r="AU78" s="60"/>
      <c r="AV78" s="60"/>
      <c r="AW78" s="60"/>
      <c r="AX78" s="60"/>
      <c r="AY78" s="60"/>
      <c r="AZ78" s="60"/>
      <c r="BA78" s="60"/>
      <c r="BB78" s="60"/>
      <c r="BC78" s="60"/>
      <c r="BD78" s="60"/>
      <c r="BE78" s="60"/>
      <c r="BF78" s="60"/>
      <c r="BG78" s="60"/>
      <c r="BH78" s="60"/>
      <c r="BI78" s="60"/>
    </row>
    <row r="79" spans="1:124" s="23" customFormat="1" ht="21" customHeight="1" thickTop="1" x14ac:dyDescent="0.35">
      <c r="A79" s="15" t="s">
        <v>72</v>
      </c>
      <c r="B79" s="51">
        <f>+Base!B79</f>
        <v>3.2</v>
      </c>
      <c r="C79" s="60"/>
      <c r="D79" s="60"/>
      <c r="E79" s="60"/>
      <c r="F79" s="60"/>
      <c r="G79" s="60"/>
      <c r="H79" s="60"/>
      <c r="I79" s="60"/>
      <c r="J79" s="60"/>
      <c r="K79" s="60"/>
      <c r="L79" s="60"/>
      <c r="M79" s="60"/>
      <c r="N79" s="60"/>
      <c r="O79" s="60"/>
      <c r="P79" s="60"/>
      <c r="Q79" s="60"/>
      <c r="R79" s="60"/>
      <c r="S79" s="60"/>
      <c r="T79" s="60"/>
      <c r="U79" s="60"/>
      <c r="V79" s="60"/>
      <c r="W79" s="60"/>
      <c r="X79" s="60"/>
      <c r="Y79" s="60"/>
      <c r="Z79" s="60"/>
      <c r="AA79" s="60"/>
      <c r="AB79" s="60"/>
      <c r="AC79" s="60"/>
      <c r="AD79" s="60"/>
      <c r="AE79" s="60"/>
      <c r="AF79" s="60"/>
      <c r="AG79" s="60"/>
      <c r="AH79" s="60"/>
      <c r="AI79" s="60"/>
      <c r="AJ79" s="60"/>
      <c r="AK79" s="60"/>
      <c r="AL79" s="60"/>
      <c r="AM79" s="60"/>
      <c r="AN79" s="60"/>
      <c r="AO79" s="60"/>
      <c r="AP79" s="60"/>
      <c r="AQ79" s="60"/>
      <c r="AR79" s="60"/>
      <c r="AS79" s="60"/>
      <c r="AT79" s="60"/>
      <c r="AU79" s="60"/>
      <c r="AV79" s="60"/>
      <c r="AW79" s="60"/>
      <c r="AX79" s="60"/>
      <c r="AY79" s="60"/>
      <c r="AZ79" s="60"/>
      <c r="BA79" s="60"/>
      <c r="BB79" s="60"/>
      <c r="BC79" s="60"/>
      <c r="BD79" s="60"/>
      <c r="BE79" s="60"/>
      <c r="BF79" s="60"/>
      <c r="BG79" s="60"/>
      <c r="BH79" s="60"/>
      <c r="BI79" s="60"/>
    </row>
    <row r="80" spans="1:124" s="23" customFormat="1" ht="21" customHeight="1" x14ac:dyDescent="0.35">
      <c r="A80" s="15" t="s">
        <v>226</v>
      </c>
      <c r="B80" s="51">
        <f>+Base!B80</f>
        <v>3.8</v>
      </c>
      <c r="C80" s="60"/>
      <c r="D80" s="60"/>
      <c r="E80" s="60"/>
      <c r="F80" s="60"/>
      <c r="G80" s="60"/>
      <c r="H80" s="60"/>
      <c r="I80" s="60"/>
      <c r="J80" s="60"/>
      <c r="K80" s="60"/>
      <c r="L80" s="60"/>
      <c r="M80" s="60"/>
      <c r="N80" s="60"/>
      <c r="O80" s="60"/>
      <c r="P80" s="60"/>
      <c r="Q80" s="60"/>
      <c r="R80" s="60"/>
      <c r="S80" s="60"/>
      <c r="T80" s="60"/>
      <c r="U80" s="60"/>
      <c r="V80" s="60"/>
      <c r="W80" s="60"/>
      <c r="X80" s="60"/>
      <c r="Y80" s="60"/>
      <c r="Z80" s="60"/>
      <c r="AA80" s="60"/>
      <c r="AB80" s="60"/>
      <c r="AC80" s="60"/>
      <c r="AD80" s="60"/>
      <c r="AE80" s="60"/>
      <c r="AF80" s="60"/>
      <c r="AG80" s="60"/>
      <c r="AH80" s="60"/>
      <c r="AI80" s="60"/>
      <c r="AJ80" s="60"/>
      <c r="AK80" s="60"/>
      <c r="AL80" s="60"/>
      <c r="AM80" s="60"/>
      <c r="AN80" s="60"/>
      <c r="AO80" s="60"/>
      <c r="AP80" s="60"/>
      <c r="AQ80" s="60"/>
      <c r="AR80" s="60"/>
      <c r="AS80" s="60"/>
      <c r="AT80" s="60"/>
      <c r="AU80" s="60"/>
      <c r="AV80" s="60"/>
      <c r="AW80" s="60"/>
      <c r="AX80" s="60"/>
      <c r="AY80" s="60"/>
      <c r="AZ80" s="60"/>
      <c r="BA80" s="60"/>
      <c r="BB80" s="60"/>
      <c r="BC80" s="60"/>
      <c r="BD80" s="60"/>
      <c r="BE80" s="60"/>
      <c r="BF80" s="60"/>
      <c r="BG80" s="60"/>
      <c r="BH80" s="60"/>
      <c r="BI80" s="60"/>
    </row>
    <row r="81" spans="1:61" s="23" customFormat="1" ht="21" customHeight="1" thickBot="1" x14ac:dyDescent="0.35">
      <c r="A81" s="82" t="s">
        <v>228</v>
      </c>
      <c r="B81" s="60"/>
      <c r="C81" s="60"/>
      <c r="D81" s="60"/>
      <c r="E81" s="60"/>
      <c r="F81" s="60"/>
      <c r="G81" s="60"/>
      <c r="H81" s="60"/>
      <c r="I81" s="60"/>
      <c r="J81" s="60"/>
      <c r="K81" s="60"/>
      <c r="L81" s="60"/>
      <c r="M81" s="60"/>
      <c r="N81" s="60"/>
      <c r="O81" s="60"/>
      <c r="P81" s="60"/>
      <c r="Q81" s="60"/>
      <c r="R81" s="60"/>
      <c r="S81" s="60"/>
      <c r="T81" s="60"/>
      <c r="U81" s="60"/>
      <c r="V81" s="60"/>
      <c r="W81" s="60"/>
      <c r="X81" s="60"/>
      <c r="Y81" s="60"/>
      <c r="Z81" s="60"/>
      <c r="AA81" s="60"/>
      <c r="AB81" s="60"/>
      <c r="AC81" s="60"/>
      <c r="AD81" s="60"/>
      <c r="AE81" s="60"/>
      <c r="AF81" s="60"/>
      <c r="AG81" s="60"/>
      <c r="AH81" s="60"/>
      <c r="AI81" s="60"/>
      <c r="AJ81" s="60"/>
      <c r="AK81" s="60"/>
      <c r="AL81" s="60"/>
      <c r="AM81" s="60"/>
      <c r="AN81" s="60"/>
      <c r="AO81" s="60"/>
      <c r="AP81" s="60"/>
      <c r="AQ81" s="60"/>
      <c r="AR81" s="60"/>
      <c r="AS81" s="60"/>
      <c r="AT81" s="60"/>
      <c r="AU81" s="60"/>
      <c r="AV81" s="60"/>
      <c r="AW81" s="60"/>
      <c r="AX81" s="60"/>
      <c r="AY81" s="60"/>
      <c r="AZ81" s="60"/>
      <c r="BA81" s="60"/>
      <c r="BB81" s="60"/>
      <c r="BC81" s="60"/>
      <c r="BD81" s="60"/>
      <c r="BE81" s="60"/>
      <c r="BF81" s="60"/>
      <c r="BG81" s="60"/>
      <c r="BH81" s="60"/>
      <c r="BI81" s="60"/>
    </row>
    <row r="82" spans="1:61" s="23" customFormat="1" ht="21" customHeight="1" thickTop="1" x14ac:dyDescent="0.35">
      <c r="A82" s="15" t="s">
        <v>39</v>
      </c>
      <c r="B82" s="51">
        <f>+Base!B82</f>
        <v>0.104</v>
      </c>
      <c r="C82" s="60"/>
      <c r="D82" s="60"/>
      <c r="E82" s="60"/>
      <c r="F82" s="60"/>
      <c r="G82" s="60"/>
      <c r="H82" s="60"/>
      <c r="I82" s="60"/>
      <c r="J82" s="60"/>
      <c r="K82" s="60"/>
      <c r="L82" s="60"/>
      <c r="M82" s="60"/>
      <c r="N82" s="60"/>
      <c r="O82" s="60"/>
      <c r="P82" s="60"/>
      <c r="Q82" s="60"/>
      <c r="R82" s="60"/>
      <c r="S82" s="60"/>
      <c r="T82" s="60"/>
      <c r="U82" s="60"/>
      <c r="V82" s="60"/>
      <c r="W82" s="60"/>
      <c r="X82" s="60"/>
      <c r="Y82" s="60"/>
      <c r="Z82" s="60"/>
      <c r="AA82" s="60"/>
      <c r="AB82" s="60"/>
      <c r="AC82" s="60"/>
      <c r="AD82" s="60"/>
      <c r="AE82" s="60"/>
      <c r="AF82" s="60"/>
      <c r="AG82" s="60"/>
      <c r="AH82" s="60"/>
      <c r="AI82" s="60"/>
      <c r="AJ82" s="60"/>
      <c r="AK82" s="60"/>
      <c r="AL82" s="60"/>
      <c r="AM82" s="60"/>
      <c r="AN82" s="60"/>
      <c r="AO82" s="60"/>
      <c r="AP82" s="60"/>
      <c r="AQ82" s="60"/>
      <c r="AR82" s="60"/>
      <c r="AS82" s="60"/>
      <c r="AT82" s="60"/>
      <c r="AU82" s="60"/>
      <c r="AV82" s="60"/>
      <c r="AW82" s="60"/>
      <c r="AX82" s="60"/>
      <c r="AY82" s="60"/>
      <c r="AZ82" s="60"/>
      <c r="BA82" s="60"/>
      <c r="BB82" s="60"/>
      <c r="BC82" s="60"/>
      <c r="BD82" s="60"/>
      <c r="BE82" s="60"/>
      <c r="BF82" s="60"/>
      <c r="BG82" s="60"/>
      <c r="BH82" s="60"/>
      <c r="BI82" s="60"/>
    </row>
    <row r="83" spans="1:61" s="23" customFormat="1" ht="21" customHeight="1" x14ac:dyDescent="0.35">
      <c r="A83" s="15" t="s">
        <v>73</v>
      </c>
      <c r="B83" s="51">
        <f>+Base!B83</f>
        <v>8.7999999999999995E-2</v>
      </c>
      <c r="C83" s="60"/>
      <c r="D83" s="60"/>
      <c r="E83" s="60"/>
      <c r="F83" s="60"/>
      <c r="G83" s="60"/>
      <c r="H83" s="60"/>
      <c r="I83" s="60"/>
      <c r="J83" s="60"/>
      <c r="K83" s="60"/>
      <c r="L83" s="60"/>
      <c r="M83" s="60"/>
      <c r="N83" s="60"/>
      <c r="O83" s="60"/>
      <c r="P83" s="60"/>
      <c r="Q83" s="60"/>
      <c r="R83" s="60"/>
      <c r="S83" s="60"/>
      <c r="T83" s="60"/>
      <c r="U83" s="60"/>
      <c r="V83" s="60"/>
      <c r="W83" s="60"/>
      <c r="X83" s="60"/>
      <c r="Y83" s="60"/>
      <c r="Z83" s="60"/>
      <c r="AA83" s="60"/>
      <c r="AB83" s="60"/>
      <c r="AC83" s="60"/>
      <c r="AD83" s="60"/>
      <c r="AE83" s="60"/>
      <c r="AF83" s="60"/>
      <c r="AG83" s="60"/>
      <c r="AH83" s="60"/>
      <c r="AI83" s="60"/>
      <c r="AJ83" s="60"/>
      <c r="AK83" s="60"/>
      <c r="AL83" s="60"/>
      <c r="AM83" s="60"/>
      <c r="AN83" s="60"/>
      <c r="AO83" s="60"/>
      <c r="AP83" s="60"/>
      <c r="AQ83" s="60"/>
      <c r="AR83" s="60"/>
      <c r="AS83" s="60"/>
      <c r="AT83" s="60"/>
      <c r="AU83" s="60"/>
      <c r="AV83" s="60"/>
      <c r="AW83" s="60"/>
      <c r="AX83" s="60"/>
      <c r="AY83" s="60"/>
      <c r="AZ83" s="60"/>
      <c r="BA83" s="60"/>
      <c r="BB83" s="60"/>
      <c r="BC83" s="60"/>
      <c r="BD83" s="60"/>
      <c r="BE83" s="60"/>
      <c r="BF83" s="60"/>
      <c r="BG83" s="60"/>
      <c r="BH83" s="60"/>
      <c r="BI83" s="60"/>
    </row>
    <row r="84" spans="1:61" s="23" customFormat="1" ht="21" customHeight="1" x14ac:dyDescent="0.35">
      <c r="A84" s="15" t="s">
        <v>16</v>
      </c>
      <c r="B84" s="51">
        <f>+Base!B84</f>
        <v>2.5000000000000001E-2</v>
      </c>
      <c r="C84" s="60"/>
      <c r="D84" s="60"/>
      <c r="E84" s="60"/>
      <c r="F84" s="60"/>
      <c r="G84" s="60"/>
      <c r="H84" s="60"/>
      <c r="I84" s="60"/>
      <c r="J84" s="60"/>
      <c r="K84" s="60"/>
      <c r="L84" s="60"/>
      <c r="M84" s="60"/>
      <c r="N84" s="60"/>
      <c r="O84" s="60"/>
      <c r="P84" s="60"/>
      <c r="Q84" s="60"/>
      <c r="R84" s="60"/>
      <c r="S84" s="60"/>
      <c r="T84" s="60"/>
      <c r="U84" s="60"/>
      <c r="V84" s="60"/>
      <c r="W84" s="60"/>
      <c r="X84" s="60"/>
      <c r="Y84" s="60"/>
      <c r="Z84" s="60"/>
      <c r="AA84" s="60"/>
      <c r="AB84" s="60"/>
      <c r="AC84" s="60"/>
      <c r="AD84" s="60"/>
      <c r="AE84" s="60"/>
      <c r="AF84" s="60"/>
      <c r="AG84" s="60"/>
      <c r="AH84" s="60"/>
      <c r="AI84" s="60"/>
      <c r="AJ84" s="60"/>
      <c r="AK84" s="60"/>
      <c r="AL84" s="60"/>
      <c r="AM84" s="60"/>
      <c r="AN84" s="60"/>
      <c r="AO84" s="60"/>
      <c r="AP84" s="60"/>
      <c r="AQ84" s="60"/>
      <c r="AR84" s="60"/>
      <c r="AS84" s="60"/>
      <c r="AT84" s="60"/>
      <c r="AU84" s="60"/>
      <c r="AV84" s="60"/>
      <c r="AW84" s="60"/>
      <c r="AX84" s="60"/>
      <c r="AY84" s="60"/>
      <c r="AZ84" s="60"/>
      <c r="BA84" s="60"/>
      <c r="BB84" s="60"/>
      <c r="BC84" s="60"/>
      <c r="BD84" s="60"/>
      <c r="BE84" s="60"/>
      <c r="BF84" s="60"/>
      <c r="BG84" s="60"/>
      <c r="BH84" s="60"/>
      <c r="BI84" s="60"/>
    </row>
    <row r="85" spans="1:61" s="59" customFormat="1" ht="18" customHeight="1" thickBot="1" x14ac:dyDescent="0.3">
      <c r="A85" s="81" t="s">
        <v>204</v>
      </c>
      <c r="B85" s="61"/>
    </row>
    <row r="86" spans="1:61" s="23" customFormat="1" ht="18" customHeight="1" thickTop="1" thickBot="1" x14ac:dyDescent="0.35">
      <c r="A86" s="84" t="s">
        <v>153</v>
      </c>
    </row>
    <row r="87" spans="1:61" s="23" customFormat="1" ht="18" customHeight="1" thickTop="1" x14ac:dyDescent="0.3">
      <c r="A87" s="15" t="s">
        <v>140</v>
      </c>
      <c r="B87" s="23">
        <f>+Base!B60</f>
        <v>818.98500000000001</v>
      </c>
      <c r="C87" s="23">
        <f>Base!$B65*B87/100+Base!$B66*B89/100+B113*5/3.666</f>
        <v>848.26809978372523</v>
      </c>
      <c r="D87" s="23">
        <f>Base!$B65*C87/100+Base!$B66*C89/100+C113*5/3.666</f>
        <v>872.52664037746024</v>
      </c>
      <c r="E87" s="23">
        <f>Base!$B65*D87/100+Base!$B66*D89/100+D113*5/3.666</f>
        <v>898.29106123524184</v>
      </c>
      <c r="F87" s="23">
        <f>Base!$B65*E87/100+Base!$B66*E89/100+E113*5/3.666</f>
        <v>925.2755405999045</v>
      </c>
      <c r="G87" s="23">
        <f>Base!$B65*F87/100+Base!$B66*F89/100+F113*5/3.666</f>
        <v>953.12326047175611</v>
      </c>
      <c r="H87" s="23">
        <f>Base!$B65*G87/100+Base!$B66*G89/100+G113*5/3.666</f>
        <v>981.42322791719846</v>
      </c>
      <c r="I87" s="23">
        <f>Base!$B65*H87/100+Base!$B66*H89/100+H113*5/3.666</f>
        <v>1009.7246542390792</v>
      </c>
      <c r="J87" s="23">
        <f>Base!$B65*I87/100+Base!$B66*I89/100+I113*5/3.666</f>
        <v>1037.5492759565029</v>
      </c>
      <c r="K87" s="23">
        <f>Base!$B65*J87/100+Base!$B66*J89/100+J113*5/3.666</f>
        <v>1064.4019387108392</v>
      </c>
      <c r="L87" s="23">
        <f>Base!$B65*K87/100+Base!$B66*K89/100+K113*5/3.666</f>
        <v>1089.7797066942799</v>
      </c>
      <c r="M87" s="23">
        <f>Base!$B65*L87/100+Base!$B66*L89/100+L113*5/3.666</f>
        <v>1113.1797106406675</v>
      </c>
      <c r="N87" s="23">
        <f>Base!$B65*M87/100+Base!$B66*M89/100+M113*5/3.666</f>
        <v>1134.10590754134</v>
      </c>
      <c r="O87" s="23">
        <f>Base!$B65*N87/100+Base!$B66*N89/100+N113*5/3.666</f>
        <v>1152.0748942887656</v>
      </c>
      <c r="P87" s="23">
        <f>Base!$B65*O87/100+Base!$B66*O89/100+O113*5/3.666</f>
        <v>1166.6208938880047</v>
      </c>
      <c r="Q87" s="23">
        <f>Base!$B65*P87/100+Base!$B66*P89/100+P113*5/3.666</f>
        <v>1177.3000146192894</v>
      </c>
      <c r="R87" s="23">
        <f>Base!$B65*Q87/100+Base!$B66*Q89/100+Q113*5/3.666</f>
        <v>1183.6938661758095</v>
      </c>
      <c r="S87" s="23">
        <f>Base!$B65*R87/100+Base!$B66*R89/100+R113*5/3.666</f>
        <v>1185.4125967587649</v>
      </c>
      <c r="T87" s="23">
        <f>Base!$B65*S87/100+Base!$B66*S89/100+S113*5/3.666</f>
        <v>1182.0973816143071</v>
      </c>
      <c r="U87" s="23">
        <f>Base!$B65*T87/100+Base!$B66*T89/100+T113*5/3.666</f>
        <v>1173.4223294948588</v>
      </c>
      <c r="V87" s="23">
        <f>Base!$B65*U87/100+Base!$B66*U89/100+U113*5/3.666</f>
        <v>1159.0933625051475</v>
      </c>
      <c r="W87" s="23">
        <f>Base!$B65*V87/100+Base!$B66*V89/100+V113*5/3.666</f>
        <v>1138.8548754067035</v>
      </c>
      <c r="X87" s="23">
        <f>Base!$B65*W87/100+Base!$B66*W89/100+W113*5/3.666</f>
        <v>1117.0294832153195</v>
      </c>
      <c r="Y87" s="23">
        <f>Base!$B65*X87/100+Base!$B66*X89/100+X113*5/3.666</f>
        <v>1097.8919602787346</v>
      </c>
      <c r="Z87" s="23">
        <f>Base!$B65*Y87/100+Base!$B66*Y89/100+Y113*5/3.666</f>
        <v>1081.1014719079876</v>
      </c>
      <c r="AA87" s="23">
        <f>Base!$B65*Z87/100+Base!$B66*Z89/100+Z113*5/3.666</f>
        <v>1066.3603787603122</v>
      </c>
      <c r="AB87" s="23">
        <f>Base!$B65*AA87/100+Base!$B66*AA89/100+AA113*5/3.666</f>
        <v>1053.4087715894227</v>
      </c>
      <c r="AC87" s="23">
        <f>Base!$B65*AB87/100+Base!$B66*AB89/100+AB113*5/3.666</f>
        <v>1042.0196956533757</v>
      </c>
      <c r="AD87" s="23">
        <f>Base!$B65*AC87/100+Base!$B66*AC89/100+AC113*5/3.666</f>
        <v>1031.9949781196651</v>
      </c>
      <c r="AE87" s="23">
        <f>Base!$B65*AD87/100+Base!$B66*AD89/100+AD113*5/3.666</f>
        <v>1023.1615826227177</v>
      </c>
      <c r="AF87" s="23">
        <f>Base!$B65*AE87/100+Base!$B66*AE89/100+AE113*5/3.666</f>
        <v>1015.3684246096027</v>
      </c>
      <c r="AG87" s="23">
        <f>Base!$B65*AF87/100+Base!$B66*AF89/100+AF113*5/3.666</f>
        <v>1008.4835894172837</v>
      </c>
      <c r="AH87" s="23">
        <f>Base!$B65*AG87/100+Base!$B66*AG89/100+AG113*5/3.666</f>
        <v>1002.3919023018437</v>
      </c>
      <c r="AI87" s="23">
        <f>Base!$B65*AH87/100+Base!$B66*AH89/100+AH113*5/3.666</f>
        <v>996.99280601266764</v>
      </c>
      <c r="AJ87" s="23">
        <f>Base!$B65*AI87/100+Base!$B66*AI89/100+AI113*5/3.666</f>
        <v>992.19850708348929</v>
      </c>
      <c r="AK87" s="23">
        <f>Base!$B65*AJ87/100+Base!$B66*AJ89/100+AJ113*5/3.666</f>
        <v>987.9323568950839</v>
      </c>
      <c r="AL87" s="23">
        <f>Base!$B65*AK87/100+Base!$B66*AK89/100+AK113*5/3.666</f>
        <v>984.1274378370814</v>
      </c>
      <c r="AM87" s="23">
        <f>Base!$B65*AL87/100+Base!$B66*AL89/100+AL113*5/3.666</f>
        <v>980.72532863436732</v>
      </c>
      <c r="AN87" s="23">
        <f>Base!$B65*AM87/100+Base!$B66*AM89/100+AM113*5/3.666</f>
        <v>977.67502617310492</v>
      </c>
      <c r="AO87" s="23">
        <f>Base!$B65*AN87/100+Base!$B66*AN89/100+AN113*5/3.666</f>
        <v>974.93200402075308</v>
      </c>
      <c r="AP87" s="23">
        <f>Base!$B65*AO87/100+Base!$B66*AO89/100+AO113*5/3.666</f>
        <v>972.45739033465929</v>
      </c>
      <c r="AQ87" s="23">
        <f>Base!$B65*AP87/100+Base!$B66*AP89/100+AP113*5/3.666</f>
        <v>970.21725003964741</v>
      </c>
      <c r="AR87" s="23">
        <f>Base!$B65*AQ87/100+Base!$B66*AQ89/100+AQ113*5/3.666</f>
        <v>968.18195806577376</v>
      </c>
      <c r="AS87" s="23">
        <f>Base!$B65*AR87/100+Base!$B66*AR89/100+AR113*5/3.666</f>
        <v>966.32565210751966</v>
      </c>
      <c r="AT87" s="23">
        <f>Base!$B65*AS87/100+Base!$B66*AS89/100+AS113*5/3.666</f>
        <v>964.62575482525403</v>
      </c>
      <c r="AU87" s="23">
        <f>Base!$B65*AT87/100+Base!$B66*AT89/100+AT113*5/3.666</f>
        <v>963.06255668526035</v>
      </c>
      <c r="AV87" s="23">
        <f>Base!$B65*AU87/100+Base!$B66*AU89/100+AU113*5/3.666</f>
        <v>961.61885174909401</v>
      </c>
      <c r="AW87" s="23">
        <f>Base!$B65*AV87/100+Base!$B66*AV89/100+AV113*5/3.666</f>
        <v>960.27961969674959</v>
      </c>
      <c r="AX87" s="23">
        <f>Base!$B65*AW87/100+Base!$B66*AW89/100+AW113*5/3.666</f>
        <v>959.03174821879509</v>
      </c>
      <c r="AY87" s="23">
        <f>Base!$B65*AX87/100+Base!$B66*AX89/100+AX113*5/3.666</f>
        <v>957.86379065575386</v>
      </c>
      <c r="AZ87" s="23">
        <f>Base!$B65*AY87/100+Base!$B66*AY89/100+AY113*5/3.666</f>
        <v>956.76575441215243</v>
      </c>
      <c r="BA87" s="23">
        <f>Base!$B65*AZ87/100+Base!$B66*AZ89/100+AZ113*5/3.666</f>
        <v>955.72891623964574</v>
      </c>
      <c r="BB87" s="23">
        <f>Base!$B65*BA87/100+Base!$B66*BA89/100+BA113*5/3.666</f>
        <v>954.74566097886327</v>
      </c>
      <c r="BC87" s="23">
        <f>Base!$B65*BB87/100+Base!$B66*BB89/100+BB113*5/3.666</f>
        <v>953.80934078212829</v>
      </c>
      <c r="BD87" s="23">
        <f>Base!$B65*BC87/100+Base!$B66*BC89/100+BC113*5/3.666</f>
        <v>952.9141522169391</v>
      </c>
      <c r="BE87" s="23">
        <f>Base!$B65*BD87/100+Base!$B66*BD89/100+BD113*5/3.666</f>
        <v>952.05502897997519</v>
      </c>
      <c r="BF87" s="23">
        <f>Base!$B65*BE87/100+Base!$B66*BE89/100+BE113*5/3.666</f>
        <v>951.22754823945263</v>
      </c>
      <c r="BG87" s="23">
        <f>Base!$B65*BF87/100+Base!$B66*BF89/100+BF113*5/3.666</f>
        <v>950.42784887520781</v>
      </c>
      <c r="BH87" s="23">
        <f>Base!$B65*BG87/100+Base!$B66*BG89/100+BG113*5/3.666</f>
        <v>964.48435522753971</v>
      </c>
      <c r="BI87" s="23">
        <f>Base!$B65*BH87/100+Base!$B66*BH89/100+BH113*5/3.666</f>
        <v>1032.2469681289626</v>
      </c>
    </row>
    <row r="88" spans="1:61" s="23" customFormat="1" ht="18" customHeight="1" x14ac:dyDescent="0.3">
      <c r="A88" s="15" t="s">
        <v>60</v>
      </c>
      <c r="B88" s="23">
        <f t="shared" ref="B88:BI88" si="8">+B87/2.13</f>
        <v>384.5</v>
      </c>
      <c r="C88" s="23">
        <f t="shared" si="8"/>
        <v>398.24793417076302</v>
      </c>
      <c r="D88" s="23">
        <f t="shared" si="8"/>
        <v>409.63692036500481</v>
      </c>
      <c r="E88" s="23">
        <f t="shared" si="8"/>
        <v>421.73289259870512</v>
      </c>
      <c r="F88" s="23">
        <f t="shared" si="8"/>
        <v>434.40166225347633</v>
      </c>
      <c r="G88" s="23">
        <f t="shared" si="8"/>
        <v>447.47570914166954</v>
      </c>
      <c r="H88" s="23">
        <f t="shared" si="8"/>
        <v>460.76207883436552</v>
      </c>
      <c r="I88" s="23">
        <f t="shared" si="8"/>
        <v>474.04913344557713</v>
      </c>
      <c r="J88" s="23">
        <f t="shared" si="8"/>
        <v>487.11233612981363</v>
      </c>
      <c r="K88" s="23">
        <f t="shared" si="8"/>
        <v>499.7192200520372</v>
      </c>
      <c r="L88" s="23">
        <f t="shared" si="8"/>
        <v>511.63366511468541</v>
      </c>
      <c r="M88" s="23">
        <f t="shared" si="8"/>
        <v>522.61958246040729</v>
      </c>
      <c r="N88" s="23">
        <f t="shared" si="8"/>
        <v>532.44408804757745</v>
      </c>
      <c r="O88" s="23">
        <f t="shared" si="8"/>
        <v>540.8802320604533</v>
      </c>
      <c r="P88" s="23">
        <f t="shared" si="8"/>
        <v>547.70933985352337</v>
      </c>
      <c r="Q88" s="23">
        <f t="shared" si="8"/>
        <v>552.72301155835191</v>
      </c>
      <c r="R88" s="23">
        <f t="shared" si="8"/>
        <v>555.72481980084956</v>
      </c>
      <c r="S88" s="23">
        <f t="shared" si="8"/>
        <v>556.53173556749528</v>
      </c>
      <c r="T88" s="23">
        <f t="shared" si="8"/>
        <v>554.97529653253855</v>
      </c>
      <c r="U88" s="23">
        <f t="shared" si="8"/>
        <v>550.90250211026239</v>
      </c>
      <c r="V88" s="23">
        <f t="shared" si="8"/>
        <v>544.1752875611021</v>
      </c>
      <c r="W88" s="23">
        <f t="shared" si="8"/>
        <v>534.67365042568247</v>
      </c>
      <c r="X88" s="23">
        <f t="shared" si="8"/>
        <v>524.42698742503262</v>
      </c>
      <c r="Y88" s="23">
        <f t="shared" si="8"/>
        <v>515.44223487264537</v>
      </c>
      <c r="Z88" s="23">
        <f t="shared" si="8"/>
        <v>507.55937648262329</v>
      </c>
      <c r="AA88" s="23">
        <f t="shared" si="8"/>
        <v>500.638675474325</v>
      </c>
      <c r="AB88" s="23">
        <f t="shared" si="8"/>
        <v>494.55810872742853</v>
      </c>
      <c r="AC88" s="23">
        <f t="shared" si="8"/>
        <v>489.21112471989471</v>
      </c>
      <c r="AD88" s="23">
        <f t="shared" si="8"/>
        <v>484.50468456322307</v>
      </c>
      <c r="AE88" s="23">
        <f t="shared" si="8"/>
        <v>480.35755052709754</v>
      </c>
      <c r="AF88" s="23">
        <f t="shared" si="8"/>
        <v>476.6987908965271</v>
      </c>
      <c r="AG88" s="23">
        <f t="shared" si="8"/>
        <v>473.46647390482804</v>
      </c>
      <c r="AH88" s="23">
        <f t="shared" si="8"/>
        <v>470.60652690227408</v>
      </c>
      <c r="AI88" s="23">
        <f t="shared" si="8"/>
        <v>468.07173991205053</v>
      </c>
      <c r="AJ88" s="23">
        <f t="shared" si="8"/>
        <v>465.82089534436119</v>
      </c>
      <c r="AK88" s="23">
        <f t="shared" si="8"/>
        <v>463.8180079319643</v>
      </c>
      <c r="AL88" s="23">
        <f t="shared" si="8"/>
        <v>462.03166095637624</v>
      </c>
      <c r="AM88" s="23">
        <f t="shared" si="8"/>
        <v>460.43442658890484</v>
      </c>
      <c r="AN88" s="23">
        <f t="shared" si="8"/>
        <v>459.00235970568309</v>
      </c>
      <c r="AO88" s="23">
        <f t="shared" si="8"/>
        <v>457.71455587828785</v>
      </c>
      <c r="AP88" s="23">
        <f t="shared" si="8"/>
        <v>456.552765415333</v>
      </c>
      <c r="AQ88" s="23">
        <f t="shared" si="8"/>
        <v>455.50105635664198</v>
      </c>
      <c r="AR88" s="23">
        <f t="shared" si="8"/>
        <v>454.54552021867318</v>
      </c>
      <c r="AS88" s="23">
        <f t="shared" si="8"/>
        <v>453.67401507395289</v>
      </c>
      <c r="AT88" s="23">
        <f t="shared" si="8"/>
        <v>452.87594123251364</v>
      </c>
      <c r="AU88" s="23">
        <f t="shared" si="8"/>
        <v>452.14204539214103</v>
      </c>
      <c r="AV88" s="23">
        <f t="shared" si="8"/>
        <v>451.464249647462</v>
      </c>
      <c r="AW88" s="23">
        <f t="shared" si="8"/>
        <v>450.83550220504679</v>
      </c>
      <c r="AX88" s="23">
        <f t="shared" si="8"/>
        <v>450.24964705107755</v>
      </c>
      <c r="AY88" s="23">
        <f t="shared" si="8"/>
        <v>449.70131016702061</v>
      </c>
      <c r="AZ88" s="23">
        <f t="shared" si="8"/>
        <v>449.18580019349884</v>
      </c>
      <c r="BA88" s="23">
        <f t="shared" si="8"/>
        <v>448.69902170875389</v>
      </c>
      <c r="BB88" s="23">
        <f t="shared" si="8"/>
        <v>448.2373995205931</v>
      </c>
      <c r="BC88" s="23">
        <f t="shared" si="8"/>
        <v>447.79781257376919</v>
      </c>
      <c r="BD88" s="23">
        <f t="shared" si="8"/>
        <v>447.3775362520841</v>
      </c>
      <c r="BE88" s="23">
        <f t="shared" si="8"/>
        <v>446.97419200937804</v>
      </c>
      <c r="BF88" s="23">
        <f t="shared" si="8"/>
        <v>446.58570339880407</v>
      </c>
      <c r="BG88" s="23">
        <f t="shared" si="8"/>
        <v>446.21025768789099</v>
      </c>
      <c r="BH88" s="23">
        <f t="shared" si="8"/>
        <v>452.80955644485437</v>
      </c>
      <c r="BI88" s="23">
        <f t="shared" si="8"/>
        <v>484.62298973190735</v>
      </c>
    </row>
    <row r="89" spans="1:61" s="23" customFormat="1" ht="18" customHeight="1" x14ac:dyDescent="0.3">
      <c r="A89" s="15" t="s">
        <v>1</v>
      </c>
      <c r="B89" s="23">
        <f>Base!B62</f>
        <v>1527</v>
      </c>
      <c r="C89" s="23">
        <f>B87* Base!$B67/100+B89* Base!$B68/100+B90* Base!$B69/100</f>
        <v>1540.1033416666669</v>
      </c>
      <c r="D89" s="23">
        <f>C87* Base!$B67/100+C89* Base!$B68/100+C90* Base!$B69/100</f>
        <v>1555.2487494380075</v>
      </c>
      <c r="E89" s="23">
        <f>D87* Base!$B67/100+D89* Base!$B68/100+D90* Base!$B69/100</f>
        <v>1571.9106978211369</v>
      </c>
      <c r="F89" s="23">
        <f>E87* Base!$B67/100+E89* Base!$B68/100+E90* Base!$B69/100</f>
        <v>1590.1597983363606</v>
      </c>
      <c r="G89" s="23">
        <f>F87* Base!$B67/100+F89* Base!$B68/100+F90* Base!$B69/100</f>
        <v>1610.0386284747244</v>
      </c>
      <c r="H89" s="23">
        <f>G87* Base!$B67/100+G89* Base!$B68/100+G90* Base!$B69/100</f>
        <v>1631.5566286860837</v>
      </c>
      <c r="I89" s="23">
        <f>H87* Base!$B67/100+H89* Base!$B68/100+H90* Base!$B69/100</f>
        <v>1654.6866879689678</v>
      </c>
      <c r="J89" s="23">
        <f>I87* Base!$B67/100+I89* Base!$B68/100+I90* Base!$B69/100</f>
        <v>1679.3631342060355</v>
      </c>
      <c r="K89" s="23">
        <f>J87* Base!$B67/100+J89* Base!$B68/100+J90* Base!$B69/100</f>
        <v>1705.4808907672812</v>
      </c>
      <c r="L89" s="23">
        <f>K87* Base!$B67/100+K89* Base!$B68/100+K90* Base!$B69/100</f>
        <v>1732.8955988993946</v>
      </c>
      <c r="M89" s="23">
        <f>L87* Base!$B67/100+L89* Base!$B68/100+L90* Base!$B69/100</f>
        <v>1761.4245367145857</v>
      </c>
      <c r="N89" s="23">
        <f>M87* Base!$B67/100+M89* Base!$B68/100+M90* Base!$B69/100</f>
        <v>1790.848191248193</v>
      </c>
      <c r="O89" s="23">
        <f>N87* Base!$B67/100+N89* Base!$B68/100+N90* Base!$B69/100</f>
        <v>1820.9123611535961</v>
      </c>
      <c r="P89" s="23">
        <f>O87* Base!$B67/100+O89* Base!$B68/100+O90* Base!$B69/100</f>
        <v>1851.3306851160769</v>
      </c>
      <c r="Q89" s="23">
        <f>P87* Base!$B67/100+P89* Base!$B68/100+P90* Base!$B69/100</f>
        <v>1881.7875057917599</v>
      </c>
      <c r="R89" s="23">
        <f>Q87* Base!$B67/100+Q89* Base!$B68/100+Q90* Base!$B69/100</f>
        <v>1911.9409915943475</v>
      </c>
      <c r="S89" s="23">
        <f>R87* Base!$B67/100+R89* Base!$B68/100+R90* Base!$B69/100</f>
        <v>1941.4264492182631</v>
      </c>
      <c r="T89" s="23">
        <f>S87* Base!$B67/100+S89* Base!$B68/100+S90* Base!$B69/100</f>
        <v>1969.8597681575241</v>
      </c>
      <c r="U89" s="23">
        <f>T87* Base!$B67/100+T89* Base!$B68/100+T90* Base!$B69/100</f>
        <v>1996.8409435607939</v>
      </c>
      <c r="V89" s="23">
        <f>U87* Base!$B67/100+U89* Base!$B68/100+U90* Base!$B69/100</f>
        <v>2021.957623004495</v>
      </c>
      <c r="W89" s="23">
        <f>V87* Base!$B67/100+V89* Base!$B68/100+V90* Base!$B69/100</f>
        <v>2044.7884098682646</v>
      </c>
      <c r="X89" s="23">
        <f>W87* Base!$B67/100+W89* Base!$B68/100+W90* Base!$B69/100</f>
        <v>2064.9066178457529</v>
      </c>
      <c r="Y89" s="23">
        <f>X87* Base!$B67/100+X89* Base!$B68/100+X90* Base!$B69/100</f>
        <v>2082.2833699439802</v>
      </c>
      <c r="Z89" s="23">
        <f>Y87* Base!$B67/100+Y89* Base!$B68/100+Y90* Base!$B69/100</f>
        <v>2097.2671460329298</v>
      </c>
      <c r="AA89" s="23">
        <f>Z87* Base!$B67/100+Z89* Base!$B68/100+Z90* Base!$B69/100</f>
        <v>2110.1622021652984</v>
      </c>
      <c r="AB89" s="23">
        <f>AA87* Base!$B67/100+AA89* Base!$B68/100+AA90* Base!$B69/100</f>
        <v>2121.2341776710973</v>
      </c>
      <c r="AC89" s="23">
        <f>AB87* Base!$B67/100+AB89* Base!$B68/100+AB90* Base!$B69/100</f>
        <v>2130.7149923414199</v>
      </c>
      <c r="AD89" s="23">
        <f>AC87* Base!$B67/100+AC89* Base!$B68/100+AC90* Base!$B69/100</f>
        <v>2138.8071233808619</v>
      </c>
      <c r="AE89" s="23">
        <f>AD87* Base!$B67/100+AD89* Base!$B68/100+AD90* Base!$B69/100</f>
        <v>2145.687340519848</v>
      </c>
      <c r="AF89" s="23">
        <f>AE87* Base!$B67/100+AE89* Base!$B68/100+AE90* Base!$B69/100</f>
        <v>2151.5099678026213</v>
      </c>
      <c r="AG89" s="23">
        <f>AF87* Base!$B67/100+AF89* Base!$B68/100+AF90* Base!$B69/100</f>
        <v>2156.4097319287298</v>
      </c>
      <c r="AH89" s="23">
        <f>AG87* Base!$B67/100+AG89* Base!$B68/100+AG90* Base!$B69/100</f>
        <v>2160.5042494717018</v>
      </c>
      <c r="AI89" s="23">
        <f>AH87* Base!$B67/100+AH89* Base!$B68/100+AH90* Base!$B69/100</f>
        <v>2163.8961986933423</v>
      </c>
      <c r="AJ89" s="23">
        <f>AI87* Base!$B67/100+AI89* Base!$B68/100+AI90* Base!$B69/100</f>
        <v>2166.6752158973136</v>
      </c>
      <c r="AK89" s="23">
        <f>AJ87* Base!$B67/100+AJ89* Base!$B68/100+AJ90* Base!$B69/100</f>
        <v>2168.9195512176816</v>
      </c>
      <c r="AL89" s="23">
        <f>AK87* Base!$B67/100+AK89* Base!$B68/100+AK90* Base!$B69/100</f>
        <v>2170.6975143259424</v>
      </c>
      <c r="AM89" s="23">
        <f>AL87* Base!$B67/100+AL89* Base!$B68/100+AL90* Base!$B69/100</f>
        <v>2172.0687366840393</v>
      </c>
      <c r="AN89" s="23">
        <f>AM87* Base!$B67/100+AM89* Base!$B68/100+AM90* Base!$B69/100</f>
        <v>2173.0852736013094</v>
      </c>
      <c r="AO89" s="23">
        <f>AN87* Base!$B67/100+AN89* Base!$B68/100+AN90* Base!$B69/100</f>
        <v>2173.7925664090144</v>
      </c>
      <c r="AP89" s="23">
        <f>AO87* Base!$B67/100+AO89* Base!$B68/100+AO90* Base!$B69/100</f>
        <v>2174.2302824937105</v>
      </c>
      <c r="AQ89" s="23">
        <f>AP87* Base!$B67/100+AP89* Base!$B68/100+AP90* Base!$B69/100</f>
        <v>2174.4330486833455</v>
      </c>
      <c r="AR89" s="23">
        <f>AQ87* Base!$B67/100+AQ89* Base!$B68/100+AQ90* Base!$B69/100</f>
        <v>2174.4310915167621</v>
      </c>
      <c r="AS89" s="23">
        <f>AR87* Base!$B67/100+AR89* Base!$B68/100+AR90* Base!$B69/100</f>
        <v>2174.2507962123664</v>
      </c>
      <c r="AT89" s="23">
        <f>AS87* Base!$B67/100+AS89* Base!$B68/100+AS90* Base!$B69/100</f>
        <v>2173.9151946538145</v>
      </c>
      <c r="AU89" s="23">
        <f>AT87* Base!$B67/100+AT89* Base!$B68/100+AT90* Base!$B69/100</f>
        <v>2173.4443914022627</v>
      </c>
      <c r="AV89" s="23">
        <f>AU87* Base!$B67/100+AU89* Base!$B68/100+AU90* Base!$B69/100</f>
        <v>2172.8559356020951</v>
      </c>
      <c r="AW89" s="23">
        <f>AV87* Base!$B67/100+AV89* Base!$B68/100+AV90* Base!$B69/100</f>
        <v>2172.1651456491445</v>
      </c>
      <c r="AX89" s="23">
        <f>AW87* Base!$B67/100+AW89* Base!$B68/100+AW90* Base!$B69/100</f>
        <v>2171.3853926189454</v>
      </c>
      <c r="AY89" s="23">
        <f>AX87* Base!$B67/100+AX89* Base!$B68/100+AX90* Base!$B69/100</f>
        <v>2170.5283476915456</v>
      </c>
      <c r="AZ89" s="23">
        <f>AY87* Base!$B67/100+AY89* Base!$B68/100+AY90* Base!$B69/100</f>
        <v>2169.6041981448575</v>
      </c>
      <c r="BA89" s="23">
        <f>AZ87* Base!$B67/100+AZ89* Base!$B68/100+AZ90* Base!$B69/100</f>
        <v>2168.62183590824</v>
      </c>
      <c r="BB89" s="23">
        <f>BA87* Base!$B67/100+BA89* Base!$B68/100+BA90* Base!$B69/100</f>
        <v>2167.5890221613035</v>
      </c>
      <c r="BC89" s="23">
        <f>BB87* Base!$B67/100+BB89* Base!$B68/100+BB90* Base!$B69/100</f>
        <v>2166.5125310205176</v>
      </c>
      <c r="BD89" s="23">
        <f>BC87* Base!$B67/100+BC89* Base!$B68/100+BC90* Base!$B69/100</f>
        <v>2165.3982749698962</v>
      </c>
      <c r="BE89" s="23">
        <f>BD87* Base!$B67/100+BD89* Base!$B68/100+BD90* Base!$B69/100</f>
        <v>2164.2514143547596</v>
      </c>
      <c r="BF89" s="23">
        <f>BE87* Base!$B67/100+BE89* Base!$B68/100+BE90* Base!$B69/100</f>
        <v>2163.0764529630901</v>
      </c>
      <c r="BG89" s="23">
        <f>BF87* Base!$B67/100+BF89* Base!$B68/100+BF90* Base!$B69/100</f>
        <v>2161.8773214618982</v>
      </c>
      <c r="BH89" s="23">
        <f>BG87* Base!$B67/100+BG89* Base!$B68/100+BG90* Base!$B69/100</f>
        <v>2160.657450231547</v>
      </c>
      <c r="BI89" s="23">
        <f>BH87* Base!$B67/100+BH89* Base!$B68/100+BH90* Base!$B69/100</f>
        <v>2160.7250309157448</v>
      </c>
    </row>
    <row r="90" spans="1:61" s="23" customFormat="1" ht="18" customHeight="1" x14ac:dyDescent="0.3">
      <c r="A90" s="15" t="s">
        <v>2</v>
      </c>
      <c r="B90" s="23">
        <f xml:space="preserve"> Base!B63</f>
        <v>10010</v>
      </c>
      <c r="C90" s="23">
        <f>( Base!$B70/100)*B89+( Base!$B71/100)*B90</f>
        <v>10010.439124999999</v>
      </c>
      <c r="D90" s="23">
        <f>( Base!$B70/100)*C89+( Base!$B71/100)*C90</f>
        <v>10010.910860149479</v>
      </c>
      <c r="E90" s="23">
        <f>( Base!$B70/100)*D89+( Base!$B71/100)*D90</f>
        <v>10011.420299607773</v>
      </c>
      <c r="F90" s="23">
        <f>( Base!$B70/100)*E89+( Base!$B71/100)*E90</f>
        <v>10011.971222001208</v>
      </c>
      <c r="G90" s="23">
        <f>( Base!$B70/100)*F89+( Base!$B71/100)*F90</f>
        <v>10012.567581209623</v>
      </c>
      <c r="H90" s="23">
        <f>( Base!$B70/100)*G89+( Base!$B71/100)*G90</f>
        <v>10013.213436222153</v>
      </c>
      <c r="I90" s="23">
        <f>( Base!$B70/100)*H89+( Base!$B71/100)*H90</f>
        <v>10013.912868259144</v>
      </c>
      <c r="J90" s="23">
        <f>( Base!$B70/100)*I89+( Base!$B71/100)*I90</f>
        <v>10014.669889386028</v>
      </c>
      <c r="K90" s="23">
        <f>( Base!$B70/100)*J89+( Base!$B71/100)*J90</f>
        <v>10015.488346133876</v>
      </c>
      <c r="L90" s="23">
        <f>( Base!$B70/100)*K89+( Base!$B71/100)*K90</f>
        <v>10016.371821043973</v>
      </c>
      <c r="M90" s="23">
        <f>( Base!$B70/100)*L89+( Base!$B71/100)*L90</f>
        <v>10017.32353455162</v>
      </c>
      <c r="N90" s="23">
        <f>( Base!$B70/100)*M89+( Base!$B71/100)*M90</f>
        <v>10018.346249200496</v>
      </c>
      <c r="O90" s="23">
        <f>( Base!$B70/100)*N89+( Base!$B71/100)*N90</f>
        <v>10019.442177819512</v>
      </c>
      <c r="P90" s="23">
        <f>( Base!$B70/100)*O89+( Base!$B71/100)*O90</f>
        <v>10020.612896987383</v>
      </c>
      <c r="Q90" s="23">
        <f>( Base!$B70/100)*P89+( Base!$B71/100)*P90</f>
        <v>10021.859266847441</v>
      </c>
      <c r="R90" s="23">
        <f>( Base!$B70/100)*Q89+( Base!$B71/100)*Q90</f>
        <v>10023.181358109359</v>
      </c>
      <c r="S90" s="23">
        <f>( Base!$B70/100)*R89+( Base!$B71/100)*R90</f>
        <v>10024.578386879983</v>
      </c>
      <c r="T90" s="23">
        <f>( Base!$B70/100)*S89+( Base!$B71/100)*S90</f>
        <v>10026.048657797455</v>
      </c>
      <c r="U90" s="23">
        <f>( Base!$B70/100)*T89+( Base!$B71/100)*T90</f>
        <v>10027.589515795844</v>
      </c>
      <c r="V90" s="23">
        <f>( Base!$B70/100)*U89+( Base!$B71/100)*U90</f>
        <v>10029.197306693164</v>
      </c>
      <c r="W90" s="23">
        <f>( Base!$B70/100)*V89+( Base!$B71/100)*V90</f>
        <v>10030.867346659667</v>
      </c>
      <c r="X90" s="23">
        <f>( Base!$B70/100)*W89+( Base!$B71/100)*W90</f>
        <v>10032.59389995484</v>
      </c>
      <c r="Y90" s="23">
        <f>( Base!$B70/100)*X89+( Base!$B71/100)*X90</f>
        <v>10034.370166058219</v>
      </c>
      <c r="Z90" s="23">
        <f>( Base!$B70/100)*Y89+( Base!$B71/100)*Y90</f>
        <v>10036.189274552036</v>
      </c>
      <c r="AA90" s="23">
        <f>( Base!$B70/100)*Z89+( Base!$B71/100)*Z90</f>
        <v>10038.045228536957</v>
      </c>
      <c r="AB90" s="23">
        <f>( Base!$B70/100)*AA89+( Base!$B71/100)*AA90</f>
        <v>10039.93279377774</v>
      </c>
      <c r="AC90" s="23">
        <f>( Base!$B70/100)*AB89+( Base!$B71/100)*AB90</f>
        <v>10041.847401904019</v>
      </c>
      <c r="AD90" s="23">
        <f>( Base!$B70/100)*AC89+( Base!$B71/100)*AC90</f>
        <v>10043.78506588673</v>
      </c>
      <c r="AE90" s="23">
        <f>( Base!$B70/100)*AD89+( Base!$B71/100)*AD90</f>
        <v>10045.742306235445</v>
      </c>
      <c r="AF90" s="23">
        <f>( Base!$B70/100)*AE89+( Base!$B71/100)*AE90</f>
        <v>10047.71608655839</v>
      </c>
      <c r="AG90" s="23">
        <f>( Base!$B70/100)*AF89+( Base!$B71/100)*AF90</f>
        <v>10049.703757298685</v>
      </c>
      <c r="AH90" s="23">
        <f>( Base!$B70/100)*AG89+( Base!$B71/100)*AG90</f>
        <v>10051.703006610418</v>
      </c>
      <c r="AI90" s="23">
        <f>( Base!$B70/100)*AH89+( Base!$B71/100)*AH90</f>
        <v>10053.711817469366</v>
      </c>
      <c r="AJ90" s="23">
        <f>( Base!$B70/100)*AI89+( Base!$B71/100)*AI90</f>
        <v>10055.728430227704</v>
      </c>
      <c r="AK90" s="23">
        <f>( Base!$B70/100)*AJ89+( Base!$B71/100)*AJ90</f>
        <v>10057.751309922245</v>
      </c>
      <c r="AL90" s="23">
        <f>( Base!$B70/100)*AK89+( Base!$B71/100)*AK90</f>
        <v>10059.779117733191</v>
      </c>
      <c r="AM90" s="23">
        <f>( Base!$B70/100)*AL89+( Base!$B71/100)*AL90</f>
        <v>10061.81068606677</v>
      </c>
      <c r="AN90" s="23">
        <f>( Base!$B70/100)*AM89+( Base!$B71/100)*AM90</f>
        <v>10063.844996801932</v>
      </c>
      <c r="AO90" s="23">
        <f>( Base!$B70/100)*AN89+( Base!$B71/100)*AN90</f>
        <v>10065.881162299514</v>
      </c>
      <c r="AP90" s="23">
        <f>( Base!$B70/100)*AO89+( Base!$B71/100)*AO90</f>
        <v>10067.918408823261</v>
      </c>
      <c r="AQ90" s="23">
        <f>( Base!$B70/100)*AP89+( Base!$B71/100)*AP90</f>
        <v>10069.956062066518</v>
      </c>
      <c r="AR90" s="23">
        <f>( Base!$B70/100)*AQ89+( Base!$B71/100)*AQ90</f>
        <v>10071.99353451728</v>
      </c>
      <c r="AS90" s="23">
        <f>( Base!$B70/100)*AR89+( Base!$B71/100)*AR90</f>
        <v>10074.030314428172</v>
      </c>
      <c r="AT90" s="23">
        <f>( Base!$B70/100)*AS89+( Base!$B71/100)*AS90</f>
        <v>10076.065956187584</v>
      </c>
      <c r="AU90" s="23">
        <f>( Base!$B70/100)*AT89+( Base!$B71/100)*AT90</f>
        <v>10078.100071914005</v>
      </c>
      <c r="AV90" s="23">
        <f>( Base!$B70/100)*AU89+( Base!$B71/100)*AU90</f>
        <v>10080.13232411824</v>
      </c>
      <c r="AW90" s="23">
        <f>( Base!$B70/100)*AV89+( Base!$B71/100)*AV90</f>
        <v>10082.162419297856</v>
      </c>
      <c r="AX90" s="23">
        <f>( Base!$B70/100)*AW89+( Base!$B71/100)*AW90</f>
        <v>10084.190102345467</v>
      </c>
      <c r="AY90" s="23">
        <f>( Base!$B70/100)*AX89+( Base!$B71/100)*AX90</f>
        <v>10086.215151667471</v>
      </c>
      <c r="AZ90" s="23">
        <f>( Base!$B70/100)*AY89+( Base!$B71/100)*AY90</f>
        <v>10088.237374923012</v>
      </c>
      <c r="BA90" s="23">
        <f>( Base!$B70/100)*AZ89+( Base!$B71/100)*AZ90</f>
        <v>10090.256605304337</v>
      </c>
      <c r="BB90" s="23">
        <f>( Base!$B70/100)*BA89+( Base!$B71/100)*BA90</f>
        <v>10092.272698289818</v>
      </c>
      <c r="BC90" s="23">
        <f>( Base!$B70/100)*BB89+( Base!$B71/100)*BB90</f>
        <v>10094.285528809549</v>
      </c>
      <c r="BD90" s="23">
        <f>( Base!$B70/100)*BC89+( Base!$B71/100)*BC90</f>
        <v>10096.294988771126</v>
      </c>
      <c r="BE90" s="23">
        <f>( Base!$B70/100)*BD89+( Base!$B71/100)*BD90</f>
        <v>10098.300984899839</v>
      </c>
      <c r="BF90" s="23">
        <f>( Base!$B70/100)*BE89+( Base!$B71/100)*BE90</f>
        <v>10100.303436853323</v>
      </c>
      <c r="BG90" s="23">
        <f>( Base!$B70/100)*BF89+( Base!$B71/100)*BF90</f>
        <v>10102.302275575794</v>
      </c>
      <c r="BH90" s="23">
        <f>( Base!$B70/100)*BG89+( Base!$B71/100)*BG90</f>
        <v>10104.297441861443</v>
      </c>
      <c r="BI90" s="23">
        <f>( Base!$B70/100)*BH89+( Base!$B71/100)*BH90</f>
        <v>10106.288885100394</v>
      </c>
    </row>
    <row r="91" spans="1:61" s="23" customFormat="1" ht="18" customHeight="1" thickBot="1" x14ac:dyDescent="0.35">
      <c r="A91" s="84" t="s">
        <v>234</v>
      </c>
    </row>
    <row r="92" spans="1:61" s="23" customFormat="1" ht="21" customHeight="1" thickTop="1" x14ac:dyDescent="0.3">
      <c r="A92" s="15" t="s">
        <v>6</v>
      </c>
      <c r="B92" s="23">
        <f>+Parameters!B89</f>
        <v>90</v>
      </c>
      <c r="C92" s="23">
        <f>+Base!B92</f>
        <v>90</v>
      </c>
      <c r="D92" s="23">
        <f>+Parameters!D89+C114*5/3.666+C92</f>
        <v>128.19568351455473</v>
      </c>
      <c r="E92" s="23">
        <f>+Parameters!E89+D114*5/3.666+D92</f>
        <v>169.78749221376006</v>
      </c>
      <c r="F92" s="23">
        <f>+Parameters!F89+E114*5/3.666+E92</f>
        <v>214.49679448708196</v>
      </c>
      <c r="G92" s="23">
        <f>+Parameters!G89+F114*5/3.666+F92</f>
        <v>261.9595437057128</v>
      </c>
      <c r="H92" s="23">
        <f>+Parameters!H89+G114*5/3.666+G92</f>
        <v>311.73523837504297</v>
      </c>
      <c r="I92" s="23">
        <f>+Parameters!I89+H114*5/3.666+H92</f>
        <v>363.31565361679816</v>
      </c>
      <c r="J92" s="23">
        <f>+Parameters!J89+I114*5/3.666+I92</f>
        <v>416.13334077817478</v>
      </c>
      <c r="K92" s="23">
        <f>+Parameters!K89+J114*5/3.666+J92</f>
        <v>469.56989530560406</v>
      </c>
      <c r="L92" s="23">
        <f>+Parameters!L89+K114*5/3.666+K92</f>
        <v>522.96398910245614</v>
      </c>
      <c r="M92" s="23">
        <f>+Parameters!M89+L114*5/3.666+L92</f>
        <v>575.61915858864108</v>
      </c>
      <c r="N92" s="23">
        <f>+Parameters!N89+M114*5/3.666+M92</f>
        <v>626.81133604536444</v>
      </c>
      <c r="O92" s="23">
        <f>+Parameters!O89+N114*5/3.666+N92</f>
        <v>675.79611041606267</v>
      </c>
      <c r="P92" s="23">
        <f>+Parameters!P89+O114*5/3.666+O92</f>
        <v>721.81570442473617</v>
      </c>
      <c r="Q92" s="23">
        <f>+Parameters!Q89+P114*5/3.666+P92</f>
        <v>764.10565671502741</v>
      </c>
      <c r="R92" s="23">
        <f>+Parameters!R89+Q114*5/3.666+Q92</f>
        <v>801.90119815466676</v>
      </c>
      <c r="S92" s="23">
        <f>+Parameters!S89+R114*5/3.666+R92</f>
        <v>834.44330538705242</v>
      </c>
      <c r="T92" s="23">
        <f>+Parameters!T89+S114*5/3.666+S92</f>
        <v>860.98439230324163</v>
      </c>
      <c r="U92" s="23">
        <f>+Parameters!U89+T114*5/3.666+T92</f>
        <v>880.79354334858044</v>
      </c>
      <c r="V92" s="23">
        <f>+Parameters!V89+U114*5/3.666+U92</f>
        <v>893.15878251039487</v>
      </c>
      <c r="W92" s="23">
        <f>+Parameters!W89+V114*5/3.666+V92</f>
        <v>897.3969108906258</v>
      </c>
      <c r="X92" s="23">
        <f>+Parameters!X89+W114*5/3.666+W92</f>
        <v>897.3969108906258</v>
      </c>
      <c r="Y92" s="23">
        <f>+Parameters!Y89+X114*5/3.666+X92</f>
        <v>897.3969108906258</v>
      </c>
      <c r="Z92" s="23">
        <f>+Parameters!Z89+Y114*5/3.666+Y92</f>
        <v>897.3969108906258</v>
      </c>
      <c r="AA92" s="23">
        <f>+Parameters!AA89+Z114*5/3.666+Z92</f>
        <v>897.39691089062592</v>
      </c>
      <c r="AB92" s="23">
        <f>+Parameters!AB89+AA114*5/3.666+AA92</f>
        <v>897.39691089062592</v>
      </c>
      <c r="AC92" s="23">
        <f>+Parameters!AC89+AB114*5/3.666+AB92</f>
        <v>897.39691089062592</v>
      </c>
      <c r="AD92" s="23">
        <f>+Parameters!AD89+AC114*5/3.666+AC92</f>
        <v>897.39691089062603</v>
      </c>
      <c r="AE92" s="23">
        <f>+Parameters!AE89+AD114*5/3.666+AD92</f>
        <v>897.39691089062603</v>
      </c>
      <c r="AF92" s="23">
        <f>+Parameters!AF89+AE114*5/3.666+AE92</f>
        <v>897.39691089062626</v>
      </c>
      <c r="AG92" s="23">
        <f>+Parameters!AG89+AF114*5/3.666+AF92</f>
        <v>897.39691089062626</v>
      </c>
      <c r="AH92" s="23">
        <f>+Parameters!AH89+AG114*5/3.666+AG92</f>
        <v>897.39691089062626</v>
      </c>
      <c r="AI92" s="23">
        <f>+Parameters!AI89+AH114*5/3.666+AH92</f>
        <v>897.39691089062649</v>
      </c>
      <c r="AJ92" s="23">
        <f>+Parameters!AJ89+AI114*5/3.666+AI92</f>
        <v>897.39691089062649</v>
      </c>
      <c r="AK92" s="23">
        <f>+Parameters!AK89+AJ114*5/3.666+AJ92</f>
        <v>897.39691089062649</v>
      </c>
      <c r="AL92" s="23">
        <f>+Parameters!AL89+AK114*5/3.666+AK92</f>
        <v>897.39691089062671</v>
      </c>
      <c r="AM92" s="23">
        <f>+Parameters!AM89+AL114*5/3.666+AL92</f>
        <v>897.39691089062671</v>
      </c>
      <c r="AN92" s="23">
        <f>+Parameters!AN89+AM114*5/3.666+AM92</f>
        <v>897.39691089062671</v>
      </c>
      <c r="AO92" s="23">
        <f>+Parameters!AO89+AN114*5/3.666+AN92</f>
        <v>897.39691089062671</v>
      </c>
      <c r="AP92" s="23">
        <f>+Parameters!AP89+AO114*5/3.666+AO92</f>
        <v>897.39691089062671</v>
      </c>
      <c r="AQ92" s="23">
        <f>+Parameters!AQ89+AP114*5/3.666+AP92</f>
        <v>897.39691089062671</v>
      </c>
      <c r="AR92" s="23">
        <f>+Parameters!AR89+AQ114*5/3.666+AQ92</f>
        <v>897.39691089062671</v>
      </c>
      <c r="AS92" s="23">
        <f>+Parameters!AS89+AR114*5/3.666+AR92</f>
        <v>897.39691089062683</v>
      </c>
      <c r="AT92" s="23">
        <f>+Parameters!AT89+AS114*5/3.666+AS92</f>
        <v>897.39691089062683</v>
      </c>
      <c r="AU92" s="23">
        <f>+Parameters!AU89+AT114*5/3.666+AT92</f>
        <v>897.39691089062683</v>
      </c>
      <c r="AV92" s="23">
        <f>+Parameters!AV89+AU114*5/3.666+AU92</f>
        <v>897.39691089062717</v>
      </c>
      <c r="AW92" s="23">
        <f>+Parameters!AW89+AV114*5/3.666+AV92</f>
        <v>897.3969108906274</v>
      </c>
      <c r="AX92" s="23">
        <f>+Parameters!AX89+AW114*5/3.666+AW92</f>
        <v>897.3969108906274</v>
      </c>
      <c r="AY92" s="23">
        <f>+Parameters!AY89+AX114*5/3.666+AX92</f>
        <v>897.3969108906274</v>
      </c>
      <c r="AZ92" s="23">
        <f>+Parameters!AZ89+AY114*5/3.666+AY92</f>
        <v>897.3969108906274</v>
      </c>
      <c r="BA92" s="23">
        <f>+Parameters!BA89+AZ114*5/3.666+AZ92</f>
        <v>897.3969108906274</v>
      </c>
      <c r="BB92" s="23">
        <f>+Parameters!BB89+BA114*5/3.666+BA92</f>
        <v>897.3969108906274</v>
      </c>
      <c r="BC92" s="23">
        <f>+Parameters!BC89+BB114*5/3.666+BB92</f>
        <v>897.3969108906274</v>
      </c>
      <c r="BD92" s="23">
        <f>+Parameters!BD89+BC114*5/3.666+BC92</f>
        <v>897.3969108906274</v>
      </c>
      <c r="BE92" s="23">
        <f>+Parameters!BE89+BD114*5/3.666+BD92</f>
        <v>897.3969108906274</v>
      </c>
      <c r="BF92" s="23">
        <f>+Parameters!BF89+BE114*5/3.666+BE92</f>
        <v>897.3969108906274</v>
      </c>
      <c r="BG92" s="23">
        <f>+Parameters!BG89+BF114*5/3.666+BF92</f>
        <v>897.3969108906274</v>
      </c>
      <c r="BH92" s="23">
        <f>+Parameters!BH89+BG114*5/3.666+BG92</f>
        <v>912.22870601262946</v>
      </c>
      <c r="BI92" s="23">
        <f>+Parameters!BI89+BH114*5/3.666+BH92</f>
        <v>982.05033780869985</v>
      </c>
    </row>
    <row r="93" spans="1:61" s="23" customFormat="1" ht="18" customHeight="1" x14ac:dyDescent="0.3">
      <c r="A93" s="15" t="s">
        <v>7</v>
      </c>
      <c r="B93" s="23">
        <f>+B92/ Base!$B$57</f>
        <v>1.4999999999999999E-2</v>
      </c>
      <c r="C93" s="23">
        <f>+C92/ Base!$B$57</f>
        <v>1.4999999999999999E-2</v>
      </c>
      <c r="D93" s="23">
        <f>+D92/ Base!$B$57</f>
        <v>2.1365947252425788E-2</v>
      </c>
      <c r="E93" s="23">
        <f>+E92/ Base!$B$57</f>
        <v>2.8297915368960012E-2</v>
      </c>
      <c r="F93" s="23">
        <f>+F92/ Base!$B$57</f>
        <v>3.5749465747846994E-2</v>
      </c>
      <c r="G93" s="23">
        <f>+G92/ Base!$B$57</f>
        <v>4.3659923950952133E-2</v>
      </c>
      <c r="H93" s="23">
        <f>+H92/ Base!$B$57</f>
        <v>5.1955873062507159E-2</v>
      </c>
      <c r="I93" s="23">
        <f>+I92/ Base!$B$57</f>
        <v>6.0552608936133026E-2</v>
      </c>
      <c r="J93" s="23">
        <f>+J92/ Base!$B$57</f>
        <v>6.9355556796362461E-2</v>
      </c>
      <c r="K93" s="23">
        <f>+K92/ Base!$B$57</f>
        <v>7.8261649217600676E-2</v>
      </c>
      <c r="L93" s="23">
        <f>+L92/ Base!$B$57</f>
        <v>8.7160664850409353E-2</v>
      </c>
      <c r="M93" s="23">
        <f>+M92/ Base!$B$57</f>
        <v>9.5936526431440183E-2</v>
      </c>
      <c r="N93" s="23">
        <f>+N92/ Base!$B$57</f>
        <v>0.10446855600756073</v>
      </c>
      <c r="O93" s="23">
        <f>+O92/ Base!$B$57</f>
        <v>0.11263268506934378</v>
      </c>
      <c r="P93" s="23">
        <f>+P92/ Base!$B$57</f>
        <v>0.12030261740412269</v>
      </c>
      <c r="Q93" s="23">
        <f>+Q92/ Base!$B$57</f>
        <v>0.12735094278583789</v>
      </c>
      <c r="R93" s="23">
        <f>+R92/ Base!$B$57</f>
        <v>0.13365019969244446</v>
      </c>
      <c r="S93" s="23">
        <f>+S92/ Base!$B$57</f>
        <v>0.13907388423117539</v>
      </c>
      <c r="T93" s="23">
        <f>+T92/ Base!$B$57</f>
        <v>0.14349739871720693</v>
      </c>
      <c r="U93" s="23">
        <f>+U92/ Base!$B$57</f>
        <v>0.14679892389143007</v>
      </c>
      <c r="V93" s="23">
        <f>+V92/ Base!$B$57</f>
        <v>0.1488597970850658</v>
      </c>
      <c r="W93" s="23">
        <f>+W92/ Base!$B$57</f>
        <v>0.1495661518151043</v>
      </c>
      <c r="X93" s="23">
        <f>+X92/ Base!$B$57</f>
        <v>0.1495661518151043</v>
      </c>
      <c r="Y93" s="23">
        <f>+Y92/ Base!$B$57</f>
        <v>0.1495661518151043</v>
      </c>
      <c r="Z93" s="23">
        <f>+Z92/ Base!$B$57</f>
        <v>0.1495661518151043</v>
      </c>
      <c r="AA93" s="23">
        <f>+AA92/ Base!$B$57</f>
        <v>0.14956615181510433</v>
      </c>
      <c r="AB93" s="23">
        <f>+AB92/ Base!$B$57</f>
        <v>0.14956615181510433</v>
      </c>
      <c r="AC93" s="23">
        <f>+AC92/ Base!$B$57</f>
        <v>0.14956615181510433</v>
      </c>
      <c r="AD93" s="23">
        <f>+AD92/ Base!$B$57</f>
        <v>0.14956615181510433</v>
      </c>
      <c r="AE93" s="23">
        <f>+AE92/ Base!$B$57</f>
        <v>0.14956615181510433</v>
      </c>
      <c r="AF93" s="23">
        <f>+AF92/ Base!$B$57</f>
        <v>0.14956615181510438</v>
      </c>
      <c r="AG93" s="23">
        <f>+AG92/ Base!$B$57</f>
        <v>0.14956615181510438</v>
      </c>
      <c r="AH93" s="23">
        <f>+AH92/ Base!$B$57</f>
        <v>0.14956615181510438</v>
      </c>
      <c r="AI93" s="23">
        <f>+AI92/ Base!$B$57</f>
        <v>0.14956615181510441</v>
      </c>
      <c r="AJ93" s="23">
        <f>+AJ92/ Base!$B$57</f>
        <v>0.14956615181510441</v>
      </c>
      <c r="AK93" s="23">
        <f>+AK92/ Base!$B$57</f>
        <v>0.14956615181510441</v>
      </c>
      <c r="AL93" s="23">
        <f>+AL92/ Base!$B$57</f>
        <v>0.14956615181510446</v>
      </c>
      <c r="AM93" s="23">
        <f>+AM92/ Base!$B$57</f>
        <v>0.14956615181510446</v>
      </c>
      <c r="AN93" s="23">
        <f>+AN92/ Base!$B$57</f>
        <v>0.14956615181510446</v>
      </c>
      <c r="AO93" s="23">
        <f>+AO92/ Base!$B$57</f>
        <v>0.14956615181510446</v>
      </c>
      <c r="AP93" s="23">
        <f>+AP92/ Base!$B$57</f>
        <v>0.14956615181510446</v>
      </c>
      <c r="AQ93" s="23">
        <f>+AQ92/ Base!$B$57</f>
        <v>0.14956615181510446</v>
      </c>
      <c r="AR93" s="23">
        <f>+AR92/ Base!$B$57</f>
        <v>0.14956615181510446</v>
      </c>
      <c r="AS93" s="23">
        <f>+AS92/ Base!$B$57</f>
        <v>0.14956615181510446</v>
      </c>
      <c r="AT93" s="23">
        <f>+AT92/ Base!$B$57</f>
        <v>0.14956615181510446</v>
      </c>
      <c r="AU93" s="23">
        <f>+AU92/ Base!$B$57</f>
        <v>0.14956615181510446</v>
      </c>
      <c r="AV93" s="23">
        <f>+AV92/ Base!$B$57</f>
        <v>0.14956615181510452</v>
      </c>
      <c r="AW93" s="23">
        <f>+AW92/ Base!$B$57</f>
        <v>0.14956615181510458</v>
      </c>
      <c r="AX93" s="23">
        <f>+AX92/ Base!$B$57</f>
        <v>0.14956615181510458</v>
      </c>
      <c r="AY93" s="23">
        <f>+AY92/ Base!$B$57</f>
        <v>0.14956615181510458</v>
      </c>
      <c r="AZ93" s="23">
        <f>+AZ92/ Base!$B$57</f>
        <v>0.14956615181510458</v>
      </c>
      <c r="BA93" s="23">
        <f>+BA92/ Base!$B$57</f>
        <v>0.14956615181510458</v>
      </c>
      <c r="BB93" s="23">
        <f>+BB92/ Base!$B$57</f>
        <v>0.14956615181510458</v>
      </c>
      <c r="BC93" s="23">
        <f>+BC92/ Base!$B$57</f>
        <v>0.14956615181510458</v>
      </c>
      <c r="BD93" s="23">
        <f>+BD92/ Base!$B$57</f>
        <v>0.14956615181510458</v>
      </c>
      <c r="BE93" s="23">
        <f>+BE92/ Base!$B$57</f>
        <v>0.14956615181510458</v>
      </c>
      <c r="BF93" s="23">
        <f>+BF92/ Base!$B$57</f>
        <v>0.14956615181510458</v>
      </c>
      <c r="BG93" s="23">
        <f>+BG92/ Base!$B$57</f>
        <v>0.14956615181510458</v>
      </c>
      <c r="BH93" s="23">
        <f>+BH92/ Base!$B$57</f>
        <v>0.15203811766877157</v>
      </c>
      <c r="BI93" s="23">
        <f>+BI92/ Base!$B$57</f>
        <v>0.16367505630144996</v>
      </c>
    </row>
    <row r="94" spans="1:61" s="23" customFormat="1" ht="18" customHeight="1" x14ac:dyDescent="0.3">
      <c r="A94" s="15" t="s">
        <v>29</v>
      </c>
      <c r="B94" s="23">
        <f>+MAX(B93:BI93)</f>
        <v>0.16367505630144996</v>
      </c>
    </row>
    <row r="95" spans="1:61" s="23" customFormat="1" ht="18" customHeight="1" x14ac:dyDescent="0.3">
      <c r="A95" s="15" t="s">
        <v>109</v>
      </c>
      <c r="B95" s="23">
        <v>20</v>
      </c>
    </row>
    <row r="96" spans="1:61" s="23" customFormat="1" ht="18" customHeight="1" x14ac:dyDescent="0.3">
      <c r="A96" s="15" t="s">
        <v>101</v>
      </c>
      <c r="B96" s="23">
        <v>2.5</v>
      </c>
    </row>
    <row r="97" spans="1:309" s="65" customFormat="1" ht="23.4" customHeight="1" x14ac:dyDescent="0.35">
      <c r="A97" s="56" t="s">
        <v>254</v>
      </c>
      <c r="B97" s="64">
        <v>0</v>
      </c>
      <c r="C97" s="65">
        <f>+B97*(1+0.05)^5</f>
        <v>0</v>
      </c>
      <c r="D97" s="65">
        <f t="shared" ref="D97:I97" si="9">+C97*(1+0.05)^5</f>
        <v>0</v>
      </c>
      <c r="E97" s="65">
        <f t="shared" si="9"/>
        <v>0</v>
      </c>
      <c r="F97" s="65">
        <f t="shared" si="9"/>
        <v>0</v>
      </c>
      <c r="G97" s="65">
        <f t="shared" si="9"/>
        <v>0</v>
      </c>
      <c r="H97" s="65">
        <f t="shared" si="9"/>
        <v>0</v>
      </c>
      <c r="I97" s="65">
        <f t="shared" si="9"/>
        <v>0</v>
      </c>
      <c r="J97" s="65">
        <f>+I97*(1+0.04)^5</f>
        <v>0</v>
      </c>
      <c r="K97" s="65">
        <f t="shared" ref="K97:T97" si="10">+J97*(1+0.04)^5</f>
        <v>0</v>
      </c>
      <c r="L97" s="65">
        <f t="shared" si="10"/>
        <v>0</v>
      </c>
      <c r="M97" s="65">
        <f t="shared" si="10"/>
        <v>0</v>
      </c>
      <c r="N97" s="65">
        <f t="shared" si="10"/>
        <v>0</v>
      </c>
      <c r="O97" s="65">
        <f t="shared" si="10"/>
        <v>0</v>
      </c>
      <c r="P97" s="65">
        <f t="shared" si="10"/>
        <v>0</v>
      </c>
      <c r="Q97" s="65">
        <f t="shared" si="10"/>
        <v>0</v>
      </c>
      <c r="R97" s="65">
        <f t="shared" si="10"/>
        <v>0</v>
      </c>
      <c r="S97" s="65">
        <f t="shared" si="10"/>
        <v>0</v>
      </c>
      <c r="T97" s="65">
        <f t="shared" si="10"/>
        <v>0</v>
      </c>
      <c r="U97" s="65">
        <f>+T97*(1+0.03)^5</f>
        <v>0</v>
      </c>
      <c r="V97" s="65">
        <f t="shared" ref="V97:AN97" si="11">+U97*(1+0.03)^5</f>
        <v>0</v>
      </c>
      <c r="W97" s="65">
        <f t="shared" si="11"/>
        <v>0</v>
      </c>
      <c r="X97" s="65">
        <f t="shared" si="11"/>
        <v>0</v>
      </c>
      <c r="Y97" s="65">
        <f t="shared" si="11"/>
        <v>0</v>
      </c>
      <c r="Z97" s="65">
        <f t="shared" si="11"/>
        <v>0</v>
      </c>
      <c r="AA97" s="65">
        <f t="shared" si="11"/>
        <v>0</v>
      </c>
      <c r="AB97" s="65">
        <f t="shared" si="11"/>
        <v>0</v>
      </c>
      <c r="AC97" s="65">
        <f t="shared" si="11"/>
        <v>0</v>
      </c>
      <c r="AD97" s="65">
        <f t="shared" si="11"/>
        <v>0</v>
      </c>
      <c r="AE97" s="65">
        <f t="shared" si="11"/>
        <v>0</v>
      </c>
      <c r="AF97" s="65">
        <f t="shared" si="11"/>
        <v>0</v>
      </c>
      <c r="AG97" s="65">
        <f t="shared" si="11"/>
        <v>0</v>
      </c>
      <c r="AH97" s="65">
        <f t="shared" si="11"/>
        <v>0</v>
      </c>
      <c r="AI97" s="65">
        <f t="shared" si="11"/>
        <v>0</v>
      </c>
      <c r="AJ97" s="65">
        <f t="shared" si="11"/>
        <v>0</v>
      </c>
      <c r="AK97" s="65">
        <f t="shared" si="11"/>
        <v>0</v>
      </c>
      <c r="AL97" s="65">
        <f t="shared" si="11"/>
        <v>0</v>
      </c>
      <c r="AM97" s="65">
        <f t="shared" si="11"/>
        <v>0</v>
      </c>
      <c r="AN97" s="65">
        <f t="shared" si="11"/>
        <v>0</v>
      </c>
      <c r="AO97" s="65">
        <f>+AN97*(1+$B$16+$B$17)^5</f>
        <v>0</v>
      </c>
      <c r="AP97" s="65">
        <f t="shared" ref="AP97:BI97" si="12">+AO97*(1+$B$16+$B$17)^5</f>
        <v>0</v>
      </c>
      <c r="AQ97" s="65">
        <f t="shared" si="12"/>
        <v>0</v>
      </c>
      <c r="AR97" s="65">
        <f t="shared" si="12"/>
        <v>0</v>
      </c>
      <c r="AS97" s="65">
        <f t="shared" si="12"/>
        <v>0</v>
      </c>
      <c r="AT97" s="65">
        <f t="shared" si="12"/>
        <v>0</v>
      </c>
      <c r="AU97" s="65">
        <f t="shared" si="12"/>
        <v>0</v>
      </c>
      <c r="AV97" s="65">
        <f t="shared" si="12"/>
        <v>0</v>
      </c>
      <c r="AW97" s="65">
        <f t="shared" si="12"/>
        <v>0</v>
      </c>
      <c r="AX97" s="65">
        <f t="shared" si="12"/>
        <v>0</v>
      </c>
      <c r="AY97" s="65">
        <f t="shared" si="12"/>
        <v>0</v>
      </c>
      <c r="AZ97" s="65">
        <f t="shared" si="12"/>
        <v>0</v>
      </c>
      <c r="BA97" s="65">
        <f t="shared" si="12"/>
        <v>0</v>
      </c>
      <c r="BB97" s="65">
        <f t="shared" si="12"/>
        <v>0</v>
      </c>
      <c r="BC97" s="65">
        <f t="shared" si="12"/>
        <v>0</v>
      </c>
      <c r="BD97" s="65">
        <f t="shared" si="12"/>
        <v>0</v>
      </c>
      <c r="BE97" s="65">
        <f t="shared" si="12"/>
        <v>0</v>
      </c>
      <c r="BF97" s="65">
        <f t="shared" si="12"/>
        <v>0</v>
      </c>
      <c r="BG97" s="65">
        <f t="shared" si="12"/>
        <v>0</v>
      </c>
      <c r="BH97" s="65">
        <f t="shared" si="12"/>
        <v>0</v>
      </c>
      <c r="BI97" s="65">
        <f t="shared" si="12"/>
        <v>0</v>
      </c>
      <c r="DS97" s="60"/>
      <c r="DT97" s="60"/>
      <c r="DU97" s="60"/>
      <c r="DV97" s="60"/>
      <c r="DW97" s="60"/>
      <c r="DX97" s="60"/>
      <c r="DY97" s="60"/>
      <c r="DZ97" s="60"/>
      <c r="EA97" s="60"/>
      <c r="EB97" s="60"/>
      <c r="EC97" s="60"/>
      <c r="ED97" s="60"/>
      <c r="EE97" s="60"/>
      <c r="EF97" s="60"/>
      <c r="EG97" s="60"/>
      <c r="EH97" s="60"/>
      <c r="EI97" s="60"/>
      <c r="EJ97" s="60"/>
      <c r="EK97" s="60"/>
      <c r="EL97" s="60"/>
      <c r="EM97" s="60"/>
      <c r="EN97" s="60"/>
      <c r="EO97" s="60"/>
      <c r="EP97" s="60"/>
      <c r="EQ97" s="60"/>
      <c r="ER97" s="60"/>
      <c r="ES97" s="60"/>
      <c r="ET97" s="60"/>
      <c r="EU97" s="60"/>
      <c r="EV97" s="60"/>
      <c r="EW97" s="60"/>
      <c r="EX97" s="60"/>
      <c r="EY97" s="60"/>
      <c r="EZ97" s="60"/>
      <c r="FA97" s="60"/>
      <c r="FB97" s="60"/>
      <c r="FC97" s="60"/>
      <c r="FD97" s="60"/>
      <c r="FE97" s="60"/>
      <c r="FF97" s="60"/>
      <c r="FG97" s="60"/>
      <c r="FH97" s="60"/>
      <c r="FI97" s="60"/>
      <c r="FJ97" s="60"/>
      <c r="FK97" s="60"/>
      <c r="FL97" s="60"/>
      <c r="FM97" s="60"/>
      <c r="FN97" s="60"/>
      <c r="FO97" s="60"/>
      <c r="FP97" s="60"/>
      <c r="FQ97" s="60"/>
      <c r="FR97" s="60"/>
      <c r="FS97" s="60"/>
      <c r="FT97" s="60"/>
      <c r="FU97" s="60"/>
      <c r="FV97" s="60"/>
      <c r="FW97" s="60"/>
      <c r="FX97" s="60"/>
      <c r="FY97" s="60"/>
      <c r="FZ97" s="60"/>
      <c r="GA97" s="60"/>
      <c r="GB97" s="60"/>
      <c r="GC97" s="60"/>
      <c r="GD97" s="60"/>
      <c r="GE97" s="60"/>
      <c r="GF97" s="60"/>
      <c r="GG97" s="60"/>
      <c r="GH97" s="60"/>
      <c r="GI97" s="60"/>
      <c r="GJ97" s="60"/>
      <c r="GK97" s="60"/>
      <c r="GL97" s="60"/>
      <c r="GM97" s="60"/>
      <c r="GN97" s="60"/>
      <c r="GO97" s="60"/>
      <c r="GP97" s="60"/>
      <c r="GQ97" s="60"/>
      <c r="GR97" s="60"/>
      <c r="GS97" s="60"/>
      <c r="GT97" s="60"/>
      <c r="GU97" s="60"/>
      <c r="GV97" s="60"/>
      <c r="GW97" s="60"/>
      <c r="GX97" s="60"/>
      <c r="GY97" s="60"/>
      <c r="GZ97" s="60"/>
      <c r="HA97" s="60"/>
      <c r="HB97" s="60"/>
      <c r="HC97" s="60"/>
      <c r="HD97" s="60"/>
      <c r="HE97" s="60"/>
      <c r="HF97" s="60"/>
      <c r="HG97" s="60"/>
      <c r="HH97" s="60"/>
      <c r="HI97" s="60"/>
      <c r="HJ97" s="60"/>
      <c r="HK97" s="60"/>
      <c r="HL97" s="60"/>
      <c r="HM97" s="60"/>
      <c r="HN97" s="60"/>
      <c r="HO97" s="60"/>
      <c r="HP97" s="60"/>
      <c r="HQ97" s="60"/>
      <c r="HR97" s="60"/>
      <c r="HS97" s="60"/>
      <c r="HT97" s="60"/>
      <c r="HU97" s="60"/>
      <c r="HV97" s="60"/>
      <c r="HW97" s="60"/>
      <c r="HX97" s="60"/>
      <c r="HY97" s="60"/>
      <c r="HZ97" s="60"/>
      <c r="IA97" s="60"/>
      <c r="IB97" s="60"/>
      <c r="IC97" s="60"/>
      <c r="ID97" s="60"/>
      <c r="IE97" s="60"/>
      <c r="IF97" s="60"/>
      <c r="IG97" s="60"/>
      <c r="IH97" s="60"/>
      <c r="II97" s="60"/>
      <c r="IJ97" s="60"/>
      <c r="IK97" s="60"/>
      <c r="IL97" s="60"/>
      <c r="IM97" s="60"/>
      <c r="IN97" s="60"/>
      <c r="IO97" s="60"/>
      <c r="IP97" s="60"/>
      <c r="IQ97" s="60"/>
      <c r="IR97" s="60"/>
      <c r="IS97" s="60"/>
      <c r="IT97" s="60"/>
      <c r="IU97" s="60"/>
      <c r="IV97" s="60"/>
      <c r="IW97" s="60"/>
      <c r="IX97" s="60"/>
      <c r="IY97" s="60"/>
      <c r="IZ97" s="60"/>
      <c r="JA97" s="60"/>
      <c r="JB97" s="60"/>
      <c r="JC97" s="60"/>
      <c r="JD97" s="60"/>
      <c r="JE97" s="60"/>
      <c r="JF97" s="60"/>
      <c r="JG97" s="60"/>
      <c r="JH97" s="60"/>
      <c r="JI97" s="60"/>
      <c r="JJ97" s="60"/>
      <c r="JK97" s="60"/>
      <c r="JL97" s="60"/>
      <c r="JM97" s="60"/>
      <c r="JN97" s="60"/>
      <c r="JO97" s="60"/>
      <c r="JP97" s="60"/>
      <c r="JQ97" s="60"/>
      <c r="JR97" s="60"/>
      <c r="JS97" s="60"/>
      <c r="JT97" s="60"/>
      <c r="JU97" s="60"/>
      <c r="JV97" s="60"/>
      <c r="JW97" s="60"/>
      <c r="JX97" s="60"/>
      <c r="JY97" s="60"/>
      <c r="JZ97" s="60"/>
      <c r="KA97" s="60"/>
      <c r="KB97" s="60"/>
      <c r="KC97" s="60"/>
      <c r="KD97" s="60"/>
      <c r="KE97" s="60"/>
      <c r="KF97" s="60"/>
      <c r="KG97" s="60"/>
      <c r="KH97" s="60"/>
      <c r="KI97" s="60"/>
      <c r="KJ97" s="60"/>
      <c r="KK97" s="60"/>
      <c r="KL97" s="60"/>
      <c r="KM97" s="60"/>
      <c r="KN97" s="60"/>
      <c r="KO97" s="60"/>
      <c r="KP97" s="60"/>
      <c r="KQ97" s="60"/>
      <c r="KR97" s="60"/>
      <c r="KS97" s="60"/>
      <c r="KT97" s="60"/>
      <c r="KU97" s="60"/>
      <c r="KV97" s="60"/>
      <c r="KW97" s="60"/>
    </row>
    <row r="98" spans="1:309" s="23" customFormat="1" ht="18" customHeight="1" x14ac:dyDescent="0.3">
      <c r="A98" s="85"/>
    </row>
    <row r="99" spans="1:309" s="23" customFormat="1" ht="18" customHeight="1" thickBot="1" x14ac:dyDescent="0.35">
      <c r="A99" s="84" t="s">
        <v>205</v>
      </c>
    </row>
    <row r="100" spans="1:309" s="23" customFormat="1" ht="18" customHeight="1" thickTop="1" x14ac:dyDescent="0.3">
      <c r="A100" s="15" t="s">
        <v>14</v>
      </c>
      <c r="B100" s="23">
        <f xml:space="preserve"> Base!B76</f>
        <v>0.83</v>
      </c>
      <c r="C100" s="67">
        <f>B100+Base!$B82*(C101-(Base!$B$80/Base!$B79)*B100-Base!$B83*(B100-B102))</f>
        <v>0.93327295505360208</v>
      </c>
      <c r="D100" s="67">
        <f>C100+Base!$B82*(D101-(Base!$B$80/Base!$B79)*C100-Base!$B83*(C100-C102))</f>
        <v>1.0426471846351559</v>
      </c>
      <c r="E100" s="67">
        <f>D100+Base!$B82*(E101-(Base!$B$80/Base!$B79)*D100-Base!$B83*(D100-D102))</f>
        <v>1.1578479687482126</v>
      </c>
      <c r="F100" s="67">
        <f>E100+Base!$B82*(F101-(Base!$B$80/Base!$B79)*E100-Base!$B83*(E100-E102))</f>
        <v>1.2784053200011294</v>
      </c>
      <c r="G100" s="67">
        <f>F100+Base!$B82*(G101-(Base!$B$80/Base!$B79)*F100-Base!$B83*(F100-F102))</f>
        <v>1.4036608444112624</v>
      </c>
      <c r="H100" s="67">
        <f>G100+Base!$B82*(H101-(Base!$B$80/Base!$B79)*G100-Base!$B83*(G100-G102))</f>
        <v>1.532788579744333</v>
      </c>
      <c r="I100" s="67">
        <f>H100+Base!$B82*(I101-(Base!$B$80/Base!$B79)*H100-Base!$B83*(H100-H102))</f>
        <v>1.6648233460391022</v>
      </c>
      <c r="J100" s="67">
        <f>I100+Base!$B82*(J101-(Base!$B$80/Base!$B79)*I100-Base!$B83*(I100-I102))</f>
        <v>1.7986917356557233</v>
      </c>
      <c r="K100" s="67">
        <f>J100+Base!$B82*(K101-(Base!$B$80/Base!$B79)*J100-Base!$B83*(J100-J102))</f>
        <v>1.9332422985587283</v>
      </c>
      <c r="L100" s="67">
        <f>K100+Base!$B82*(L101-(Base!$B$80/Base!$B79)*K100-Base!$B83*(K100-K102))</f>
        <v>2.067272673057365</v>
      </c>
      <c r="M100" s="67">
        <f>L100+Base!$B82*(M101-(Base!$B$80/Base!$B79)*L100-Base!$B83*(L100-L102))</f>
        <v>2.1995523473465695</v>
      </c>
      <c r="N100" s="67">
        <f>M100+Base!$B82*(N101-(Base!$B$80/Base!$B79)*M100-Base!$B83*(M100-M102))</f>
        <v>2.3288404214039948</v>
      </c>
      <c r="O100" s="67">
        <f>N100+Base!$B82*(O101-(Base!$B$80/Base!$B79)*N100-Base!$B83*(N100-N102))</f>
        <v>2.45389820146357</v>
      </c>
      <c r="P100" s="67">
        <f>O100+Base!$B82*(P101-(Base!$B$80/Base!$B79)*O100-Base!$B83*(O100-O102))</f>
        <v>2.5734967385796033</v>
      </c>
      <c r="Q100" s="67">
        <f>P100+Base!$B82*(Q101-(Base!$B$80/Base!$B79)*P100-Base!$B83*(P100-P102))</f>
        <v>2.6864195566902218</v>
      </c>
      <c r="R100" s="67">
        <f>Q100+Base!$B82*(R101-(Base!$B$80/Base!$B79)*Q100-Base!$B83*(Q100-Q102))</f>
        <v>2.7914608356820816</v>
      </c>
      <c r="S100" s="67">
        <f>R100+Base!$B82*(S101-(Base!$B$80/Base!$B79)*R100-Base!$B83*(R100-R102))</f>
        <v>2.8874192423663572</v>
      </c>
      <c r="T100" s="67">
        <f>S100+Base!$B82*(T101-(Base!$B$80/Base!$B79)*S100-Base!$B83*(S100-S102))</f>
        <v>2.9730874437873451</v>
      </c>
      <c r="U100" s="67">
        <f>T100+Base!$B82*(U101-(Base!$B$80/Base!$B79)*T100-Base!$B83*(T100-T102))</f>
        <v>3.0437010797209458</v>
      </c>
      <c r="V100" s="67">
        <f>U100+Base!$B82*(V101-(Base!$B$80/Base!$B79)*U100-Base!$B83*(U100-U102))</f>
        <v>3.0984585032164342</v>
      </c>
      <c r="W100" s="67">
        <f>V100+Base!$B82*(W101-(Base!$B$80/Base!$B79)*V100-Base!$B83*(V100-V102))</f>
        <v>3.1364283136310118</v>
      </c>
      <c r="X100" s="67">
        <f>W100+Base!$B82*(X101-(Base!$B$80/Base!$B79)*W100-Base!$B83*(W100-W102))</f>
        <v>3.1588474716510251</v>
      </c>
      <c r="Y100" s="67">
        <f>X100+Base!$B82*(Y101-(Base!$B$80/Base!$B79)*X100-Base!$B83*(X100-X102))</f>
        <v>3.1689543805294922</v>
      </c>
      <c r="Z100" s="67">
        <f>Y100+Base!$B82*(Z101-(Base!$B$80/Base!$B79)*Y100-Base!$B83*(Y100-Y102))</f>
        <v>3.1694404157755893</v>
      </c>
      <c r="AA100" s="67">
        <f>Z100+Base!$B82*(AA101-(Base!$B$80/Base!$B79)*Z100-Base!$B83*(Z100-Z102))</f>
        <v>3.1625307147773296</v>
      </c>
      <c r="AB100" s="67">
        <f>AA100+Base!$B82*(AB101-(Base!$B$80/Base!$B79)*AA100-Base!$B83*(AA100-AA102))</f>
        <v>3.1500544488041418</v>
      </c>
      <c r="AC100" s="67">
        <f>AB100+Base!$B82*(AC101-(Base!$B$80/Base!$B79)*AB100-Base!$B83*(AB100-AB102))</f>
        <v>3.1335057546522291</v>
      </c>
      <c r="AD100" s="67">
        <f>AC100+Base!$B82*(AD101-(Base!$B$80/Base!$B79)*AC100-Base!$B83*(AC100-AC102))</f>
        <v>3.1140963927092207</v>
      </c>
      <c r="AE100" s="67">
        <f>AD100+Base!$B82*(AE101-(Base!$B$80/Base!$B79)*AD100-Base!$B83*(AD100-AD102))</f>
        <v>3.0928010990304289</v>
      </c>
      <c r="AF100" s="67">
        <f>AE100+Base!$B82*(AF101-(Base!$B$80/Base!$B79)*AE100-Base!$B83*(AE100-AE102))</f>
        <v>3.0703965081261249</v>
      </c>
      <c r="AG100" s="67">
        <f>AF100+Base!$B82*(AG101-(Base!$B$80/Base!$B79)*AF100-Base!$B83*(AF100-AF102))</f>
        <v>3.047494438762254</v>
      </c>
      <c r="AH100" s="67">
        <f>AG100+Base!$B82*(AH101-(Base!$B$80/Base!$B79)*AG100-Base!$B83*(AG100-AG102))</f>
        <v>3.0245702562138952</v>
      </c>
      <c r="AI100" s="67">
        <f>AH100+Base!$B82*(AI101-(Base!$B$80/Base!$B79)*AH100-Base!$B83*(AH100-AH102))</f>
        <v>3.0019869506452799</v>
      </c>
      <c r="AJ100" s="67">
        <f>AI100+Base!$B82*(AJ101-(Base!$B$80/Base!$B79)*AI100-Base!$B83*(AI100-AI102))</f>
        <v>2.9800155024811907</v>
      </c>
      <c r="AK100" s="67">
        <f>AJ100+Base!$B82*(AK101-(Base!$B$80/Base!$B79)*AJ100-Base!$B83*(AJ100-AJ102))</f>
        <v>2.9588520417750033</v>
      </c>
      <c r="AL100" s="67">
        <f>AK100+Base!$B82*(AL101-(Base!$B$80/Base!$B79)*AK100-Base!$B83*(AK100-AK102))</f>
        <v>2.9386322496916324</v>
      </c>
      <c r="AM100" s="67">
        <f>AL100+Base!$B82*(AM101-(Base!$B$80/Base!$B79)*AL100-Base!$B83*(AL100-AL102))</f>
        <v>2.9194433963023729</v>
      </c>
      <c r="AN100" s="67">
        <f>AM100+Base!$B82*(AN101-(Base!$B$80/Base!$B79)*AM100-Base!$B83*(AM100-AM102))</f>
        <v>2.90133435986729</v>
      </c>
      <c r="AO100" s="67">
        <f>AN100+Base!$B82*(AO101-(Base!$B$80/Base!$B79)*AN100-Base!$B83*(AN100-AN102))</f>
        <v>2.8843239285264692</v>
      </c>
      <c r="AP100" s="67">
        <f>AO100+Base!$B82*(AP101-(Base!$B$80/Base!$B79)*AO100-Base!$B83*(AO100-AO102))</f>
        <v>2.8684076456382632</v>
      </c>
      <c r="AQ100" s="67">
        <f>AP100+Base!$B82*(AQ101-(Base!$B$80/Base!$B79)*AP100-Base!$B83*(AP100-AP102))</f>
        <v>2.8535634246432018</v>
      </c>
      <c r="AR100" s="67">
        <f>AQ100+Base!$B82*(AR101-(Base!$B$80/Base!$B79)*AQ100-Base!$B83*(AQ100-AQ102))</f>
        <v>2.8397561280109147</v>
      </c>
      <c r="AS100" s="67">
        <f>AR100+Base!$B82*(AS101-(Base!$B$80/Base!$B79)*AR100-Base!$B83*(AR100-AR102))</f>
        <v>2.8269412772348717</v>
      </c>
      <c r="AT100" s="67">
        <f>AS100+Base!$B82*(AT101-(Base!$B$80/Base!$B79)*AS100-Base!$B83*(AS100-AS102))</f>
        <v>2.8150680366550693</v>
      </c>
      <c r="AU100" s="67">
        <f>AT100+Base!$B82*(AU101-(Base!$B$80/Base!$B79)*AT100-Base!$B83*(AT100-AT102))</f>
        <v>2.8040815927905363</v>
      </c>
      <c r="AV100" s="67">
        <f>AU100+Base!$B82*(AV101-(Base!$B$80/Base!$B79)*AU100-Base!$B83*(AU100-AU102))</f>
        <v>2.7939250325377816</v>
      </c>
      <c r="AW100" s="67">
        <f>AV100+Base!$B82*(AW101-(Base!$B$80/Base!$B79)*AV100-Base!$B83*(AV100-AV102))</f>
        <v>2.784540807738165</v>
      </c>
      <c r="AX100" s="67">
        <f>AW100+Base!$B82*(AX101-(Base!$B$80/Base!$B79)*AW100-Base!$B83*(AW100-AW102))</f>
        <v>2.7758718599548442</v>
      </c>
      <c r="AY100" s="67">
        <f>AX100+Base!$B82*(AY101-(Base!$B$80/Base!$B79)*AX100-Base!$B83*(AX100-AX102))</f>
        <v>2.7678624675675678</v>
      </c>
      <c r="AZ100" s="67">
        <f>AY100+Base!$B82*(AZ101-(Base!$B$80/Base!$B79)*AY100-Base!$B83*(AY100-AY102))</f>
        <v>2.7604588672523875</v>
      </c>
      <c r="BA100" s="67">
        <f>AZ100+Base!$B82*(BA101-(Base!$B$80/Base!$B79)*AZ100-Base!$B83*(AZ100-AZ102))</f>
        <v>2.7536096933472032</v>
      </c>
      <c r="BB100" s="67">
        <f>BA100+Base!$B82*(BB101-(Base!$B$80/Base!$B79)*BA100-Base!$B83*(BA100-BA102))</f>
        <v>2.747266271318813</v>
      </c>
      <c r="BC100" s="67">
        <f>BB100+Base!$B82*(BC101-(Base!$B$80/Base!$B79)*BB100-Base!$B83*(BB100-BB102))</f>
        <v>2.7413827953699066</v>
      </c>
      <c r="BD100" s="67">
        <f>BC100+Base!$B82*(BD101-(Base!$B$80/Base!$B79)*BC100-Base!$B83*(BC100-BC102))</f>
        <v>2.735916415002142</v>
      </c>
      <c r="BE100" s="67">
        <f>BD100+Base!$B82*(BE101-(Base!$B$80/Base!$B79)*BD100-Base!$B83*(BD100-BD102))</f>
        <v>2.7308272509494023</v>
      </c>
      <c r="BF100" s="67">
        <f>BE100+Base!$B82*(BF101-(Base!$B$80/Base!$B79)*BE100-Base!$B83*(BE100-BE102))</f>
        <v>2.7260783571956302</v>
      </c>
      <c r="BG100" s="67">
        <f>BF100+Base!$B82*(BG101-(Base!$B$80/Base!$B79)*BF100-Base!$B83*(BF100-BF102))</f>
        <v>2.7216356426914903</v>
      </c>
      <c r="BH100" s="67">
        <f>BG100+Base!$B82*(BH101-(Base!$B$80/Base!$B79)*BG100-Base!$B83*(BG100-BG102))</f>
        <v>2.7263036656072313</v>
      </c>
      <c r="BI100" s="67">
        <f>BH100+Base!$B82*(BI101-(Base!$B$80/Base!$B79)*BH100-Base!$B83*(BH100-BH102))</f>
        <v>2.7692116343480895</v>
      </c>
      <c r="BJ100" s="67"/>
      <c r="BK100" s="67"/>
      <c r="BL100" s="67"/>
      <c r="BM100" s="67"/>
      <c r="BN100" s="67"/>
      <c r="BO100" s="67"/>
      <c r="BP100" s="67"/>
      <c r="BQ100" s="67"/>
      <c r="BR100" s="67"/>
      <c r="BS100" s="67"/>
      <c r="BT100" s="67"/>
      <c r="BU100" s="67"/>
      <c r="BV100" s="67"/>
      <c r="BW100" s="67"/>
      <c r="BX100" s="67"/>
      <c r="BY100" s="67"/>
      <c r="BZ100" s="67"/>
      <c r="CA100" s="67"/>
      <c r="CB100" s="67"/>
      <c r="CC100" s="67"/>
      <c r="CD100" s="67"/>
      <c r="CE100" s="67"/>
      <c r="CF100" s="67"/>
      <c r="CG100" s="67"/>
      <c r="CH100" s="67"/>
      <c r="CI100" s="67"/>
      <c r="CJ100" s="67"/>
      <c r="CK100" s="67"/>
      <c r="CL100" s="67"/>
      <c r="CM100" s="67"/>
      <c r="CN100" s="67"/>
      <c r="CO100" s="67"/>
      <c r="CP100" s="67"/>
      <c r="CQ100" s="67"/>
      <c r="CR100" s="67"/>
      <c r="CS100" s="67"/>
      <c r="CT100" s="67"/>
      <c r="CU100" s="67"/>
      <c r="CV100" s="67"/>
      <c r="CW100" s="67"/>
      <c r="CX100" s="67"/>
      <c r="CY100" s="67"/>
      <c r="CZ100" s="67"/>
      <c r="DA100" s="67"/>
      <c r="DB100" s="67"/>
      <c r="DC100" s="67"/>
      <c r="DD100" s="67"/>
      <c r="DE100" s="67"/>
      <c r="DF100" s="67"/>
      <c r="DG100" s="67"/>
      <c r="DH100" s="67"/>
      <c r="DI100" s="67"/>
      <c r="DJ100" s="67"/>
      <c r="DK100" s="67"/>
      <c r="DL100" s="67"/>
      <c r="DM100" s="67"/>
      <c r="DN100" s="67"/>
      <c r="DO100" s="67"/>
      <c r="DP100" s="67"/>
      <c r="DQ100" s="67"/>
      <c r="DR100" s="67"/>
      <c r="DS100" s="67"/>
      <c r="DT100" s="67"/>
      <c r="DU100" s="67"/>
      <c r="DV100" s="67"/>
      <c r="DW100" s="67"/>
      <c r="DX100" s="67"/>
    </row>
    <row r="101" spans="1:309" s="23" customFormat="1" ht="18" customHeight="1" x14ac:dyDescent="0.3">
      <c r="A101" s="15" t="s">
        <v>87</v>
      </c>
      <c r="B101" s="68">
        <f>Base!$B$80*(LOG(B87/Parameters!$B$71))/LOG(2)+Base!B73</f>
        <v>1.8244793195909872</v>
      </c>
      <c r="C101" s="68">
        <f>Base!$B$80*(LOG(C87/Parameters!$B$71))/LOG(2)+Base!C73</f>
        <v>2.051075783207712</v>
      </c>
      <c r="D101" s="68">
        <f>Base!$B$80*(LOG(D87/Parameters!$B$71))/LOG(2)+Base!D73</f>
        <v>2.2396554986088866</v>
      </c>
      <c r="E101" s="68">
        <f>Base!$B$80*(LOG(E87/Parameters!$B$71))/LOG(2)+Base!E73</f>
        <v>2.4331939267419536</v>
      </c>
      <c r="F101" s="68">
        <f>Base!$B$80*(LOG(F87/Parameters!$B$71))/LOG(2)+Base!F73</f>
        <v>2.6294542164523724</v>
      </c>
      <c r="G101" s="68">
        <f>Base!$B$80*(LOG(G87/Parameters!$B$71))/LOG(2)+Base!G73</f>
        <v>2.8260172485454014</v>
      </c>
      <c r="H101" s="68">
        <f>Base!$B$80*(LOG(H87/Parameters!$B$71))/LOG(2)+Base!H73</f>
        <v>3.0204251950504917</v>
      </c>
      <c r="I101" s="68">
        <f>Base!$B$80*(LOG(I87/Parameters!$B$71))/LOG(2)+Base!I73</f>
        <v>3.2102807146891101</v>
      </c>
      <c r="J101" s="68">
        <f>Base!$B$80*(LOG(J87/Parameters!$B$71))/LOG(2)+Base!J73</f>
        <v>3.3933088221845304</v>
      </c>
      <c r="K101" s="68">
        <f>Base!$B$80*(LOG(K87/Parameters!$B$71))/LOG(2)+Base!K73</f>
        <v>3.5673889355445261</v>
      </c>
      <c r="L101" s="68">
        <f>Base!$B$80*(LOG(L87/Parameters!$B$71))/LOG(2)+Base!L73</f>
        <v>3.7305641897737329</v>
      </c>
      <c r="M101" s="68">
        <f>Base!$B$80*(LOG(M87/Parameters!$B$71))/LOG(2)+Base!M73</f>
        <v>3.8810341426046464</v>
      </c>
      <c r="N101" s="68">
        <f>Base!$B$80*(LOG(N87/Parameters!$B$71))/LOG(2)+Base!N73</f>
        <v>4.0171357828599845</v>
      </c>
      <c r="O101" s="68">
        <f>Base!$B$80*(LOG(O87/Parameters!$B$71))/LOG(2)+Base!O73</f>
        <v>4.1373164971912111</v>
      </c>
      <c r="P101" s="68">
        <f>Base!$B$80*(LOG(P87/Parameters!$B$71))/LOG(2)+Base!P73</f>
        <v>4.2401014789873441</v>
      </c>
      <c r="Q101" s="68">
        <f>Base!$B$80*(LOG(Q87/Parameters!$B$71))/LOG(2)+Base!Q73</f>
        <v>4.324057021484017</v>
      </c>
      <c r="R101" s="68">
        <f>Base!$B$80*(LOG(R87/Parameters!$B$71))/LOG(2)+Base!R73</f>
        <v>4.3877502130851953</v>
      </c>
      <c r="S101" s="68">
        <f>Base!$B$80*(LOG(S87/Parameters!$B$71))/LOG(2)+Base!S73</f>
        <v>4.4297046865015428</v>
      </c>
      <c r="T101" s="68">
        <f>Base!$B$80*(LOG(T87/Parameters!$B$71))/LOG(2)+Base!T73</f>
        <v>4.448351153930064</v>
      </c>
      <c r="U101" s="68">
        <f>Base!$B$80*(LOG(U87/Parameters!$B$71))/LOG(2)+Base!U73</f>
        <v>4.4079703050225865</v>
      </c>
      <c r="V101" s="68">
        <f>Base!$B$80*(LOG(V87/Parameters!$B$71))/LOG(2)+Base!V73</f>
        <v>4.3406131240968762</v>
      </c>
      <c r="W101" s="68">
        <f>Base!$B$80*(LOG(W87/Parameters!$B$71))/LOG(2)+Base!W73</f>
        <v>4.2440442511063621</v>
      </c>
      <c r="X101" s="68">
        <f>Base!$B$80*(LOG(X87/Parameters!$B$71))/LOG(2)+Base!X73</f>
        <v>4.1379609793055812</v>
      </c>
      <c r="Y101" s="68">
        <f>Base!$B$80*(LOG(Y87/Parameters!$B$71))/LOG(2)+Base!Y73</f>
        <v>4.0432225161398749</v>
      </c>
      <c r="Z101" s="68">
        <f>Base!$B$80*(LOG(Z87/Parameters!$B$71))/LOG(2)+Base!Z73</f>
        <v>3.9587327449177288</v>
      </c>
      <c r="AA101" s="68">
        <f>Base!$B$80*(LOG(AA87/Parameters!$B$71))/LOG(2)+Base!AA73</f>
        <v>3.8834666843154162</v>
      </c>
      <c r="AB101" s="68">
        <f>Base!$B$80*(LOG(AB87/Parameters!$B$71))/LOG(2)+Base!AB73</f>
        <v>3.8164738068902371</v>
      </c>
      <c r="AC101" s="68">
        <f>Base!$B$80*(LOG(AC87/Parameters!$B$71))/LOG(2)+Base!AC73</f>
        <v>3.7568790494097617</v>
      </c>
      <c r="AD101" s="68">
        <f>Base!$B$80*(LOG(AD87/Parameters!$B$71))/LOG(2)+Base!AD73</f>
        <v>3.7038819826855733</v>
      </c>
      <c r="AE101" s="68">
        <f>Base!$B$80*(LOG(AE87/Parameters!$B$71))/LOG(2)+Base!AE73</f>
        <v>3.6567545730479143</v>
      </c>
      <c r="AF101" s="68">
        <f>Base!$B$80*(LOG(AF87/Parameters!$B$71))/LOG(2)+Base!AF73</f>
        <v>3.6148379178364158</v>
      </c>
      <c r="AG101" s="68">
        <f>Base!$B$80*(LOG(AG87/Parameters!$B$71))/LOG(2)+Base!AG73</f>
        <v>3.5775382811255447</v>
      </c>
      <c r="AH101" s="68">
        <f>Base!$B$80*(LOG(AH87/Parameters!$B$71))/LOG(2)+Base!AH73</f>
        <v>3.544322699049316</v>
      </c>
      <c r="AI101" s="68">
        <f>Base!$B$80*(LOG(AI87/Parameters!$B$71))/LOG(2)+Base!AI73</f>
        <v>3.5147143703452759</v>
      </c>
      <c r="AJ101" s="68">
        <f>Base!$B$80*(LOG(AJ87/Parameters!$B$71))/LOG(2)+Base!AJ73</f>
        <v>3.4882879993662907</v>
      </c>
      <c r="AK101" s="68">
        <f>Base!$B$80*(LOG(AK87/Parameters!$B$71))/LOG(2)+Base!AK73</f>
        <v>3.4646652169018837</v>
      </c>
      <c r="AL101" s="68">
        <f>Base!$B$80*(LOG(AL87/Parameters!$B$71))/LOG(2)+Base!AL73</f>
        <v>3.4435101689742931</v>
      </c>
      <c r="AM101" s="68">
        <f>Base!$B$80*(LOG(AM87/Parameters!$B$71))/LOG(2)+Base!AM73</f>
        <v>3.4245253350534348</v>
      </c>
      <c r="AN101" s="68">
        <f>Base!$B$80*(LOG(AN87/Parameters!$B$71))/LOG(2)+Base!AN73</f>
        <v>3.4074476142787944</v>
      </c>
      <c r="AO101" s="68">
        <f>Base!$B$80*(LOG(AO87/Parameters!$B$71))/LOG(2)+Base!AO73</f>
        <v>3.3920447005399179</v>
      </c>
      <c r="AP101" s="68">
        <f>Base!$B$80*(LOG(AP87/Parameters!$B$71))/LOG(2)+Base!AP73</f>
        <v>3.3781117538625955</v>
      </c>
      <c r="AQ101" s="68">
        <f>Base!$B$80*(LOG(AQ87/Parameters!$B$71))/LOG(2)+Base!AQ73</f>
        <v>3.3654683657138991</v>
      </c>
      <c r="AR101" s="68">
        <f>Base!$B$80*(LOG(AR87/Parameters!$B$71))/LOG(2)+Base!AR73</f>
        <v>3.3539558088822954</v>
      </c>
      <c r="AS101" s="68">
        <f>Base!$B$80*(LOG(AS87/Parameters!$B$71))/LOG(2)+Base!AS73</f>
        <v>3.3434345579021278</v>
      </c>
      <c r="AT101" s="68">
        <f>Base!$B$80*(LOG(AT87/Parameters!$B$71))/LOG(2)+Base!AT73</f>
        <v>3.3337820630596675</v>
      </c>
      <c r="AU101" s="68">
        <f>Base!$B$80*(LOG(AU87/Parameters!$B$71))/LOG(2)+Base!AU73</f>
        <v>3.3248907594143762</v>
      </c>
      <c r="AV101" s="68">
        <f>Base!$B$80*(LOG(AV87/Parameters!$B$71))/LOG(2)+Base!AV73</f>
        <v>3.3166662916484357</v>
      </c>
      <c r="AW101" s="68">
        <f>Base!$B$80*(LOG(AW87/Parameters!$B$71))/LOG(2)+Base!AW73</f>
        <v>3.3090259356448346</v>
      </c>
      <c r="AX101" s="68">
        <f>Base!$B$80*(LOG(AX87/Parameters!$B$71))/LOG(2)+Base!AX73</f>
        <v>3.3018971982743608</v>
      </c>
      <c r="AY101" s="68">
        <f>Base!$B$80*(LOG(AY87/Parameters!$B$71))/LOG(2)+Base!AY73</f>
        <v>3.2952165777790392</v>
      </c>
      <c r="AZ101" s="68">
        <f>Base!$B$80*(LOG(AZ87/Parameters!$B$71))/LOG(2)+Base!AZ73</f>
        <v>3.2889284682486766</v>
      </c>
      <c r="BA101" s="68">
        <f>Base!$B$80*(LOG(BA87/Parameters!$B$71))/LOG(2)+Base!BA73</f>
        <v>3.2829841929051682</v>
      </c>
      <c r="BB101" s="68">
        <f>Base!$B$80*(LOG(BB87/Parameters!$B$71))/LOG(2)+Base!BB73</f>
        <v>3.2773411521684599</v>
      </c>
      <c r="BC101" s="68">
        <f>Base!$B$80*(LOG(BC87/Parameters!$B$71))/LOG(2)+Base!BC73</f>
        <v>3.2719620737303434</v>
      </c>
      <c r="BD101" s="68">
        <f>Base!$B$80*(LOG(BD87/Parameters!$B$71))/LOG(2)+Base!BD73</f>
        <v>3.2668143530749827</v>
      </c>
      <c r="BE101" s="68">
        <f>Base!$B$80*(LOG(BE87/Parameters!$B$71))/LOG(2)+Base!BE73</f>
        <v>3.2618694740364806</v>
      </c>
      <c r="BF101" s="68">
        <f>Base!$B$80*(LOG(BF87/Parameters!$B$71))/LOG(2)+Base!BF73</f>
        <v>3.2571025000609923</v>
      </c>
      <c r="BG101" s="68">
        <f>Base!$B$80*(LOG(BG87/Parameters!$B$71))/LOG(2)+Base!BG73</f>
        <v>3.2524916278370539</v>
      </c>
      <c r="BH101" s="68">
        <f>Base!$B$80*(LOG(BH87/Parameters!$B$71))/LOG(2)+Base!BH73</f>
        <v>3.3329783902249317</v>
      </c>
      <c r="BI101" s="68">
        <f>Base!$B$80*(LOG(BI87/Parameters!$B$71))/LOG(2)+Base!BI73</f>
        <v>3.70522045951392</v>
      </c>
      <c r="BJ101" s="68"/>
      <c r="BK101" s="68"/>
      <c r="BL101" s="68"/>
      <c r="BM101" s="68"/>
      <c r="BN101" s="68"/>
      <c r="BO101" s="68"/>
      <c r="BP101" s="68"/>
      <c r="BQ101" s="68"/>
      <c r="BR101" s="68"/>
      <c r="BS101" s="68"/>
      <c r="BT101" s="68"/>
      <c r="BU101" s="68"/>
      <c r="BV101" s="68"/>
      <c r="BW101" s="68"/>
      <c r="BX101" s="68"/>
      <c r="BY101" s="68"/>
      <c r="BZ101" s="68"/>
      <c r="CA101" s="68"/>
      <c r="CB101" s="68"/>
      <c r="CC101" s="68"/>
      <c r="CD101" s="68"/>
      <c r="CE101" s="68"/>
      <c r="CF101" s="68"/>
      <c r="CG101" s="68"/>
      <c r="CH101" s="68"/>
      <c r="CI101" s="68"/>
      <c r="CJ101" s="68"/>
      <c r="CK101" s="68"/>
      <c r="CL101" s="68"/>
      <c r="CM101" s="68"/>
      <c r="CN101" s="68"/>
      <c r="CO101" s="68"/>
      <c r="CP101" s="68"/>
      <c r="CQ101" s="68"/>
      <c r="CR101" s="68"/>
      <c r="CS101" s="68"/>
      <c r="CT101" s="68"/>
      <c r="CU101" s="68"/>
      <c r="CV101" s="68"/>
      <c r="CW101" s="68"/>
      <c r="CX101" s="68"/>
      <c r="CY101" s="68"/>
      <c r="CZ101" s="68"/>
      <c r="DA101" s="68"/>
      <c r="DB101" s="68"/>
      <c r="DC101" s="68"/>
      <c r="DD101" s="68"/>
      <c r="DE101" s="68"/>
      <c r="DF101" s="68"/>
      <c r="DG101" s="68"/>
      <c r="DH101" s="68"/>
      <c r="DI101" s="68"/>
      <c r="DJ101" s="68"/>
      <c r="DK101" s="68"/>
      <c r="DL101" s="68"/>
      <c r="DM101" s="68"/>
      <c r="DN101" s="68"/>
      <c r="DO101" s="68"/>
      <c r="DP101" s="68"/>
      <c r="DQ101" s="68"/>
      <c r="DR101" s="68"/>
      <c r="DS101" s="68"/>
      <c r="DT101" s="68"/>
      <c r="DU101" s="68"/>
      <c r="DV101" s="68"/>
      <c r="DW101" s="68"/>
      <c r="DX101" s="68"/>
    </row>
    <row r="102" spans="1:309" s="23" customFormat="1" ht="18" customHeight="1" x14ac:dyDescent="0.3">
      <c r="A102" s="15" t="s">
        <v>44</v>
      </c>
      <c r="B102" s="23">
        <f xml:space="preserve"> Base!B77</f>
        <v>6.7999999999999996E-3</v>
      </c>
      <c r="C102" s="23">
        <f>B102+ Base!$B84*(B100-B102)</f>
        <v>2.7380000000000002E-2</v>
      </c>
      <c r="D102" s="23">
        <f>C102+ Base!$B84*(C100-C102)</f>
        <v>5.0027323876340055E-2</v>
      </c>
      <c r="E102" s="23">
        <f>D102+ Base!$B84*(D100-D102)</f>
        <v>7.4842820395310455E-2</v>
      </c>
      <c r="F102" s="23">
        <f>E102+ Base!$B84*(E100-E102)</f>
        <v>0.10191794910413302</v>
      </c>
      <c r="G102" s="23">
        <f>F102+ Base!$B84*(F100-F102)</f>
        <v>0.13133013337655791</v>
      </c>
      <c r="H102" s="23">
        <f>G102+ Base!$B84*(G100-G102)</f>
        <v>0.16313840115242553</v>
      </c>
      <c r="I102" s="23">
        <f>H102+ Base!$B84*(H100-H102)</f>
        <v>0.19737965561722323</v>
      </c>
      <c r="J102" s="23">
        <f>I102+ Base!$B84*(I100-I102)</f>
        <v>0.23406574787777021</v>
      </c>
      <c r="K102" s="23">
        <f>J102+ Base!$B84*(J100-J102)</f>
        <v>0.27318139757221904</v>
      </c>
      <c r="L102" s="23">
        <f>K102+ Base!$B84*(K100-K102)</f>
        <v>0.31468292009688176</v>
      </c>
      <c r="M102" s="23">
        <f>L102+ Base!$B84*(L100-L102)</f>
        <v>0.35849766392089383</v>
      </c>
      <c r="N102" s="23">
        <f>M102+ Base!$B84*(M100-M102)</f>
        <v>0.40452403100653572</v>
      </c>
      <c r="O102" s="23">
        <f>N102+ Base!$B84*(N100-N102)</f>
        <v>0.45263194076647217</v>
      </c>
      <c r="P102" s="23">
        <f>O102+ Base!$B84*(O100-O102)</f>
        <v>0.50266359728389964</v>
      </c>
      <c r="Q102" s="23">
        <f>P102+ Base!$B84*(P100-P102)</f>
        <v>0.55443442581629221</v>
      </c>
      <c r="R102" s="23">
        <f>Q102+ Base!$B84*(Q100-Q102)</f>
        <v>0.60773405408814041</v>
      </c>
      <c r="S102" s="23">
        <f>R102+ Base!$B84*(R100-R102)</f>
        <v>0.6623272236279889</v>
      </c>
      <c r="T102" s="23">
        <f>S102+ Base!$B84*(S100-S102)</f>
        <v>0.71795452409644811</v>
      </c>
      <c r="U102" s="23">
        <f>T102+ Base!$B84*(T100-T102)</f>
        <v>0.77433284708872052</v>
      </c>
      <c r="V102" s="23">
        <f>U102+ Base!$B84*(U100-U102)</f>
        <v>0.8310670529045262</v>
      </c>
      <c r="W102" s="23">
        <f>V102+ Base!$B84*(V100-V102)</f>
        <v>0.88775183916232392</v>
      </c>
      <c r="X102" s="23">
        <f>W102+ Base!$B84*(W100-W102)</f>
        <v>0.9439687510240411</v>
      </c>
      <c r="Y102" s="23">
        <f>X102+ Base!$B84*(X100-X102)</f>
        <v>0.99934071903971566</v>
      </c>
      <c r="Z102" s="23">
        <f>Y102+ Base!$B84*(Y100-Y102)</f>
        <v>1.05358106057696</v>
      </c>
      <c r="AA102" s="23">
        <f>Z102+ Base!$B84*(Z100-Z102)</f>
        <v>1.1064775444569257</v>
      </c>
      <c r="AB102" s="23">
        <f>AA102+ Base!$B84*(AA100-AA102)</f>
        <v>1.1578788737149357</v>
      </c>
      <c r="AC102" s="23">
        <f>AB102+ Base!$B84*(AB100-AB102)</f>
        <v>1.2076832630921659</v>
      </c>
      <c r="AD102" s="23">
        <f>AC102+ Base!$B84*(AC100-AC102)</f>
        <v>1.2558288253811676</v>
      </c>
      <c r="AE102" s="23">
        <f>AD102+ Base!$B84*(AD100-AD102)</f>
        <v>1.3022855145643688</v>
      </c>
      <c r="AF102" s="23">
        <f>AE102+ Base!$B84*(AE100-AE102)</f>
        <v>1.3470484041760202</v>
      </c>
      <c r="AG102" s="23">
        <f>AF102+ Base!$B84*(AF100-AF102)</f>
        <v>1.3901321067747729</v>
      </c>
      <c r="AH102" s="23">
        <f>AG102+ Base!$B84*(AG100-AG102)</f>
        <v>1.43156616507446</v>
      </c>
      <c r="AI102" s="23">
        <f>AH102+ Base!$B84*(AH100-AH102)</f>
        <v>1.4713912673529459</v>
      </c>
      <c r="AJ102" s="23">
        <f>AI102+ Base!$B84*(AI100-AI102)</f>
        <v>1.5096561594352542</v>
      </c>
      <c r="AK102" s="23">
        <f>AJ102+ Base!$B84*(AJ100-AJ102)</f>
        <v>1.5464151430114026</v>
      </c>
      <c r="AL102" s="23">
        <f>AK102+ Base!$B84*(AK100-AK102)</f>
        <v>1.5817260654804925</v>
      </c>
      <c r="AM102" s="23">
        <f>AL102+ Base!$B84*(AL100-AL102)</f>
        <v>1.615648720085771</v>
      </c>
      <c r="AN102" s="23">
        <f>AM102+ Base!$B84*(AM100-AM102)</f>
        <v>1.648243586991186</v>
      </c>
      <c r="AO102" s="23">
        <f>AN102+ Base!$B84*(AN100-AN102)</f>
        <v>1.6795708563130887</v>
      </c>
      <c r="AP102" s="23">
        <f>AO102+ Base!$B84*(AO100-AO102)</f>
        <v>1.7096896831184232</v>
      </c>
      <c r="AQ102" s="23">
        <f>AP102+ Base!$B84*(AP100-AP102)</f>
        <v>1.7386576321814191</v>
      </c>
      <c r="AR102" s="23">
        <f>AQ102+ Base!$B84*(AQ100-AQ102)</f>
        <v>1.7665302769929636</v>
      </c>
      <c r="AS102" s="23">
        <f>AR102+ Base!$B84*(AR100-AR102)</f>
        <v>1.7933609232684125</v>
      </c>
      <c r="AT102" s="23">
        <f>AS102+ Base!$B84*(AS100-AS102)</f>
        <v>1.8192004321175739</v>
      </c>
      <c r="AU102" s="23">
        <f>AT102+ Base!$B84*(AT100-AT102)</f>
        <v>1.8440971222310112</v>
      </c>
      <c r="AV102" s="23">
        <f>AU102+ Base!$B84*(AU100-AU102)</f>
        <v>1.8680967339949994</v>
      </c>
      <c r="AW102" s="23">
        <f>AV102+ Base!$B84*(AV100-AV102)</f>
        <v>1.8912424414585689</v>
      </c>
      <c r="AX102" s="23">
        <f>AW102+ Base!$B84*(AW100-AW102)</f>
        <v>1.9135749006155589</v>
      </c>
      <c r="AY102" s="23">
        <f>AX102+ Base!$B84*(AX100-AX102)</f>
        <v>1.9351323245990411</v>
      </c>
      <c r="AZ102" s="23">
        <f>AY102+ Base!$B84*(AY100-AY102)</f>
        <v>1.9559505781732542</v>
      </c>
      <c r="BA102" s="23">
        <f>AZ102+ Base!$B84*(AZ100-AZ102)</f>
        <v>1.9760632854002327</v>
      </c>
      <c r="BB102" s="23">
        <f>BA102+ Base!$B84*(BA100-BA102)</f>
        <v>1.9955019455989069</v>
      </c>
      <c r="BC102" s="23">
        <f>BB102+ Base!$B84*(BB100-BB102)</f>
        <v>2.0142960537419046</v>
      </c>
      <c r="BD102" s="23">
        <f>BC102+ Base!$B84*(BC100-BC102)</f>
        <v>2.0324732222826047</v>
      </c>
      <c r="BE102" s="23">
        <f>BD102+ Base!$B84*(BD100-BD102)</f>
        <v>2.0500593021005931</v>
      </c>
      <c r="BF102" s="23">
        <f>BE102+ Base!$B84*(BE100-BE102)</f>
        <v>2.0670785008218133</v>
      </c>
      <c r="BG102" s="23">
        <f>BF102+ Base!$B84*(BF100-BF102)</f>
        <v>2.0835534972311587</v>
      </c>
      <c r="BH102" s="23">
        <f>BG102+ Base!$B84*(BG100-BG102)</f>
        <v>2.0995055508676668</v>
      </c>
      <c r="BI102" s="23">
        <f>BH102+ Base!$B84*(BH100-BH102)</f>
        <v>2.1151755037361557</v>
      </c>
    </row>
    <row r="103" spans="1:309" ht="18" customHeight="1" thickBot="1" x14ac:dyDescent="0.4">
      <c r="A103" s="81" t="s">
        <v>202</v>
      </c>
    </row>
    <row r="104" spans="1:309" ht="18" customHeight="1" thickTop="1" thickBot="1" x14ac:dyDescent="0.4">
      <c r="A104" s="82" t="s">
        <v>56</v>
      </c>
      <c r="B104" s="3"/>
    </row>
    <row r="105" spans="1:309" ht="18" customHeight="1" thickTop="1" x14ac:dyDescent="0.35">
      <c r="A105" s="15" t="s">
        <v>57</v>
      </c>
      <c r="B105" s="3">
        <f t="shared" ref="B105:BI105" si="13">B21*B118^$B5*(B53/1000)^(1-$B5)</f>
        <v>63.542187841812257</v>
      </c>
      <c r="C105" s="3">
        <f t="shared" si="13"/>
        <v>75.859931116074975</v>
      </c>
      <c r="D105" s="3">
        <f t="shared" si="13"/>
        <v>89.618434801802678</v>
      </c>
      <c r="E105" s="3">
        <f t="shared" si="13"/>
        <v>104.85382522646347</v>
      </c>
      <c r="F105" s="3">
        <f t="shared" si="13"/>
        <v>121.58255036680437</v>
      </c>
      <c r="G105" s="3">
        <f t="shared" si="13"/>
        <v>139.81917778502208</v>
      </c>
      <c r="H105" s="3">
        <f t="shared" si="13"/>
        <v>159.57625723511353</v>
      </c>
      <c r="I105" s="3">
        <f t="shared" si="13"/>
        <v>180.86420503476165</v>
      </c>
      <c r="J105" s="3">
        <f t="shared" si="13"/>
        <v>203.69122329965532</v>
      </c>
      <c r="K105" s="3">
        <f t="shared" si="13"/>
        <v>228.06325420717982</v>
      </c>
      <c r="L105" s="3">
        <f t="shared" si="13"/>
        <v>253.98396219744004</v>
      </c>
      <c r="M105" s="3">
        <f t="shared" si="13"/>
        <v>281.45473019818218</v>
      </c>
      <c r="N105" s="3">
        <f t="shared" si="13"/>
        <v>310.47464534952786</v>
      </c>
      <c r="O105" s="3">
        <f t="shared" si="13"/>
        <v>341.04043002722938</v>
      </c>
      <c r="P105" s="3">
        <f t="shared" si="13"/>
        <v>373.14623622495816</v>
      </c>
      <c r="Q105" s="3">
        <f t="shared" si="13"/>
        <v>406.78314867636379</v>
      </c>
      <c r="R105" s="3">
        <f t="shared" si="13"/>
        <v>441.93810198139971</v>
      </c>
      <c r="S105" s="3">
        <f t="shared" si="13"/>
        <v>478.59164675805761</v>
      </c>
      <c r="T105" s="3">
        <f t="shared" si="13"/>
        <v>516.71347779209827</v>
      </c>
      <c r="U105" s="3">
        <f t="shared" si="13"/>
        <v>556.25362433410157</v>
      </c>
      <c r="V105" s="3">
        <f t="shared" si="13"/>
        <v>597.13960197956555</v>
      </c>
      <c r="W105" s="3">
        <f t="shared" si="13"/>
        <v>639.2327851556953</v>
      </c>
      <c r="X105" s="3">
        <f t="shared" si="13"/>
        <v>682.69596006911388</v>
      </c>
      <c r="Y105" s="3">
        <f t="shared" si="13"/>
        <v>727.74558431020068</v>
      </c>
      <c r="Z105" s="3">
        <f t="shared" si="13"/>
        <v>774.29193719555371</v>
      </c>
      <c r="AA105" s="3">
        <f t="shared" si="13"/>
        <v>822.2578368779682</v>
      </c>
      <c r="AB105" s="3">
        <f t="shared" si="13"/>
        <v>871.57290160148534</v>
      </c>
      <c r="AC105" s="3">
        <f t="shared" si="13"/>
        <v>922.17009435697651</v>
      </c>
      <c r="AD105" s="3">
        <f t="shared" si="13"/>
        <v>973.98371131171098</v>
      </c>
      <c r="AE105" s="3">
        <f t="shared" si="13"/>
        <v>1026.94827093084</v>
      </c>
      <c r="AF105" s="3">
        <f t="shared" si="13"/>
        <v>1080.9979564471246</v>
      </c>
      <c r="AG105" s="3">
        <f t="shared" si="13"/>
        <v>1136.0663917724514</v>
      </c>
      <c r="AH105" s="3">
        <f t="shared" si="13"/>
        <v>1192.0866130693207</v>
      </c>
      <c r="AI105" s="3">
        <f t="shared" si="13"/>
        <v>1248.9911498797658</v>
      </c>
      <c r="AJ105" s="3">
        <f t="shared" si="13"/>
        <v>1306.7121618070385</v>
      </c>
      <c r="AK105" s="3">
        <f t="shared" si="13"/>
        <v>1365.1815950537664</v>
      </c>
      <c r="AL105" s="3">
        <f t="shared" si="13"/>
        <v>1424.33133177074</v>
      </c>
      <c r="AM105" s="3">
        <f t="shared" si="13"/>
        <v>1484.0933053177264</v>
      </c>
      <c r="AN105" s="3">
        <f t="shared" si="13"/>
        <v>1544.3995454633464</v>
      </c>
      <c r="AO105" s="3">
        <f t="shared" si="13"/>
        <v>1605.1820953238173</v>
      </c>
      <c r="AP105" s="3">
        <f t="shared" si="13"/>
        <v>1666.3726981348746</v>
      </c>
      <c r="AQ105" s="3">
        <f t="shared" si="13"/>
        <v>1727.9020706814865</v>
      </c>
      <c r="AR105" s="3">
        <f t="shared" si="13"/>
        <v>1789.6984317565887</v>
      </c>
      <c r="AS105" s="3">
        <f t="shared" si="13"/>
        <v>1851.6846842453488</v>
      </c>
      <c r="AT105" s="3">
        <f t="shared" si="13"/>
        <v>1913.7731597843249</v>
      </c>
      <c r="AU105" s="3">
        <f t="shared" si="13"/>
        <v>1975.8559444106029</v>
      </c>
      <c r="AV105" s="3">
        <f t="shared" si="13"/>
        <v>2037.7871758887966</v>
      </c>
      <c r="AW105" s="3">
        <f t="shared" si="13"/>
        <v>2099.3506967128728</v>
      </c>
      <c r="AX105" s="3">
        <f t="shared" si="13"/>
        <v>2160.2007872380204</v>
      </c>
      <c r="AY105" s="3">
        <f t="shared" si="13"/>
        <v>2219.7526966484779</v>
      </c>
      <c r="AZ105" s="3">
        <f t="shared" si="13"/>
        <v>2276.9771264948167</v>
      </c>
      <c r="BA105" s="3">
        <f t="shared" si="13"/>
        <v>2353.5894389152149</v>
      </c>
      <c r="BB105" s="3">
        <f t="shared" si="13"/>
        <v>2425.8756586657937</v>
      </c>
      <c r="BC105" s="3">
        <f t="shared" si="13"/>
        <v>2494.9428917340733</v>
      </c>
      <c r="BD105" s="3">
        <f t="shared" si="13"/>
        <v>2561.5666742312042</v>
      </c>
      <c r="BE105" s="3">
        <f t="shared" si="13"/>
        <v>2626.2903656067542</v>
      </c>
      <c r="BF105" s="3">
        <f t="shared" si="13"/>
        <v>2689.4935497001661</v>
      </c>
      <c r="BG105" s="3">
        <f t="shared" si="13"/>
        <v>2751.4397845904236</v>
      </c>
      <c r="BH105" s="3">
        <f t="shared" si="13"/>
        <v>2812.4176219016649</v>
      </c>
      <c r="BI105" s="3">
        <f t="shared" si="13"/>
        <v>2872.5983582257559</v>
      </c>
    </row>
    <row r="106" spans="1:309" ht="18" customHeight="1" x14ac:dyDescent="0.35">
      <c r="A106" s="15" t="s">
        <v>125</v>
      </c>
      <c r="B106" s="3">
        <f>($B25*B100+$B26*B100^$B$27+$B$30*(B100/$B$28)^$B$29)*Parameters!$B$29</f>
        <v>1.8350573750000002E-3</v>
      </c>
      <c r="C106" s="3">
        <f>($B25*C100+$B26*C100^$B$27+$B$30*(C100/$B$28)^$B$29)*Parameters!$B$29</f>
        <v>2.3201220110001036E-3</v>
      </c>
      <c r="D106" s="3">
        <f>($B25*D100+$B26*D100^$B$27+$B$30*(D100/$B$28)^$B$29)*Parameters!$B$29</f>
        <v>2.8957976576480648E-3</v>
      </c>
      <c r="E106" s="3">
        <f>($B25*E100+$B26*E100^$B$27+$B$30*(E100/$B$28)^$B$29)*Parameters!$B$29</f>
        <v>3.571054998528657E-3</v>
      </c>
      <c r="F106" s="3">
        <f>($B25*F100+$B26*F100^$B$27+$B$30*(F100/$B$28)^$B$29)*Parameters!$B$29</f>
        <v>4.3534203320794032E-3</v>
      </c>
      <c r="G106" s="3">
        <f>($B25*G100+$B26*G100^$B$27+$B$30*(G100/$B$28)^$B$29)*Parameters!$B$29</f>
        <v>5.24829010703768E-3</v>
      </c>
      <c r="H106" s="3">
        <f>($B25*H100+$B26*H100^$B$27+$B$30*(H100/$B$28)^$B$29)*Parameters!$B$29</f>
        <v>6.2583230114309982E-3</v>
      </c>
      <c r="I106" s="3">
        <f>($B25*I100+$B26*I100^$B$27+$B$30*(I100/$B$28)^$B$29)*Parameters!$B$29</f>
        <v>7.3829474554554632E-3</v>
      </c>
      <c r="J106" s="3">
        <f>($B25*J100+$B26*J100^$B$27+$B$30*(J100/$B$28)^$B$29)*Parameters!$B$29</f>
        <v>8.6180089582267739E-3</v>
      </c>
      <c r="K106" s="3">
        <f>($B25*K100+$B26*K100^$B$27+$B$30*(K100/$B$28)^$B$29)*Parameters!$B$29</f>
        <v>9.9555679346249627E-3</v>
      </c>
      <c r="L106" s="3">
        <f>($B25*L100+$B26*L100^$B$27+$B$30*(L100/$B$28)^$B$29)*Parameters!$B$29</f>
        <v>1.1383845431830405E-2</v>
      </c>
      <c r="M106" s="3">
        <f>($B25*M100+$B26*M100^$B$27+$B$30*(M100/$B$28)^$B$29)*Parameters!$B$29</f>
        <v>1.288730382087205E-2</v>
      </c>
      <c r="N106" s="3">
        <f>($B25*N100+$B26*N100^$B$27+$B$30*(N100/$B$28)^$B$29)*Parameters!$B$29</f>
        <v>1.4446842020657635E-2</v>
      </c>
      <c r="O106" s="3">
        <f>($B25*O100+$B26*O100^$B$27+$B$30*(O100/$B$28)^$B$29)*Parameters!$B$29</f>
        <v>1.6040080640605539E-2</v>
      </c>
      <c r="P106" s="3">
        <f>($B25*P100+$B26*P100^$B$27+$B$30*(P100/$B$28)^$B$29)*Parameters!$B$29</f>
        <v>1.7641711153344466E-2</v>
      </c>
      <c r="Q106" s="3">
        <f>($B25*Q100+$B26*Q100^$B$27+$B$30*(Q100/$B$28)^$B$29)*Parameters!$B$29</f>
        <v>1.9223884279579682E-2</v>
      </c>
      <c r="R106" s="3">
        <f>($B25*R100+$B26*R100^$B$27+$B$30*(R100/$B$28)^$B$29)*Parameters!$B$29</f>
        <v>2.0756615519400071E-2</v>
      </c>
      <c r="S106" s="3">
        <f>($B25*S100+$B26*S100^$B$27+$B$30*(S100/$B$28)^$B$29)*Parameters!$B$29</f>
        <v>2.2208189546013224E-2</v>
      </c>
      <c r="T106" s="3">
        <f>($B25*T100+$B26*T100^$B$27+$B$30*(T100/$B$28)^$B$29)*Parameters!$B$29</f>
        <v>2.3545549386316405E-2</v>
      </c>
      <c r="U106" s="3">
        <f>($B25*U100+$B26*U100^$B$27+$B$30*(U100/$B$28)^$B$29)*Parameters!$B$29</f>
        <v>2.4677289694752347E-2</v>
      </c>
      <c r="V106" s="3">
        <f>($B25*V100+$B26*V100^$B$27+$B$30*(V100/$B$28)^$B$29)*Parameters!$B$29</f>
        <v>2.5573185624880822E-2</v>
      </c>
      <c r="W106" s="3">
        <f>($B25*W100+$B26*W100^$B$27+$B$30*(W100/$B$28)^$B$29)*Parameters!$B$29</f>
        <v>2.6203795061637638E-2</v>
      </c>
      <c r="X106" s="3">
        <f>($B25*X100+$B26*X100^$B$27+$B$30*(X100/$B$28)^$B$29)*Parameters!$B$29</f>
        <v>2.6579742838814494E-2</v>
      </c>
      <c r="Y106" s="3">
        <f>($B25*Y100+$B26*Y100^$B$27+$B$30*(Y100/$B$28)^$B$29)*Parameters!$B$29</f>
        <v>2.6750101682730017E-2</v>
      </c>
      <c r="Z106" s="3">
        <f>($B25*Z100+$B26*Z100^$B$27+$B$30*(Z100/$B$28)^$B$29)*Parameters!$B$29</f>
        <v>2.6758307852802952E-2</v>
      </c>
      <c r="AA106" s="3">
        <f>($B25*AA100+$B26*AA100^$B$27+$B$30*(AA100/$B$28)^$B$29)*Parameters!$B$29</f>
        <v>2.6641763390237782E-2</v>
      </c>
      <c r="AB106" s="3">
        <f>($B25*AB100+$B26*AB100^$B$27+$B$30*(AB100/$B$28)^$B$29)*Parameters!$B$29</f>
        <v>2.6431973122309955E-2</v>
      </c>
      <c r="AC106" s="3">
        <f>($B25*AC100+$B26*AC100^$B$27+$B$30*(AC100/$B$28)^$B$29)*Parameters!$B$29</f>
        <v>2.615498383508592E-2</v>
      </c>
      <c r="AD106" s="3">
        <f>($B25*AD100+$B26*AD100^$B$27+$B$30*(AD100/$B$28)^$B$29)*Parameters!$B$29</f>
        <v>2.5831972258891552E-2</v>
      </c>
      <c r="AE106" s="3">
        <f>($B25*AE100+$B26*AE100^$B$27+$B$30*(AE100/$B$28)^$B$29)*Parameters!$B$29</f>
        <v>2.5479883897408902E-2</v>
      </c>
      <c r="AF106" s="3">
        <f>($B25*AF100+$B26*AF100^$B$27+$B$30*(AF100/$B$28)^$B$29)*Parameters!$B$29</f>
        <v>2.5112062852710029E-2</v>
      </c>
      <c r="AG106" s="3">
        <f>($B25*AG100+$B26*AG100^$B$27+$B$30*(AG100/$B$28)^$B$29)*Parameters!$B$29</f>
        <v>2.4738838546231642E-2</v>
      </c>
      <c r="AH106" s="3">
        <f>($B25*AH100+$B26*AH100^$B$27+$B$30*(AH100/$B$28)^$B$29)*Parameters!$B$29</f>
        <v>2.4368052219128682E-2</v>
      </c>
      <c r="AI106" s="3">
        <f>($B25*AI100+$B26*AI100^$B$27+$B$30*(AI100/$B$28)^$B$29)*Parameters!$B$29</f>
        <v>2.4005516955100913E-2</v>
      </c>
      <c r="AJ106" s="3">
        <f>($B25*AJ100+$B26*AJ100^$B$27+$B$30*(AJ100/$B$28)^$B$29)*Parameters!$B$29</f>
        <v>2.3655411617256435E-2</v>
      </c>
      <c r="AK106" s="3">
        <f>($B25*AK100+$B26*AK100^$B$27+$B$30*(AK100/$B$28)^$B$29)*Parameters!$B$29</f>
        <v>2.332061289787803E-2</v>
      </c>
      <c r="AL106" s="3">
        <f>($B25*AL100+$B26*AL100^$B$27+$B$30*(AL100/$B$28)^$B$29)*Parameters!$B$29</f>
        <v>2.3002971615268677E-2</v>
      </c>
      <c r="AM106" s="3">
        <f>($B25*AM100+$B26*AM100^$B$27+$B$30*(AM100/$B$28)^$B$29)*Parameters!$B$29</f>
        <v>2.2703540131148801E-2</v>
      </c>
      <c r="AN106" s="3">
        <f>($B25*AN100+$B26*AN100^$B$27+$B$30*(AN100/$B$28)^$B$29)*Parameters!$B$29</f>
        <v>2.2422757769209843E-2</v>
      </c>
      <c r="AO106" s="3">
        <f>($B25*AO100+$B26*AO100^$B$27+$B$30*(AO100/$B$28)^$B$29)*Parameters!$B$29</f>
        <v>2.2160600702590686E-2</v>
      </c>
      <c r="AP106" s="3">
        <f>($B25*AP100+$B26*AP100^$B$27+$B$30*(AP100/$B$28)^$B$29)*Parameters!$B$29</f>
        <v>2.1916702150419912E-2</v>
      </c>
      <c r="AQ106" s="3">
        <f>($B25*AQ100+$B26*AQ100^$B$27+$B$30*(AQ100/$B$28)^$B$29)*Parameters!$B$29</f>
        <v>2.1690448011926659E-2</v>
      </c>
      <c r="AR106" s="3">
        <f>($B25*AR100+$B26*AR100^$B$27+$B$30*(AR100/$B$28)^$B$29)*Parameters!$B$29</f>
        <v>2.1481052350840604E-2</v>
      </c>
      <c r="AS106" s="3">
        <f>($B25*AS100+$B26*AS100^$B$27+$B$30*(AS100/$B$28)^$B$29)*Parameters!$B$29</f>
        <v>2.1287616468618816E-2</v>
      </c>
      <c r="AT106" s="3">
        <f>($B25*AT100+$B26*AT100^$B$27+$B$30*(AT100/$B$28)^$B$29)*Parameters!$B$29</f>
        <v>2.1109174695843332E-2</v>
      </c>
      <c r="AU106" s="3">
        <f>($B25*AU100+$B26*AU100^$B$27+$B$30*(AU100/$B$28)^$B$29)*Parameters!$B$29</f>
        <v>2.0944729496132401E-2</v>
      </c>
      <c r="AV106" s="3">
        <f>($B25*AV100+$B26*AV100^$B$27+$B$30*(AV100/$B$28)^$B$29)*Parameters!$B$29</f>
        <v>2.0793278016671617E-2</v>
      </c>
      <c r="AW106" s="3">
        <f>($B25*AW100+$B26*AW100^$B$27+$B$30*(AW100/$B$28)^$B$29)*Parameters!$B$29</f>
        <v>2.0653831829653586E-2</v>
      </c>
      <c r="AX106" s="3">
        <f>($B25*AX100+$B26*AX100^$B$27+$B$30*(AX100/$B$28)^$B$29)*Parameters!$B$29</f>
        <v>2.0525431282671019E-2</v>
      </c>
      <c r="AY106" s="3">
        <f>($B25*AY100+$B26*AY100^$B$27+$B$30*(AY100/$B$28)^$B$29)*Parameters!$B$29</f>
        <v>2.0407155605619776E-2</v>
      </c>
      <c r="AZ106" s="3">
        <f>($B25*AZ100+$B26*AZ100^$B$27+$B$30*(AZ100/$B$28)^$B$29)*Parameters!$B$29</f>
        <v>2.0298129699069335E-2</v>
      </c>
      <c r="BA106" s="3">
        <f>($B25*BA100+$B26*BA100^$B$27+$B$30*(BA100/$B$28)^$B$29)*Parameters!$B$29</f>
        <v>2.0197528346953868E-2</v>
      </c>
      <c r="BB106" s="3">
        <f>($B25*BB100+$B26*BB100^$B$27+$B$30*(BB100/$B$28)^$B$29)*Parameters!$B$29</f>
        <v>2.0104578448169815E-2</v>
      </c>
      <c r="BC106" s="3">
        <f>($B25*BC100+$B26*BC100^$B$27+$B$30*(BC100/$B$28)^$B$29)*Parameters!$B$29</f>
        <v>2.0018559741410643E-2</v>
      </c>
      <c r="BD106" s="3">
        <f>($B25*BD100+$B26*BD100^$B$27+$B$30*(BD100/$B$28)^$B$29)*Parameters!$B$29</f>
        <v>1.9938804400337986E-2</v>
      </c>
      <c r="BE106" s="3">
        <f>($B25*BE100+$B26*BE100^$B$27+$B$30*(BE100/$B$28)^$B$29)*Parameters!$B$29</f>
        <v>1.9864695797773616E-2</v>
      </c>
      <c r="BF106" s="3">
        <f>($B25*BF100+$B26*BF100^$B$27+$B$30*(BF100/$B$28)^$B$29)*Parameters!$B$29</f>
        <v>1.9795666674493225E-2</v>
      </c>
      <c r="BG106" s="3">
        <f>($B25*BG100+$B26*BG100^$B$27+$B$30*(BG100/$B$28)^$B$29)*Parameters!$B$29</f>
        <v>1.9731196897516186E-2</v>
      </c>
      <c r="BH106" s="3">
        <f>($B25*BH100+$B26*BH100^$B$27+$B$30*(BH100/$B$28)^$B$29)*Parameters!$B$29</f>
        <v>1.9798939004884254E-2</v>
      </c>
      <c r="BI106" s="3">
        <f>($B25*BI100+$B26*BI100^$B$27+$B$30*(BI100/$B$28)^$B$29)*Parameters!$B$29</f>
        <v>2.0427054980685738E-2</v>
      </c>
    </row>
    <row r="107" spans="1:309" ht="18" customHeight="1" x14ac:dyDescent="0.35">
      <c r="A107" s="15" t="s">
        <v>126</v>
      </c>
      <c r="B107" s="3">
        <f>+B105*B106/(1+B106^Parameters!$B$56)</f>
        <v>0.11660356042275292</v>
      </c>
      <c r="C107" s="3">
        <f>+C105*C106/(1+C106^Parameters!$B$56)</f>
        <v>0.17600429593535721</v>
      </c>
      <c r="D107" s="3">
        <f>+D105*D106/(1+D106^Parameters!$B$56)</f>
        <v>0.25951685358114601</v>
      </c>
      <c r="E107" s="3">
        <f>+E105*E106/(1+E106^Parameters!$B$56)</f>
        <v>0.37443877668981257</v>
      </c>
      <c r="F107" s="3">
        <f>+F105*F106/(1+F106^Parameters!$B$56)</f>
        <v>0.52929994679291426</v>
      </c>
      <c r="G107" s="3">
        <f>+G105*G106/(1+G106^Parameters!$B$56)</f>
        <v>0.7338116075432739</v>
      </c>
      <c r="H107" s="3">
        <f>+H105*H106/(1+H106^Parameters!$B$56)</f>
        <v>0.99867976273254333</v>
      </c>
      <c r="I107" s="3">
        <f>+I105*I106/(1+I106^Parameters!$B$56)</f>
        <v>1.3353109223443687</v>
      </c>
      <c r="J107" s="3">
        <f>+J105*J106/(1+J106^Parameters!$B$56)</f>
        <v>1.7554127871085998</v>
      </c>
      <c r="K107" s="3">
        <f>+K105*K106/(1+K106^Parameters!$B$56)</f>
        <v>2.2704992206512209</v>
      </c>
      <c r="L107" s="3">
        <f>+L105*L106/(1+L106^Parameters!$B$56)</f>
        <v>2.8913141678195138</v>
      </c>
      <c r="M107" s="3">
        <f>+M105*M106/(1+M106^Parameters!$B$56)</f>
        <v>3.6271926198855451</v>
      </c>
      <c r="N107" s="3">
        <f>+N105*N106/(1+N106^Parameters!$B$56)</f>
        <v>4.4853781527843353</v>
      </c>
      <c r="O107" s="3">
        <f>+O105*O106/(1+O106^Parameters!$B$56)</f>
        <v>5.4703159993435495</v>
      </c>
      <c r="P107" s="3">
        <f>+P105*P106/(1+P106^Parameters!$B$56)</f>
        <v>6.5829381174383537</v>
      </c>
      <c r="Q107" s="3">
        <f>+Q105*Q106/(1+Q106^Parameters!$B$56)</f>
        <v>7.8199521770374743</v>
      </c>
      <c r="R107" s="3">
        <f>+R105*R106/(1+R106^Parameters!$B$56)</f>
        <v>9.173139266201332</v>
      </c>
      <c r="S107" s="3">
        <f>+S105*S106/(1+S106^Parameters!$B$56)</f>
        <v>10.628654006341549</v>
      </c>
      <c r="T107" s="3">
        <f>+T105*T106/(1+T106^Parameters!$B$56)</f>
        <v>12.166302709929155</v>
      </c>
      <c r="U107" s="3">
        <f>+U105*U106/(1+U106^Parameters!$B$56)</f>
        <v>13.726831831448568</v>
      </c>
      <c r="V107" s="3">
        <f>+V105*V106/(1+V106^Parameters!$B$56)</f>
        <v>15.270761885390879</v>
      </c>
      <c r="W107" s="3">
        <f>+W105*W106/(1+W106^Parameters!$B$56)</f>
        <v>16.750324898899677</v>
      </c>
      <c r="X107" s="3">
        <f>+X105*X106/(1+X106^Parameters!$B$56)</f>
        <v>18.145883055734611</v>
      </c>
      <c r="Y107" s="3">
        <f>+Y105*Y106/(1+Y106^Parameters!$B$56)</f>
        <v>19.467268379455636</v>
      </c>
      <c r="Z107" s="3">
        <f>+Z105*Z106/(1+Z106^Parameters!$B$56)</f>
        <v>20.71874202342179</v>
      </c>
      <c r="AA107" s="3">
        <f>+AA105*AA106/(1+AA106^Parameters!$B$56)</f>
        <v>21.906398735871559</v>
      </c>
      <c r="AB107" s="3">
        <f>+AB105*AB106/(1+AB106^Parameters!$B$56)</f>
        <v>23.037391509264157</v>
      </c>
      <c r="AC107" s="3">
        <f>+AC105*AC106/(1+AC106^Parameters!$B$56)</f>
        <v>24.11934391110637</v>
      </c>
      <c r="AD107" s="3">
        <f>+AD105*AD106/(1+AD106^Parameters!$B$56)</f>
        <v>25.159920211216349</v>
      </c>
      <c r="AE107" s="3">
        <f>+AE105*AE106/(1+AE106^Parameters!$B$56)</f>
        <v>26.166522711962617</v>
      </c>
      <c r="AF107" s="3">
        <f>+AF105*AF106/(1+AF106^Parameters!$B$56)</f>
        <v>27.14608862595129</v>
      </c>
      <c r="AG107" s="3">
        <f>+AG105*AG106/(1+AG106^Parameters!$B$56)</f>
        <v>28.104963043858621</v>
      </c>
      <c r="AH107" s="3">
        <f>+AH105*AH106/(1+AH106^Parameters!$B$56)</f>
        <v>29.048828836997455</v>
      </c>
      <c r="AI107" s="3">
        <f>+AI105*AI106/(1+AI106^Parameters!$B$56)</f>
        <v>29.982678225209703</v>
      </c>
      <c r="AJ107" s="3">
        <f>+AJ105*AJ106/(1+AJ106^Parameters!$B$56)</f>
        <v>30.910814052820488</v>
      </c>
      <c r="AK107" s="3">
        <f>+AK105*AK106/(1+AK106^Parameters!$B$56)</f>
        <v>31.836871513556567</v>
      </c>
      <c r="AL107" s="3">
        <f>+AL105*AL106/(1+AL106^Parameters!$B$56)</f>
        <v>32.763853195460165</v>
      </c>
      <c r="AM107" s="3">
        <f>+AM105*AM106/(1+AM106^Parameters!$B$56)</f>
        <v>33.694171915650273</v>
      </c>
      <c r="AN107" s="3">
        <f>+AN105*AN106/(1+AN106^Parameters!$B$56)</f>
        <v>34.629696906802401</v>
      </c>
      <c r="AO107" s="3">
        <f>+AO105*AO106/(1+AO106^Parameters!$B$56)</f>
        <v>35.571799469418977</v>
      </c>
      <c r="AP107" s="3">
        <f>+AP105*AP106/(1+AP106^Parameters!$B$56)</f>
        <v>36.521394096613633</v>
      </c>
      <c r="AQ107" s="3">
        <f>+AQ105*AQ106/(1+AQ106^Parameters!$B$56)</f>
        <v>37.478970033817205</v>
      </c>
      <c r="AR107" s="3">
        <f>+AR105*AR106/(1+AR106^Parameters!$B$56)</f>
        <v>38.444605704780614</v>
      </c>
      <c r="AS107" s="3">
        <f>+AS105*AS106/(1+AS106^Parameters!$B$56)</f>
        <v>39.417953379030521</v>
      </c>
      <c r="AT107" s="3">
        <f>+AT105*AT106/(1+AT106^Parameters!$B$56)</f>
        <v>40.398171958103411</v>
      </c>
      <c r="AU107" s="3">
        <f>+AU105*AU106/(1+AU106^Parameters!$B$56)</f>
        <v>41.383768279005295</v>
      </c>
      <c r="AV107" s="3">
        <f>+AV105*AV106/(1+AV106^Parameters!$B$56)</f>
        <v>42.37227528706385</v>
      </c>
      <c r="AW107" s="3">
        <f>+AW105*AW106/(1+AW106^Parameters!$B$56)</f>
        <v>43.359636241373764</v>
      </c>
      <c r="AX107" s="3">
        <f>+AX105*AX106/(1+AX106^Parameters!$B$56)</f>
        <v>44.339052815225827</v>
      </c>
      <c r="AY107" s="3">
        <f>+AY105*AY106/(1+AY106^Parameters!$B$56)</f>
        <v>45.2988386864996</v>
      </c>
      <c r="AZ107" s="3">
        <f>+AZ105*AZ106/(1+AZ106^Parameters!$B$56)</f>
        <v>46.218377035405993</v>
      </c>
      <c r="BA107" s="3">
        <f>+BA105*BA106/(1+BA106^Parameters!$B$56)</f>
        <v>47.5366894095813</v>
      </c>
      <c r="BB107" s="3">
        <f>+BB105*BB106/(1+BB106^Parameters!$B$56)</f>
        <v>48.771207485152068</v>
      </c>
      <c r="BC107" s="3">
        <f>+BC105*BC106/(1+BC106^Parameters!$B$56)</f>
        <v>49.945163329586372</v>
      </c>
      <c r="BD107" s="3">
        <f>+BD105*BD106/(1+BD106^Parameters!$B$56)</f>
        <v>51.074576875920272</v>
      </c>
      <c r="BE107" s="3">
        <f>+BE105*BE106/(1+BE106^Parameters!$B$56)</f>
        <v>52.170459189401825</v>
      </c>
      <c r="BF107" s="3">
        <f>+BF105*BF106/(1+BF106^Parameters!$B$56)</f>
        <v>53.240317833064069</v>
      </c>
      <c r="BG107" s="3">
        <f>+BG105*BG106/(1+BG106^Parameters!$B$56)</f>
        <v>54.289200141413168</v>
      </c>
      <c r="BH107" s="3">
        <f>+BH105*BH106/(1+BH106^Parameters!$B$56)</f>
        <v>55.682884952292689</v>
      </c>
      <c r="BI107" s="3">
        <f>+BI105*BI106/(1+BI106^Parameters!$B$56)</f>
        <v>58.678724600905099</v>
      </c>
    </row>
    <row r="108" spans="1:309" ht="18" customHeight="1" x14ac:dyDescent="0.35">
      <c r="A108" s="15" t="s">
        <v>9</v>
      </c>
      <c r="B108" s="3">
        <f t="shared" ref="B108:BI108" si="14">+B105-B107</f>
        <v>63.425584281389504</v>
      </c>
      <c r="C108" s="3">
        <f t="shared" si="14"/>
        <v>75.683926820139618</v>
      </c>
      <c r="D108" s="3">
        <f t="shared" si="14"/>
        <v>89.358917948221531</v>
      </c>
      <c r="E108" s="3">
        <f t="shared" si="14"/>
        <v>104.47938644977366</v>
      </c>
      <c r="F108" s="3">
        <f t="shared" si="14"/>
        <v>121.05325042001145</v>
      </c>
      <c r="G108" s="3">
        <f t="shared" si="14"/>
        <v>139.08536617747879</v>
      </c>
      <c r="H108" s="3">
        <f t="shared" si="14"/>
        <v>158.57757747238099</v>
      </c>
      <c r="I108" s="3">
        <f t="shared" si="14"/>
        <v>179.52889411241728</v>
      </c>
      <c r="J108" s="3">
        <f t="shared" si="14"/>
        <v>201.93581051254671</v>
      </c>
      <c r="K108" s="3">
        <f t="shared" si="14"/>
        <v>225.79275498652859</v>
      </c>
      <c r="L108" s="3">
        <f t="shared" si="14"/>
        <v>251.09264802962053</v>
      </c>
      <c r="M108" s="3">
        <f t="shared" si="14"/>
        <v>277.82753757829664</v>
      </c>
      <c r="N108" s="3">
        <f t="shared" si="14"/>
        <v>305.98926719674353</v>
      </c>
      <c r="O108" s="3">
        <f t="shared" si="14"/>
        <v>335.57011402788584</v>
      </c>
      <c r="P108" s="3">
        <f t="shared" si="14"/>
        <v>366.56329810751981</v>
      </c>
      <c r="Q108" s="3">
        <f t="shared" si="14"/>
        <v>398.96319649932633</v>
      </c>
      <c r="R108" s="3">
        <f t="shared" si="14"/>
        <v>432.76496271519841</v>
      </c>
      <c r="S108" s="3">
        <f t="shared" si="14"/>
        <v>467.96299275171606</v>
      </c>
      <c r="T108" s="3">
        <f t="shared" si="14"/>
        <v>504.54717508216913</v>
      </c>
      <c r="U108" s="3">
        <f t="shared" si="14"/>
        <v>542.52679250265305</v>
      </c>
      <c r="V108" s="3">
        <f t="shared" si="14"/>
        <v>581.86884009417463</v>
      </c>
      <c r="W108" s="3">
        <f t="shared" si="14"/>
        <v>622.48246025679566</v>
      </c>
      <c r="X108" s="3">
        <f t="shared" si="14"/>
        <v>664.55007701337922</v>
      </c>
      <c r="Y108" s="3">
        <f t="shared" si="14"/>
        <v>708.27831593074507</v>
      </c>
      <c r="Z108" s="3">
        <f t="shared" si="14"/>
        <v>753.57319517213193</v>
      </c>
      <c r="AA108" s="3">
        <f t="shared" si="14"/>
        <v>800.35143814209664</v>
      </c>
      <c r="AB108" s="3">
        <f t="shared" si="14"/>
        <v>848.53551009222122</v>
      </c>
      <c r="AC108" s="3">
        <f t="shared" si="14"/>
        <v>898.05075044587011</v>
      </c>
      <c r="AD108" s="3">
        <f t="shared" si="14"/>
        <v>948.82379110049465</v>
      </c>
      <c r="AE108" s="3">
        <f t="shared" si="14"/>
        <v>1000.7817482188773</v>
      </c>
      <c r="AF108" s="3">
        <f t="shared" si="14"/>
        <v>1053.8518678211733</v>
      </c>
      <c r="AG108" s="3">
        <f t="shared" si="14"/>
        <v>1107.9614287285929</v>
      </c>
      <c r="AH108" s="3">
        <f t="shared" si="14"/>
        <v>1163.0377842323232</v>
      </c>
      <c r="AI108" s="3">
        <f t="shared" si="14"/>
        <v>1219.0084716545562</v>
      </c>
      <c r="AJ108" s="3">
        <f t="shared" si="14"/>
        <v>1275.8013477542179</v>
      </c>
      <c r="AK108" s="3">
        <f t="shared" si="14"/>
        <v>1333.3447235402098</v>
      </c>
      <c r="AL108" s="3">
        <f t="shared" si="14"/>
        <v>1391.5674785752799</v>
      </c>
      <c r="AM108" s="3">
        <f t="shared" si="14"/>
        <v>1450.3991334020761</v>
      </c>
      <c r="AN108" s="3">
        <f t="shared" si="14"/>
        <v>1509.769848556544</v>
      </c>
      <c r="AO108" s="3">
        <f t="shared" si="14"/>
        <v>1569.6102958543984</v>
      </c>
      <c r="AP108" s="3">
        <f t="shared" si="14"/>
        <v>1629.8513040382609</v>
      </c>
      <c r="AQ108" s="3">
        <f t="shared" si="14"/>
        <v>1690.4231006476693</v>
      </c>
      <c r="AR108" s="3">
        <f t="shared" si="14"/>
        <v>1751.2538260518081</v>
      </c>
      <c r="AS108" s="3">
        <f t="shared" si="14"/>
        <v>1812.2667308663183</v>
      </c>
      <c r="AT108" s="3">
        <f t="shared" si="14"/>
        <v>1873.3749878262215</v>
      </c>
      <c r="AU108" s="3">
        <f t="shared" si="14"/>
        <v>1934.4721761315975</v>
      </c>
      <c r="AV108" s="3">
        <f t="shared" si="14"/>
        <v>1995.4149006017328</v>
      </c>
      <c r="AW108" s="3">
        <f t="shared" si="14"/>
        <v>2055.9910604714992</v>
      </c>
      <c r="AX108" s="3">
        <f t="shared" si="14"/>
        <v>2115.8617344227946</v>
      </c>
      <c r="AY108" s="3">
        <f t="shared" si="14"/>
        <v>2174.4538579619784</v>
      </c>
      <c r="AZ108" s="3">
        <f t="shared" si="14"/>
        <v>2230.7587494594109</v>
      </c>
      <c r="BA108" s="3">
        <f t="shared" si="14"/>
        <v>2306.0527495056335</v>
      </c>
      <c r="BB108" s="3">
        <f t="shared" si="14"/>
        <v>2377.1044511806417</v>
      </c>
      <c r="BC108" s="3">
        <f t="shared" si="14"/>
        <v>2444.9977284044871</v>
      </c>
      <c r="BD108" s="3">
        <f t="shared" si="14"/>
        <v>2510.4920973552839</v>
      </c>
      <c r="BE108" s="3">
        <f t="shared" si="14"/>
        <v>2574.1199064173525</v>
      </c>
      <c r="BF108" s="3">
        <f t="shared" si="14"/>
        <v>2636.2532318671019</v>
      </c>
      <c r="BG108" s="3">
        <f t="shared" si="14"/>
        <v>2697.1505844490107</v>
      </c>
      <c r="BH108" s="3">
        <f t="shared" si="14"/>
        <v>2756.7347369493723</v>
      </c>
      <c r="BI108" s="3">
        <f t="shared" si="14"/>
        <v>2813.9196336248506</v>
      </c>
    </row>
    <row r="109" spans="1:309" ht="18" customHeight="1" x14ac:dyDescent="0.35">
      <c r="A109" s="15" t="s">
        <v>69</v>
      </c>
      <c r="B109" s="3">
        <f t="shared" ref="B109:BI109" si="15">(B32*(B137)^$B39)*B47^(1-$B$39)</f>
        <v>6.8066931387862328E-6</v>
      </c>
      <c r="C109" s="3">
        <f t="shared" si="15"/>
        <v>6.7096009889935037E-4</v>
      </c>
      <c r="D109" s="3">
        <f t="shared" si="15"/>
        <v>8.5527825486333747E-4</v>
      </c>
      <c r="E109" s="3">
        <f t="shared" si="15"/>
        <v>1.0768274528996664E-3</v>
      </c>
      <c r="F109" s="3">
        <f t="shared" si="15"/>
        <v>1.3392480583218716E-3</v>
      </c>
      <c r="G109" s="3">
        <f t="shared" si="15"/>
        <v>1.6460430445676411E-3</v>
      </c>
      <c r="H109" s="3">
        <f t="shared" si="15"/>
        <v>2.0005137846000657E-3</v>
      </c>
      <c r="I109" s="3">
        <f t="shared" si="15"/>
        <v>2.405699395478867E-3</v>
      </c>
      <c r="J109" s="3">
        <f t="shared" si="15"/>
        <v>2.864319652178681E-3</v>
      </c>
      <c r="K109" s="3">
        <f t="shared" si="15"/>
        <v>3.3787217003031248E-3</v>
      </c>
      <c r="L109" s="3">
        <f t="shared" si="15"/>
        <v>3.9508308153248196E-3</v>
      </c>
      <c r="M109" s="3">
        <f t="shared" si="15"/>
        <v>4.5821053332222956E-3</v>
      </c>
      <c r="N109" s="3">
        <f t="shared" si="15"/>
        <v>5.273495671868249E-3</v>
      </c>
      <c r="O109" s="3">
        <f t="shared" si="15"/>
        <v>6.0254072370730946E-3</v>
      </c>
      <c r="P109" s="3">
        <f t="shared" si="15"/>
        <v>6.8376672620672294E-3</v>
      </c>
      <c r="Q109" s="3">
        <f t="shared" si="15"/>
        <v>7.7094969563375288E-3</v>
      </c>
      <c r="R109" s="3">
        <f t="shared" si="15"/>
        <v>8.6394940524190181E-3</v>
      </c>
      <c r="S109" s="3">
        <f t="shared" si="15"/>
        <v>9.6256395649157427E-3</v>
      </c>
      <c r="T109" s="3">
        <f t="shared" si="15"/>
        <v>1.0665361384962055E-2</v>
      </c>
      <c r="U109" s="3">
        <f t="shared" si="15"/>
        <v>1.1756274802936744E-2</v>
      </c>
      <c r="V109" s="3">
        <f t="shared" si="15"/>
        <v>1.2894592068127118E-2</v>
      </c>
      <c r="W109" s="3">
        <f t="shared" si="15"/>
        <v>1.2996700873668386E-2</v>
      </c>
      <c r="X109" s="3">
        <f t="shared" si="15"/>
        <v>1.2114025057832123E-2</v>
      </c>
      <c r="Y109" s="3">
        <f t="shared" si="15"/>
        <v>1.1293833032752996E-2</v>
      </c>
      <c r="Z109" s="3">
        <f t="shared" si="15"/>
        <v>1.0531526438518816E-2</v>
      </c>
      <c r="AA109" s="3">
        <f t="shared" si="15"/>
        <v>9.8228579064871049E-3</v>
      </c>
      <c r="AB109" s="3">
        <f t="shared" si="15"/>
        <v>9.163903329942262E-3</v>
      </c>
      <c r="AC109" s="3">
        <f t="shared" si="15"/>
        <v>8.5510363979174973E-3</v>
      </c>
      <c r="AD109" s="3">
        <f t="shared" si="15"/>
        <v>7.9809052016832499E-3</v>
      </c>
      <c r="AE109" s="3">
        <f t="shared" si="15"/>
        <v>7.4504107399169326E-3</v>
      </c>
      <c r="AF109" s="3">
        <f t="shared" si="15"/>
        <v>6.9566871636085629E-3</v>
      </c>
      <c r="AG109" s="3">
        <f t="shared" si="15"/>
        <v>6.497083615458683E-3</v>
      </c>
      <c r="AH109" s="3">
        <f t="shared" si="15"/>
        <v>6.0691475310152045E-3</v>
      </c>
      <c r="AI109" s="3">
        <f t="shared" si="15"/>
        <v>5.6706092801773935E-3</v>
      </c>
      <c r="AJ109" s="3">
        <f t="shared" si="15"/>
        <v>5.299368038076303E-3</v>
      </c>
      <c r="AK109" s="3">
        <f t="shared" si="15"/>
        <v>4.9534787838078596E-3</v>
      </c>
      <c r="AL109" s="3">
        <f t="shared" si="15"/>
        <v>4.631140334130277E-3</v>
      </c>
      <c r="AM109" s="3">
        <f t="shared" si="15"/>
        <v>4.3306843271184161E-3</v>
      </c>
      <c r="AN109" s="3">
        <f t="shared" si="15"/>
        <v>4.0505650779612068E-3</v>
      </c>
      <c r="AO109" s="3">
        <f t="shared" si="15"/>
        <v>3.7893502356536506E-3</v>
      </c>
      <c r="AP109" s="3">
        <f t="shared" si="15"/>
        <v>3.5457121753327409E-3</v>
      </c>
      <c r="AQ109" s="3">
        <f t="shared" si="15"/>
        <v>3.3184200664834141E-3</v>
      </c>
      <c r="AR109" s="3">
        <f t="shared" si="15"/>
        <v>3.1063325622451227E-3</v>
      </c>
      <c r="AS109" s="3">
        <f t="shared" si="15"/>
        <v>2.9083910596229097E-3</v>
      </c>
      <c r="AT109" s="3">
        <f t="shared" si="15"/>
        <v>2.7236134845870928E-3</v>
      </c>
      <c r="AU109" s="3">
        <f t="shared" si="15"/>
        <v>2.5510885598679436E-3</v>
      </c>
      <c r="AV109" s="3">
        <f t="shared" si="15"/>
        <v>2.3899705167470565E-3</v>
      </c>
      <c r="AW109" s="3">
        <f t="shared" si="15"/>
        <v>2.2394742153443556E-3</v>
      </c>
      <c r="AX109" s="3">
        <f t="shared" si="15"/>
        <v>2.0988706408258074E-3</v>
      </c>
      <c r="AY109" s="3">
        <f t="shared" si="15"/>
        <v>1.9674827456336989E-3</v>
      </c>
      <c r="AZ109" s="3">
        <f t="shared" si="15"/>
        <v>1.8446816102926501E-3</v>
      </c>
      <c r="BA109" s="3">
        <f t="shared" si="15"/>
        <v>1.7298828975886378E-3</v>
      </c>
      <c r="BB109" s="3">
        <f t="shared" si="15"/>
        <v>1.6225435769735177E-3</v>
      </c>
      <c r="BC109" s="3">
        <f t="shared" si="15"/>
        <v>1.5221588979303421E-3</v>
      </c>
      <c r="BD109" s="3">
        <f t="shared" si="15"/>
        <v>1.4282595927598738E-3</v>
      </c>
      <c r="BE109" s="3">
        <f t="shared" si="15"/>
        <v>1.3404092908297566E-3</v>
      </c>
      <c r="BF109" s="3">
        <f t="shared" si="15"/>
        <v>1.2582021277771501E-3</v>
      </c>
      <c r="BG109" s="3">
        <f t="shared" si="15"/>
        <v>8.8746319301434562E-4</v>
      </c>
      <c r="BH109" s="3">
        <f t="shared" si="15"/>
        <v>1.9322080579347318E-4</v>
      </c>
      <c r="BI109" s="3">
        <f t="shared" si="15"/>
        <v>2.6168660493646875E-9</v>
      </c>
    </row>
    <row r="110" spans="1:309" ht="18" customHeight="1" x14ac:dyDescent="0.35">
      <c r="A110" s="15" t="s">
        <v>70</v>
      </c>
      <c r="B110" s="3">
        <f t="shared" ref="B110:BI110" si="16">+B105*B109</f>
        <v>4.325121740063295E-4</v>
      </c>
      <c r="C110" s="3">
        <f t="shared" si="16"/>
        <v>5.0898986884139574E-2</v>
      </c>
      <c r="D110" s="3">
        <f t="shared" si="16"/>
        <v>7.6648698520869585E-2</v>
      </c>
      <c r="E110" s="3">
        <f t="shared" si="16"/>
        <v>0.11290947754539944</v>
      </c>
      <c r="F110" s="3">
        <f t="shared" si="16"/>
        <v>0.1628291945045639</v>
      </c>
      <c r="G110" s="3">
        <f t="shared" si="16"/>
        <v>0.23014838509020202</v>
      </c>
      <c r="H110" s="3">
        <f t="shared" si="16"/>
        <v>0.31923450229373057</v>
      </c>
      <c r="I110" s="3">
        <f t="shared" si="16"/>
        <v>0.43510490871589197</v>
      </c>
      <c r="J110" s="3">
        <f t="shared" si="16"/>
        <v>0.58343677387351878</v>
      </c>
      <c r="K110" s="3">
        <f t="shared" si="16"/>
        <v>0.77056226603154643</v>
      </c>
      <c r="L110" s="3">
        <f t="shared" si="16"/>
        <v>1.0034476644479402</v>
      </c>
      <c r="M110" s="3">
        <f t="shared" si="16"/>
        <v>1.2896552203017329</v>
      </c>
      <c r="N110" s="3">
        <f t="shared" si="16"/>
        <v>1.6372866984755647</v>
      </c>
      <c r="O110" s="3">
        <f t="shared" si="16"/>
        <v>2.0549074752205883</v>
      </c>
      <c r="P110" s="3">
        <f t="shared" si="16"/>
        <v>2.5514498033990014</v>
      </c>
      <c r="Q110" s="3">
        <f t="shared" si="16"/>
        <v>3.1360934466098231</v>
      </c>
      <c r="R110" s="3">
        <f t="shared" si="16"/>
        <v>3.8181216036056522</v>
      </c>
      <c r="S110" s="3">
        <f t="shared" si="16"/>
        <v>4.6067506904725386</v>
      </c>
      <c r="T110" s="3">
        <f t="shared" si="16"/>
        <v>5.510935973133293</v>
      </c>
      <c r="U110" s="3">
        <f t="shared" si="16"/>
        <v>6.5394704678012392</v>
      </c>
      <c r="V110" s="3">
        <f t="shared" si="16"/>
        <v>7.6998715752502909</v>
      </c>
      <c r="W110" s="3">
        <f t="shared" si="16"/>
        <v>8.3079172973105013</v>
      </c>
      <c r="X110" s="3">
        <f t="shared" si="16"/>
        <v>8.2701959671580045</v>
      </c>
      <c r="Y110" s="3">
        <f t="shared" si="16"/>
        <v>8.2190371195226746</v>
      </c>
      <c r="Z110" s="3">
        <f t="shared" si="16"/>
        <v>8.1544760077069238</v>
      </c>
      <c r="AA110" s="3">
        <f t="shared" si="16"/>
        <v>8.0769218941477341</v>
      </c>
      <c r="AB110" s="3">
        <f t="shared" si="16"/>
        <v>7.9870098152732911</v>
      </c>
      <c r="AC110" s="3">
        <f t="shared" si="16"/>
        <v>7.8855100419175193</v>
      </c>
      <c r="AD110" s="3">
        <f t="shared" si="16"/>
        <v>7.7732716679623906</v>
      </c>
      <c r="AE110" s="3">
        <f t="shared" si="16"/>
        <v>7.651186427082254</v>
      </c>
      <c r="AF110" s="3">
        <f t="shared" si="16"/>
        <v>7.5201646075028004</v>
      </c>
      <c r="AG110" s="3">
        <f t="shared" si="16"/>
        <v>7.3811183400580589</v>
      </c>
      <c r="AH110" s="3">
        <f t="shared" si="16"/>
        <v>7.2349495244659456</v>
      </c>
      <c r="AI110" s="3">
        <f t="shared" si="16"/>
        <v>7.0825408053676338</v>
      </c>
      <c r="AJ110" s="3">
        <f t="shared" si="16"/>
        <v>6.9247486652458097</v>
      </c>
      <c r="AK110" s="3">
        <f t="shared" si="16"/>
        <v>6.7623980671438044</v>
      </c>
      <c r="AL110" s="3">
        <f t="shared" si="16"/>
        <v>6.596278279728967</v>
      </c>
      <c r="AM110" s="3">
        <f t="shared" si="16"/>
        <v>6.4271396173208437</v>
      </c>
      <c r="AN110" s="3">
        <f t="shared" si="16"/>
        <v>6.2556908652729923</v>
      </c>
      <c r="AO110" s="3">
        <f t="shared" si="16"/>
        <v>6.0825971511823278</v>
      </c>
      <c r="AP110" s="3">
        <f t="shared" si="16"/>
        <v>5.9084779644188945</v>
      </c>
      <c r="AQ110" s="3">
        <f t="shared" si="16"/>
        <v>5.7339049042676873</v>
      </c>
      <c r="AR110" s="3">
        <f t="shared" si="16"/>
        <v>5.5593985151645215</v>
      </c>
      <c r="AS110" s="3">
        <f t="shared" si="16"/>
        <v>5.385423180899843</v>
      </c>
      <c r="AT110" s="3">
        <f t="shared" si="16"/>
        <v>5.212378384429436</v>
      </c>
      <c r="AU110" s="3">
        <f t="shared" si="16"/>
        <v>5.0405834957329603</v>
      </c>
      <c r="AV110" s="3">
        <f t="shared" si="16"/>
        <v>4.8702512697794722</v>
      </c>
      <c r="AW110" s="3">
        <f t="shared" si="16"/>
        <v>4.701441754253687</v>
      </c>
      <c r="AX110" s="3">
        <f t="shared" si="16"/>
        <v>4.5339820106226778</v>
      </c>
      <c r="AY110" s="3">
        <f t="shared" si="16"/>
        <v>4.3673251302297542</v>
      </c>
      <c r="AZ110" s="3">
        <f t="shared" si="16"/>
        <v>4.2002978323019899</v>
      </c>
      <c r="BA110" s="3">
        <f t="shared" si="16"/>
        <v>4.0714341183246683</v>
      </c>
      <c r="BB110" s="3">
        <f t="shared" si="16"/>
        <v>3.9360889685045852</v>
      </c>
      <c r="BC110" s="3">
        <f t="shared" si="16"/>
        <v>3.7976995224810777</v>
      </c>
      <c r="BD110" s="3">
        <f t="shared" si="16"/>
        <v>3.658582174964724</v>
      </c>
      <c r="BE110" s="3">
        <f t="shared" si="16"/>
        <v>3.5203040064759716</v>
      </c>
      <c r="BF110" s="3">
        <f t="shared" si="16"/>
        <v>3.3839265068756696</v>
      </c>
      <c r="BG110" s="3">
        <f t="shared" si="16"/>
        <v>2.4418015366193209</v>
      </c>
      <c r="BH110" s="3">
        <f t="shared" si="16"/>
        <v>0.54341759913160326</v>
      </c>
      <c r="BI110" s="3">
        <f t="shared" si="16"/>
        <v>7.5172051171017215E-6</v>
      </c>
    </row>
    <row r="111" spans="1:309" ht="18" customHeight="1" x14ac:dyDescent="0.35">
      <c r="A111" s="15" t="s">
        <v>11</v>
      </c>
      <c r="B111" s="3">
        <f>+B108-B110</f>
        <v>63.425151769215496</v>
      </c>
      <c r="C111" s="3">
        <f>+C108-C110</f>
        <v>75.633027833255483</v>
      </c>
      <c r="D111" s="3">
        <f>+D108-D110</f>
        <v>89.282269249700661</v>
      </c>
      <c r="E111" s="3">
        <f>+E108-E110</f>
        <v>104.36647697222826</v>
      </c>
      <c r="F111" s="3">
        <f>+F108-F110</f>
        <v>120.89042122550688</v>
      </c>
      <c r="G111" s="3">
        <f t="shared" ref="G111:BI111" si="17">+G108-G110</f>
        <v>138.8552177923886</v>
      </c>
      <c r="H111" s="3">
        <f t="shared" si="17"/>
        <v>158.25834297008726</v>
      </c>
      <c r="I111" s="3">
        <f t="shared" si="17"/>
        <v>179.09378920370139</v>
      </c>
      <c r="J111" s="3">
        <f t="shared" si="17"/>
        <v>201.35237373867318</v>
      </c>
      <c r="K111" s="3">
        <f t="shared" si="17"/>
        <v>225.02219272049706</v>
      </c>
      <c r="L111" s="3">
        <f t="shared" si="17"/>
        <v>250.08920036517259</v>
      </c>
      <c r="M111" s="3">
        <f t="shared" si="17"/>
        <v>276.53788235799493</v>
      </c>
      <c r="N111" s="3">
        <f t="shared" si="17"/>
        <v>304.35198049826795</v>
      </c>
      <c r="O111" s="3">
        <f t="shared" si="17"/>
        <v>333.51520655266523</v>
      </c>
      <c r="P111" s="3">
        <f t="shared" si="17"/>
        <v>364.0118483041208</v>
      </c>
      <c r="Q111" s="3">
        <f t="shared" si="17"/>
        <v>395.8271030527165</v>
      </c>
      <c r="R111" s="3">
        <f t="shared" si="17"/>
        <v>428.94684111159273</v>
      </c>
      <c r="S111" s="3">
        <f t="shared" si="17"/>
        <v>463.35624206124351</v>
      </c>
      <c r="T111" s="3">
        <f t="shared" si="17"/>
        <v>499.03623910903582</v>
      </c>
      <c r="U111" s="3">
        <f t="shared" si="17"/>
        <v>535.98732203485179</v>
      </c>
      <c r="V111" s="3">
        <f t="shared" si="17"/>
        <v>574.16896851892432</v>
      </c>
      <c r="W111" s="3">
        <f t="shared" si="17"/>
        <v>614.17454295948517</v>
      </c>
      <c r="X111" s="3">
        <f t="shared" si="17"/>
        <v>656.27988104622125</v>
      </c>
      <c r="Y111" s="3">
        <f t="shared" si="17"/>
        <v>700.05927881122238</v>
      </c>
      <c r="Z111" s="3">
        <f t="shared" si="17"/>
        <v>745.41871916442506</v>
      </c>
      <c r="AA111" s="3">
        <f t="shared" si="17"/>
        <v>792.2745162479489</v>
      </c>
      <c r="AB111" s="3">
        <f t="shared" si="17"/>
        <v>840.54850027694795</v>
      </c>
      <c r="AC111" s="3">
        <f t="shared" si="17"/>
        <v>890.16524040395257</v>
      </c>
      <c r="AD111" s="3">
        <f t="shared" si="17"/>
        <v>941.05051943253227</v>
      </c>
      <c r="AE111" s="3">
        <f t="shared" si="17"/>
        <v>993.130561791795</v>
      </c>
      <c r="AF111" s="3">
        <f t="shared" si="17"/>
        <v>1046.3317032136706</v>
      </c>
      <c r="AG111" s="3">
        <f t="shared" si="17"/>
        <v>1100.5803103885348</v>
      </c>
      <c r="AH111" s="3">
        <f t="shared" si="17"/>
        <v>1155.8028347078573</v>
      </c>
      <c r="AI111" s="3">
        <f t="shared" si="17"/>
        <v>1211.9259308491885</v>
      </c>
      <c r="AJ111" s="3">
        <f t="shared" si="17"/>
        <v>1268.8765990889722</v>
      </c>
      <c r="AK111" s="3">
        <f t="shared" si="17"/>
        <v>1326.582325473066</v>
      </c>
      <c r="AL111" s="3">
        <f t="shared" si="17"/>
        <v>1384.9712002955509</v>
      </c>
      <c r="AM111" s="3">
        <f t="shared" si="17"/>
        <v>1443.9719937847553</v>
      </c>
      <c r="AN111" s="3">
        <f t="shared" si="17"/>
        <v>1503.5141576912711</v>
      </c>
      <c r="AO111" s="3">
        <f t="shared" si="17"/>
        <v>1563.5276987032159</v>
      </c>
      <c r="AP111" s="3">
        <f t="shared" si="17"/>
        <v>1623.9428260738421</v>
      </c>
      <c r="AQ111" s="3">
        <f t="shared" si="17"/>
        <v>1684.6891957434016</v>
      </c>
      <c r="AR111" s="3">
        <f t="shared" si="17"/>
        <v>1745.6944275366436</v>
      </c>
      <c r="AS111" s="3">
        <f t="shared" si="17"/>
        <v>1806.8813076854185</v>
      </c>
      <c r="AT111" s="3">
        <f t="shared" si="17"/>
        <v>1868.162609441792</v>
      </c>
      <c r="AU111" s="3">
        <f t="shared" si="17"/>
        <v>1929.4315926358645</v>
      </c>
      <c r="AV111" s="3">
        <f t="shared" si="17"/>
        <v>1990.5446493319535</v>
      </c>
      <c r="AW111" s="3">
        <f t="shared" si="17"/>
        <v>2051.2896187172455</v>
      </c>
      <c r="AX111" s="3">
        <f t="shared" si="17"/>
        <v>2111.3277524121718</v>
      </c>
      <c r="AY111" s="3">
        <f t="shared" si="17"/>
        <v>2170.0865328317486</v>
      </c>
      <c r="AZ111" s="3">
        <f t="shared" si="17"/>
        <v>2226.5584516271088</v>
      </c>
      <c r="BA111" s="3">
        <f t="shared" si="17"/>
        <v>2301.9813153873088</v>
      </c>
      <c r="BB111" s="3">
        <f t="shared" si="17"/>
        <v>2373.1683622121373</v>
      </c>
      <c r="BC111" s="3">
        <f t="shared" si="17"/>
        <v>2441.2000288820059</v>
      </c>
      <c r="BD111" s="3">
        <f t="shared" si="17"/>
        <v>2506.8335151803194</v>
      </c>
      <c r="BE111" s="3">
        <f t="shared" si="17"/>
        <v>2570.5996024108763</v>
      </c>
      <c r="BF111" s="3">
        <f t="shared" si="17"/>
        <v>2632.8693053602265</v>
      </c>
      <c r="BG111" s="3">
        <f t="shared" si="17"/>
        <v>2694.7087829123916</v>
      </c>
      <c r="BH111" s="3">
        <f t="shared" si="17"/>
        <v>2756.1913193502405</v>
      </c>
      <c r="BI111" s="3">
        <f t="shared" si="17"/>
        <v>2813.9196261076454</v>
      </c>
    </row>
    <row r="112" spans="1:309" ht="18" customHeight="1" thickBot="1" x14ac:dyDescent="0.4">
      <c r="A112" s="82" t="s">
        <v>38</v>
      </c>
      <c r="B112" s="3"/>
    </row>
    <row r="113" spans="1:124" ht="18" customHeight="1" thickTop="1" x14ac:dyDescent="0.35">
      <c r="A113" s="15" t="s">
        <v>235</v>
      </c>
      <c r="B113" s="3">
        <f>+B114+B44</f>
        <v>31.399705321427348</v>
      </c>
      <c r="C113" s="3">
        <f t="shared" ref="C113:BI113" si="18">+C114+C44</f>
        <v>29.236851152871523</v>
      </c>
      <c r="D113" s="3">
        <f t="shared" si="18"/>
        <v>31.480534938257339</v>
      </c>
      <c r="E113" s="3">
        <f t="shared" si="18"/>
        <v>33.569197066799603</v>
      </c>
      <c r="F113" s="3">
        <f t="shared" si="18"/>
        <v>35.430357039100123</v>
      </c>
      <c r="G113" s="3">
        <f t="shared" si="18"/>
        <v>37.00007478115289</v>
      </c>
      <c r="H113" s="3">
        <f t="shared" si="18"/>
        <v>38.222388814934924</v>
      </c>
      <c r="I113" s="3">
        <f t="shared" si="18"/>
        <v>39.048830914465327</v>
      </c>
      <c r="J113" s="3">
        <f t="shared" si="18"/>
        <v>39.438003929706326</v>
      </c>
      <c r="K113" s="3">
        <f t="shared" si="18"/>
        <v>39.355207292008075</v>
      </c>
      <c r="L113" s="3">
        <f t="shared" si="18"/>
        <v>38.772096443395689</v>
      </c>
      <c r="M113" s="3">
        <f t="shared" si="18"/>
        <v>37.666365452169536</v>
      </c>
      <c r="N113" s="3">
        <f t="shared" si="18"/>
        <v>36.021445321315909</v>
      </c>
      <c r="O113" s="3">
        <f t="shared" si="18"/>
        <v>33.82621332933541</v>
      </c>
      <c r="P113" s="3">
        <f t="shared" si="18"/>
        <v>31.07471062098233</v>
      </c>
      <c r="Q113" s="3">
        <f t="shared" si="18"/>
        <v>27.765865064936179</v>
      </c>
      <c r="R113" s="3">
        <f t="shared" si="18"/>
        <v>23.903212287899237</v>
      </c>
      <c r="S113" s="3">
        <f t="shared" si="18"/>
        <v>19.494596339041173</v>
      </c>
      <c r="T113" s="3">
        <f t="shared" si="18"/>
        <v>14.551806676115392</v>
      </c>
      <c r="U113" s="3">
        <f t="shared" si="18"/>
        <v>9.0883830571807867</v>
      </c>
      <c r="V113" s="3">
        <f t="shared" si="18"/>
        <v>3.1251474913760724</v>
      </c>
      <c r="W113" s="3">
        <f t="shared" si="18"/>
        <v>1.4201410392624382E-2</v>
      </c>
      <c r="X113" s="3">
        <f t="shared" si="18"/>
        <v>1.1361128314068844E-2</v>
      </c>
      <c r="Y113" s="3">
        <f t="shared" si="18"/>
        <v>9.0889026512550753E-3</v>
      </c>
      <c r="Z113" s="3">
        <f t="shared" si="18"/>
        <v>7.2711221211122995E-3</v>
      </c>
      <c r="AA113" s="3">
        <f t="shared" si="18"/>
        <v>5.8168976968032485E-3</v>
      </c>
      <c r="AB113" s="3">
        <f t="shared" si="18"/>
        <v>4.6535181574704791E-3</v>
      </c>
      <c r="AC113" s="3">
        <f t="shared" si="18"/>
        <v>3.7228145260246597E-3</v>
      </c>
      <c r="AD113" s="3">
        <f t="shared" si="18"/>
        <v>2.9782516207632632E-3</v>
      </c>
      <c r="AE113" s="3">
        <f t="shared" si="18"/>
        <v>2.3826012967979155E-3</v>
      </c>
      <c r="AF113" s="3">
        <f t="shared" si="18"/>
        <v>1.9060810372884887E-3</v>
      </c>
      <c r="AG113" s="3">
        <f t="shared" si="18"/>
        <v>1.524864829830791E-3</v>
      </c>
      <c r="AH113" s="3">
        <f t="shared" si="18"/>
        <v>1.2198918639969268E-3</v>
      </c>
      <c r="AI113" s="3">
        <f t="shared" si="18"/>
        <v>9.7591349109170638E-4</v>
      </c>
      <c r="AJ113" s="3">
        <f t="shared" si="18"/>
        <v>7.8073079287336515E-4</v>
      </c>
      <c r="AK113" s="3">
        <f t="shared" si="18"/>
        <v>6.2458463449139689E-4</v>
      </c>
      <c r="AL113" s="3">
        <f t="shared" si="18"/>
        <v>4.9966770743895374E-4</v>
      </c>
      <c r="AM113" s="3">
        <f t="shared" si="18"/>
        <v>3.9973416595116303E-4</v>
      </c>
      <c r="AN113" s="3">
        <f t="shared" si="18"/>
        <v>3.1978733276093044E-4</v>
      </c>
      <c r="AO113" s="3">
        <f t="shared" si="18"/>
        <v>2.5582986620874439E-4</v>
      </c>
      <c r="AP113" s="3">
        <f t="shared" si="18"/>
        <v>2.0466389296699552E-4</v>
      </c>
      <c r="AQ113" s="3">
        <f t="shared" si="18"/>
        <v>1.6373111437359642E-4</v>
      </c>
      <c r="AR113" s="3">
        <f t="shared" si="18"/>
        <v>1.3098489155707456E-4</v>
      </c>
      <c r="AS113" s="3">
        <f t="shared" si="18"/>
        <v>1.0478791319910172E-4</v>
      </c>
      <c r="AT113" s="3">
        <f t="shared" si="18"/>
        <v>8.3830330559281379E-5</v>
      </c>
      <c r="AU113" s="3">
        <f t="shared" si="18"/>
        <v>6.7064264717843681E-5</v>
      </c>
      <c r="AV113" s="3">
        <f t="shared" si="18"/>
        <v>5.3651411698982223E-5</v>
      </c>
      <c r="AW113" s="3">
        <f t="shared" si="18"/>
        <v>4.2921129246352076E-5</v>
      </c>
      <c r="AX113" s="3">
        <f t="shared" si="18"/>
        <v>3.4336903397081661E-5</v>
      </c>
      <c r="AY113" s="3">
        <f t="shared" si="18"/>
        <v>2.7469522717665329E-5</v>
      </c>
      <c r="AZ113" s="3">
        <f t="shared" si="18"/>
        <v>2.1975618174132264E-5</v>
      </c>
      <c r="BA113" s="3">
        <f t="shared" si="18"/>
        <v>1.7580494539305812E-5</v>
      </c>
      <c r="BB113" s="3">
        <f t="shared" si="18"/>
        <v>1.4064395631444651E-5</v>
      </c>
      <c r="BC113" s="3">
        <f t="shared" si="18"/>
        <v>1.1251516505155721E-5</v>
      </c>
      <c r="BD113" s="3">
        <f t="shared" si="18"/>
        <v>9.0012132041245777E-6</v>
      </c>
      <c r="BE113" s="3">
        <f t="shared" si="18"/>
        <v>7.2009705632996627E-6</v>
      </c>
      <c r="BF113" s="3">
        <f t="shared" si="18"/>
        <v>5.7607764506397308E-6</v>
      </c>
      <c r="BG113" s="3">
        <f t="shared" si="18"/>
        <v>10.874676792073073</v>
      </c>
      <c r="BH113" s="3">
        <f t="shared" si="18"/>
        <v>51.193224119775721</v>
      </c>
      <c r="BI113" s="3">
        <f t="shared" si="18"/>
        <v>107.40360774670116</v>
      </c>
    </row>
    <row r="114" spans="1:124" ht="18" customHeight="1" x14ac:dyDescent="0.35">
      <c r="A114" s="15" t="s">
        <v>236</v>
      </c>
      <c r="B114" s="51">
        <f t="shared" ref="B114:BI114" si="19">+B41*B105*(1-B137)</f>
        <v>29.859985321427349</v>
      </c>
      <c r="C114" s="51">
        <f t="shared" si="19"/>
        <v>28.005075152871523</v>
      </c>
      <c r="D114" s="51">
        <f t="shared" si="19"/>
        <v>30.495114138257339</v>
      </c>
      <c r="E114" s="51">
        <f t="shared" si="19"/>
        <v>32.780860426799606</v>
      </c>
      <c r="F114" s="51">
        <f t="shared" si="19"/>
        <v>34.799687727100121</v>
      </c>
      <c r="G114" s="51">
        <f t="shared" si="19"/>
        <v>36.495539331552891</v>
      </c>
      <c r="H114" s="51">
        <f t="shared" si="19"/>
        <v>37.818760455254925</v>
      </c>
      <c r="I114" s="51">
        <f t="shared" si="19"/>
        <v>38.725928226721329</v>
      </c>
      <c r="J114" s="51">
        <f t="shared" si="19"/>
        <v>39.179681779511128</v>
      </c>
      <c r="K114" s="51">
        <f t="shared" si="19"/>
        <v>39.148549571851916</v>
      </c>
      <c r="L114" s="51">
        <f t="shared" si="19"/>
        <v>38.606770267270761</v>
      </c>
      <c r="M114" s="51">
        <f t="shared" si="19"/>
        <v>37.534104511269597</v>
      </c>
      <c r="N114" s="51">
        <f t="shared" si="19"/>
        <v>35.915636568595957</v>
      </c>
      <c r="O114" s="51">
        <f t="shared" si="19"/>
        <v>33.741566327159447</v>
      </c>
      <c r="P114" s="51">
        <f t="shared" si="19"/>
        <v>31.006993019241559</v>
      </c>
      <c r="Q114" s="51">
        <f t="shared" si="19"/>
        <v>27.711690983543562</v>
      </c>
      <c r="R114" s="51">
        <f t="shared" si="19"/>
        <v>23.859873022785145</v>
      </c>
      <c r="S114" s="51">
        <f t="shared" si="19"/>
        <v>19.459924926949899</v>
      </c>
      <c r="T114" s="51">
        <f t="shared" si="19"/>
        <v>14.524069546442373</v>
      </c>
      <c r="U114" s="51">
        <f t="shared" si="19"/>
        <v>9.0661933534423707</v>
      </c>
      <c r="V114" s="51">
        <f t="shared" si="19"/>
        <v>3.10739572838534</v>
      </c>
      <c r="W114" s="51">
        <f t="shared" si="19"/>
        <v>3.8328895818636204E-14</v>
      </c>
      <c r="X114" s="51">
        <f t="shared" si="19"/>
        <v>0</v>
      </c>
      <c r="Y114" s="51">
        <f t="shared" si="19"/>
        <v>0</v>
      </c>
      <c r="Z114" s="51">
        <f t="shared" si="19"/>
        <v>1.0823932819527883E-13</v>
      </c>
      <c r="AA114" s="51">
        <f t="shared" si="19"/>
        <v>0</v>
      </c>
      <c r="AB114" s="51">
        <f t="shared" si="19"/>
        <v>2.7880722522998914E-14</v>
      </c>
      <c r="AC114" s="51">
        <f t="shared" si="19"/>
        <v>7.0580541858653068E-14</v>
      </c>
      <c r="AD114" s="51">
        <f t="shared" si="19"/>
        <v>0</v>
      </c>
      <c r="AE114" s="51">
        <f t="shared" si="19"/>
        <v>1.873044517806374E-13</v>
      </c>
      <c r="AF114" s="51">
        <f t="shared" si="19"/>
        <v>0</v>
      </c>
      <c r="AG114" s="51">
        <f t="shared" si="19"/>
        <v>0</v>
      </c>
      <c r="AH114" s="51">
        <f t="shared" si="19"/>
        <v>1.3229399493586349E-13</v>
      </c>
      <c r="AI114" s="51">
        <f t="shared" si="19"/>
        <v>0</v>
      </c>
      <c r="AJ114" s="51">
        <f t="shared" si="19"/>
        <v>0</v>
      </c>
      <c r="AK114" s="51">
        <f t="shared" si="19"/>
        <v>1.9270472049933468E-13</v>
      </c>
      <c r="AL114" s="51">
        <f t="shared" si="19"/>
        <v>0</v>
      </c>
      <c r="AM114" s="51">
        <f t="shared" si="19"/>
        <v>0</v>
      </c>
      <c r="AN114" s="51">
        <f t="shared" si="19"/>
        <v>0</v>
      </c>
      <c r="AO114" s="51">
        <f t="shared" si="19"/>
        <v>0</v>
      </c>
      <c r="AP114" s="51">
        <f t="shared" si="19"/>
        <v>0</v>
      </c>
      <c r="AQ114" s="51">
        <f t="shared" si="19"/>
        <v>0</v>
      </c>
      <c r="AR114" s="51">
        <f t="shared" si="19"/>
        <v>5.819742339351445E-14</v>
      </c>
      <c r="AS114" s="51">
        <f t="shared" si="19"/>
        <v>0</v>
      </c>
      <c r="AT114" s="51">
        <f t="shared" si="19"/>
        <v>0</v>
      </c>
      <c r="AU114" s="51">
        <f t="shared" si="19"/>
        <v>2.7041857891887681E-13</v>
      </c>
      <c r="AV114" s="51">
        <f t="shared" si="19"/>
        <v>1.410421321750606E-13</v>
      </c>
      <c r="AW114" s="51">
        <f t="shared" si="19"/>
        <v>0</v>
      </c>
      <c r="AX114" s="51">
        <f t="shared" si="19"/>
        <v>0</v>
      </c>
      <c r="AY114" s="51">
        <f t="shared" si="19"/>
        <v>0</v>
      </c>
      <c r="AZ114" s="51">
        <f t="shared" si="19"/>
        <v>0</v>
      </c>
      <c r="BA114" s="51">
        <f t="shared" si="19"/>
        <v>0</v>
      </c>
      <c r="BB114" s="51">
        <f t="shared" si="19"/>
        <v>0</v>
      </c>
      <c r="BC114" s="51">
        <f t="shared" si="19"/>
        <v>0</v>
      </c>
      <c r="BD114" s="51">
        <f t="shared" si="19"/>
        <v>0</v>
      </c>
      <c r="BE114" s="51">
        <f t="shared" si="19"/>
        <v>0</v>
      </c>
      <c r="BF114" s="51">
        <f t="shared" si="19"/>
        <v>0</v>
      </c>
      <c r="BG114" s="51">
        <f t="shared" si="19"/>
        <v>10.874672183451912</v>
      </c>
      <c r="BH114" s="51">
        <f t="shared" si="19"/>
        <v>51.193220432878789</v>
      </c>
      <c r="BI114" s="51">
        <f t="shared" si="19"/>
        <v>107.40360479718362</v>
      </c>
      <c r="BJ114" s="51"/>
      <c r="BK114" s="51"/>
      <c r="BL114" s="51"/>
      <c r="BM114" s="51"/>
      <c r="BN114" s="51"/>
      <c r="BO114" s="51"/>
      <c r="BP114" s="51"/>
      <c r="BQ114" s="51"/>
      <c r="BR114" s="51"/>
      <c r="BS114" s="51"/>
      <c r="BT114" s="51"/>
      <c r="BU114" s="51"/>
      <c r="BV114" s="51"/>
      <c r="BW114" s="51"/>
      <c r="BX114" s="51"/>
      <c r="BY114" s="51"/>
      <c r="BZ114" s="51"/>
      <c r="CA114" s="51"/>
      <c r="CB114" s="51"/>
      <c r="CC114" s="51"/>
      <c r="CD114" s="51"/>
      <c r="CE114" s="51"/>
      <c r="CF114" s="51"/>
      <c r="CG114" s="51"/>
      <c r="CH114" s="51"/>
      <c r="CI114" s="51"/>
      <c r="CJ114" s="51"/>
      <c r="CK114" s="51"/>
      <c r="CL114" s="51"/>
      <c r="CM114" s="51"/>
      <c r="CN114" s="51"/>
      <c r="CO114" s="51"/>
      <c r="CP114" s="51"/>
      <c r="CQ114" s="51"/>
      <c r="CR114" s="51"/>
      <c r="CS114" s="51"/>
      <c r="CT114" s="51"/>
      <c r="CU114" s="51"/>
      <c r="CV114" s="51"/>
      <c r="CW114" s="51"/>
      <c r="CX114" s="51"/>
      <c r="CY114" s="51"/>
      <c r="CZ114" s="51"/>
      <c r="DA114" s="51"/>
      <c r="DB114" s="51"/>
      <c r="DC114" s="51"/>
      <c r="DD114" s="51"/>
      <c r="DE114" s="51"/>
      <c r="DF114" s="51"/>
      <c r="DG114" s="51"/>
      <c r="DH114" s="51"/>
      <c r="DI114" s="51"/>
      <c r="DJ114" s="51"/>
      <c r="DK114" s="51"/>
      <c r="DL114" s="51"/>
      <c r="DM114" s="51"/>
      <c r="DN114" s="51"/>
      <c r="DO114" s="51"/>
      <c r="DP114" s="51"/>
      <c r="DQ114" s="51"/>
      <c r="DR114" s="51"/>
      <c r="DS114" s="51"/>
      <c r="DT114" s="51"/>
    </row>
    <row r="115" spans="1:124" s="69" customFormat="1" ht="18" customHeight="1" x14ac:dyDescent="0.35">
      <c r="A115" s="15" t="s">
        <v>100</v>
      </c>
      <c r="B115" s="51">
        <f t="shared" ref="B115:BI115" si="20">+B114/B105</f>
        <v>0.46992378348324315</v>
      </c>
      <c r="C115" s="51">
        <f t="shared" si="20"/>
        <v>0.3691682122676902</v>
      </c>
      <c r="D115" s="51">
        <f t="shared" si="20"/>
        <v>0.34027724547632837</v>
      </c>
      <c r="E115" s="51">
        <f t="shared" si="20"/>
        <v>0.31263390110946787</v>
      </c>
      <c r="F115" s="51">
        <f t="shared" si="20"/>
        <v>0.28622271553041434</v>
      </c>
      <c r="G115" s="51">
        <f t="shared" si="20"/>
        <v>0.26101955332383897</v>
      </c>
      <c r="H115" s="51">
        <f t="shared" si="20"/>
        <v>0.23699490833109474</v>
      </c>
      <c r="I115" s="51">
        <f t="shared" si="20"/>
        <v>0.21411604479326521</v>
      </c>
      <c r="J115" s="51">
        <f t="shared" si="20"/>
        <v>0.19234840433882075</v>
      </c>
      <c r="K115" s="51">
        <f t="shared" si="20"/>
        <v>0.17165654198851404</v>
      </c>
      <c r="L115" s="51">
        <f t="shared" si="20"/>
        <v>0.15200475625803073</v>
      </c>
      <c r="M115" s="51">
        <f t="shared" si="20"/>
        <v>0.13335751893329528</v>
      </c>
      <c r="N115" s="51">
        <f t="shared" si="20"/>
        <v>0.11567977323289202</v>
      </c>
      <c r="O115" s="51">
        <f t="shared" si="20"/>
        <v>9.8937144562201762E-2</v>
      </c>
      <c r="P115" s="51">
        <f t="shared" si="20"/>
        <v>8.3096089439177442E-2</v>
      </c>
      <c r="Q115" s="51">
        <f t="shared" si="20"/>
        <v>6.8123989584413569E-2</v>
      </c>
      <c r="R115" s="51">
        <f t="shared" si="20"/>
        <v>5.3989173858988423E-2</v>
      </c>
      <c r="S115" s="51">
        <f t="shared" si="20"/>
        <v>4.0660811902526732E-2</v>
      </c>
      <c r="T115" s="51">
        <f t="shared" si="20"/>
        <v>2.8108555651583354E-2</v>
      </c>
      <c r="U115" s="51">
        <f t="shared" si="20"/>
        <v>1.6298668371456687E-2</v>
      </c>
      <c r="V115" s="51">
        <f t="shared" si="20"/>
        <v>5.203801118003352E-3</v>
      </c>
      <c r="W115" s="51">
        <f t="shared" si="20"/>
        <v>5.9960779091298624E-17</v>
      </c>
      <c r="X115" s="51">
        <f t="shared" si="20"/>
        <v>0</v>
      </c>
      <c r="Y115" s="51">
        <f t="shared" si="20"/>
        <v>0</v>
      </c>
      <c r="Z115" s="51">
        <f t="shared" si="20"/>
        <v>1.397913667903042E-16</v>
      </c>
      <c r="AA115" s="51">
        <f t="shared" si="20"/>
        <v>0</v>
      </c>
      <c r="AB115" s="51">
        <f t="shared" si="20"/>
        <v>3.1988973580717164E-17</v>
      </c>
      <c r="AC115" s="51">
        <f t="shared" si="20"/>
        <v>7.6537443895172555E-17</v>
      </c>
      <c r="AD115" s="51">
        <f t="shared" si="20"/>
        <v>0</v>
      </c>
      <c r="AE115" s="51">
        <f t="shared" si="20"/>
        <v>1.8238937352790135E-16</v>
      </c>
      <c r="AF115" s="51">
        <f t="shared" si="20"/>
        <v>0</v>
      </c>
      <c r="AG115" s="51">
        <f t="shared" si="20"/>
        <v>0</v>
      </c>
      <c r="AH115" s="51">
        <f t="shared" si="20"/>
        <v>1.1097683128513624E-16</v>
      </c>
      <c r="AI115" s="51">
        <f t="shared" si="20"/>
        <v>0</v>
      </c>
      <c r="AJ115" s="51">
        <f t="shared" si="20"/>
        <v>0</v>
      </c>
      <c r="AK115" s="51">
        <f t="shared" si="20"/>
        <v>1.4115684037752148E-16</v>
      </c>
      <c r="AL115" s="51">
        <f t="shared" si="20"/>
        <v>0</v>
      </c>
      <c r="AM115" s="51">
        <f t="shared" si="20"/>
        <v>0</v>
      </c>
      <c r="AN115" s="51">
        <f t="shared" si="20"/>
        <v>0</v>
      </c>
      <c r="AO115" s="51">
        <f t="shared" si="20"/>
        <v>0</v>
      </c>
      <c r="AP115" s="51">
        <f t="shared" si="20"/>
        <v>0</v>
      </c>
      <c r="AQ115" s="51">
        <f t="shared" si="20"/>
        <v>0</v>
      </c>
      <c r="AR115" s="51">
        <f t="shared" si="20"/>
        <v>3.2518005470001834E-17</v>
      </c>
      <c r="AS115" s="51">
        <f t="shared" si="20"/>
        <v>0</v>
      </c>
      <c r="AT115" s="51">
        <f t="shared" si="20"/>
        <v>0</v>
      </c>
      <c r="AU115" s="51">
        <f t="shared" si="20"/>
        <v>1.3686148511173095E-16</v>
      </c>
      <c r="AV115" s="51">
        <f t="shared" si="20"/>
        <v>6.9213377061097652E-17</v>
      </c>
      <c r="AW115" s="51">
        <f t="shared" si="20"/>
        <v>0</v>
      </c>
      <c r="AX115" s="51">
        <f t="shared" si="20"/>
        <v>0</v>
      </c>
      <c r="AY115" s="51">
        <f t="shared" si="20"/>
        <v>0</v>
      </c>
      <c r="AZ115" s="51">
        <f t="shared" si="20"/>
        <v>0</v>
      </c>
      <c r="BA115" s="51">
        <f t="shared" si="20"/>
        <v>0</v>
      </c>
      <c r="BB115" s="51">
        <f t="shared" si="20"/>
        <v>0</v>
      </c>
      <c r="BC115" s="51">
        <f t="shared" si="20"/>
        <v>0</v>
      </c>
      <c r="BD115" s="51">
        <f t="shared" si="20"/>
        <v>0</v>
      </c>
      <c r="BE115" s="51">
        <f t="shared" si="20"/>
        <v>0</v>
      </c>
      <c r="BF115" s="51">
        <f t="shared" si="20"/>
        <v>0</v>
      </c>
      <c r="BG115" s="51">
        <f t="shared" si="20"/>
        <v>3.9523569602925926E-3</v>
      </c>
      <c r="BH115" s="51">
        <f t="shared" si="20"/>
        <v>1.820256708470757E-2</v>
      </c>
      <c r="BI115" s="51">
        <f t="shared" si="20"/>
        <v>3.7389008626851981E-2</v>
      </c>
      <c r="BJ115" s="51"/>
      <c r="BK115" s="51"/>
      <c r="BL115" s="51"/>
      <c r="BM115" s="51"/>
      <c r="BN115" s="51"/>
      <c r="BO115" s="51"/>
      <c r="BP115" s="51"/>
      <c r="BQ115" s="51"/>
      <c r="BR115" s="51"/>
      <c r="BS115" s="51"/>
      <c r="BT115" s="51"/>
      <c r="BU115" s="51"/>
      <c r="BV115" s="51"/>
      <c r="BW115" s="51"/>
      <c r="BX115" s="51"/>
      <c r="BY115" s="51"/>
      <c r="BZ115" s="51"/>
      <c r="CA115" s="51"/>
      <c r="CB115" s="51"/>
      <c r="CC115" s="51"/>
      <c r="CD115" s="51"/>
      <c r="CE115" s="51"/>
      <c r="CF115" s="51"/>
      <c r="CG115" s="51"/>
      <c r="CH115" s="51"/>
      <c r="CI115" s="51"/>
      <c r="CJ115" s="51"/>
      <c r="CK115" s="51"/>
      <c r="CL115" s="51"/>
      <c r="CM115" s="51"/>
      <c r="CN115" s="51"/>
      <c r="CO115" s="51"/>
      <c r="CP115" s="51"/>
      <c r="CQ115" s="51"/>
      <c r="CR115" s="51"/>
      <c r="CS115" s="51"/>
      <c r="CT115" s="51"/>
      <c r="CU115" s="51"/>
      <c r="CV115" s="51"/>
      <c r="CW115" s="51"/>
      <c r="CX115" s="51"/>
      <c r="CY115" s="51"/>
      <c r="CZ115" s="51"/>
      <c r="DA115" s="51"/>
      <c r="DB115" s="51"/>
      <c r="DC115" s="51"/>
      <c r="DD115" s="51"/>
      <c r="DE115" s="51"/>
      <c r="DF115" s="51"/>
      <c r="DG115" s="51"/>
      <c r="DH115" s="51"/>
      <c r="DI115" s="51"/>
      <c r="DJ115" s="51"/>
      <c r="DK115" s="51"/>
      <c r="DL115" s="51"/>
      <c r="DM115" s="51"/>
      <c r="DN115" s="51"/>
      <c r="DO115" s="51"/>
      <c r="DP115" s="51"/>
      <c r="DQ115" s="51"/>
    </row>
    <row r="116" spans="1:124" ht="18" customHeight="1" thickBot="1" x14ac:dyDescent="0.4">
      <c r="A116" s="82" t="s">
        <v>12</v>
      </c>
    </row>
    <row r="117" spans="1:124" ht="18" customHeight="1" thickTop="1" x14ac:dyDescent="0.35">
      <c r="A117" s="15" t="s">
        <v>132</v>
      </c>
      <c r="B117" s="51">
        <f t="shared" ref="B117:BI117" si="21">(B132)*B111</f>
        <v>16.436991633779947</v>
      </c>
      <c r="C117" s="3">
        <f t="shared" si="21"/>
        <v>19.383657304987366</v>
      </c>
      <c r="D117" s="3">
        <f t="shared" si="21"/>
        <v>22.667130061517597</v>
      </c>
      <c r="E117" s="3">
        <f t="shared" si="21"/>
        <v>26.277518039129117</v>
      </c>
      <c r="F117" s="3">
        <f t="shared" si="21"/>
        <v>30.219729238552365</v>
      </c>
      <c r="G117" s="3">
        <f t="shared" si="21"/>
        <v>34.498365404077788</v>
      </c>
      <c r="H117" s="3">
        <f t="shared" si="21"/>
        <v>39.117640560247509</v>
      </c>
      <c r="I117" s="3">
        <f t="shared" si="21"/>
        <v>44.081348329784475</v>
      </c>
      <c r="J117" s="3">
        <f t="shared" si="21"/>
        <v>49.392873934473904</v>
      </c>
      <c r="K117" s="3">
        <f t="shared" si="21"/>
        <v>55.055237999375251</v>
      </c>
      <c r="L117" s="3">
        <f t="shared" si="21"/>
        <v>61.071151772818325</v>
      </c>
      <c r="M117" s="3">
        <f t="shared" si="21"/>
        <v>67.443051868429762</v>
      </c>
      <c r="N117" s="3">
        <f t="shared" si="21"/>
        <v>74.173061017351202</v>
      </c>
      <c r="O117" s="3">
        <f t="shared" si="21"/>
        <v>81.262779143745732</v>
      </c>
      <c r="P117" s="3">
        <f t="shared" si="21"/>
        <v>88.712726715654881</v>
      </c>
      <c r="Q117" s="3">
        <f t="shared" si="21"/>
        <v>96.521101898359547</v>
      </c>
      <c r="R117" s="3">
        <f t="shared" si="21"/>
        <v>104.68120154027734</v>
      </c>
      <c r="S117" s="3">
        <f t="shared" si="21"/>
        <v>113.17625202115575</v>
      </c>
      <c r="T117" s="3">
        <f t="shared" si="21"/>
        <v>121.9692237146151</v>
      </c>
      <c r="U117" s="3">
        <f t="shared" si="21"/>
        <v>131.00616629184208</v>
      </c>
      <c r="V117" s="3">
        <f t="shared" si="21"/>
        <v>140.14793216519075</v>
      </c>
      <c r="W117" s="3">
        <f t="shared" si="21"/>
        <v>149.80922509830214</v>
      </c>
      <c r="X117" s="3">
        <f t="shared" si="21"/>
        <v>160.2102878138864</v>
      </c>
      <c r="Y117" s="3">
        <f t="shared" si="21"/>
        <v>171.02214666034345</v>
      </c>
      <c r="Z117" s="3">
        <f t="shared" si="21"/>
        <v>182.22916900054639</v>
      </c>
      <c r="AA117" s="3">
        <f t="shared" si="21"/>
        <v>193.81543257541909</v>
      </c>
      <c r="AB117" s="3">
        <f t="shared" si="21"/>
        <v>205.7645770986955</v>
      </c>
      <c r="AC117" s="3">
        <f t="shared" si="21"/>
        <v>218.05977302491428</v>
      </c>
      <c r="AD117" s="3">
        <f t="shared" si="21"/>
        <v>230.68375655216852</v>
      </c>
      <c r="AE117" s="3">
        <f t="shared" si="21"/>
        <v>243.61889691257116</v>
      </c>
      <c r="AF117" s="3">
        <f t="shared" si="21"/>
        <v>256.84727496162566</v>
      </c>
      <c r="AG117" s="3">
        <f t="shared" si="21"/>
        <v>270.3507609862848</v>
      </c>
      <c r="AH117" s="3">
        <f t="shared" si="21"/>
        <v>284.11108407560448</v>
      </c>
      <c r="AI117" s="3">
        <f t="shared" si="21"/>
        <v>298.10988775969452</v>
      </c>
      <c r="AJ117" s="3">
        <f t="shared" si="21"/>
        <v>312.32876536818679</v>
      </c>
      <c r="AK117" s="3">
        <f t="shared" si="21"/>
        <v>326.74926462433308</v>
      </c>
      <c r="AL117" s="3">
        <f t="shared" si="21"/>
        <v>341.35284196831526</v>
      </c>
      <c r="AM117" s="3">
        <f t="shared" si="21"/>
        <v>356.12073031653483</v>
      </c>
      <c r="AN117" s="3">
        <f t="shared" si="21"/>
        <v>371.03365292760503</v>
      </c>
      <c r="AO117" s="3">
        <f t="shared" si="21"/>
        <v>386.0712596004044</v>
      </c>
      <c r="AP117" s="3">
        <f t="shared" si="21"/>
        <v>401.21105882245359</v>
      </c>
      <c r="AQ117" s="3">
        <f t="shared" si="21"/>
        <v>416.42643330343498</v>
      </c>
      <c r="AR117" s="3">
        <f t="shared" si="21"/>
        <v>431.6829885232807</v>
      </c>
      <c r="AS117" s="3">
        <f t="shared" si="21"/>
        <v>446.93187138745401</v>
      </c>
      <c r="AT117" s="3">
        <f t="shared" si="21"/>
        <v>462.09758388154791</v>
      </c>
      <c r="AU117" s="3">
        <f t="shared" si="21"/>
        <v>477.05579203924185</v>
      </c>
      <c r="AV117" s="3">
        <f t="shared" si="21"/>
        <v>491.59292073684935</v>
      </c>
      <c r="AW117" s="3">
        <f t="shared" si="21"/>
        <v>505.33244576098735</v>
      </c>
      <c r="AX117" s="3">
        <f t="shared" si="21"/>
        <v>517.59975605633474</v>
      </c>
      <c r="AY117" s="3">
        <f t="shared" si="21"/>
        <v>527.17182531813341</v>
      </c>
      <c r="AZ117" s="3">
        <f t="shared" si="21"/>
        <v>575.07138816859049</v>
      </c>
      <c r="BA117" s="3">
        <f t="shared" si="21"/>
        <v>594.55146556360899</v>
      </c>
      <c r="BB117" s="3">
        <f t="shared" si="21"/>
        <v>612.93752401505481</v>
      </c>
      <c r="BC117" s="3">
        <f t="shared" si="21"/>
        <v>630.50861673111353</v>
      </c>
      <c r="BD117" s="3">
        <f t="shared" si="21"/>
        <v>647.46031186776406</v>
      </c>
      <c r="BE117" s="3">
        <f t="shared" si="21"/>
        <v>663.92969863592111</v>
      </c>
      <c r="BF117" s="3">
        <f t="shared" si="21"/>
        <v>680.0126020466804</v>
      </c>
      <c r="BG117" s="3">
        <f t="shared" si="21"/>
        <v>695.98438763962372</v>
      </c>
      <c r="BH117" s="3">
        <f t="shared" si="21"/>
        <v>711.86398314343899</v>
      </c>
      <c r="BI117" s="3">
        <f t="shared" si="21"/>
        <v>726.77394316687469</v>
      </c>
    </row>
    <row r="118" spans="1:124" ht="18" customHeight="1" x14ac:dyDescent="0.35">
      <c r="A118" s="15" t="s">
        <v>133</v>
      </c>
      <c r="B118" s="51">
        <f>+B12</f>
        <v>135</v>
      </c>
      <c r="C118" s="3">
        <f t="shared" ref="C118:BI118" si="22">+B118*(1-$B$10)^(C2-B2)+B117*(C2-B2)</f>
        <v>161.90110816889975</v>
      </c>
      <c r="D118" s="3">
        <f t="shared" si="22"/>
        <v>192.51927188759049</v>
      </c>
      <c r="E118" s="3">
        <f t="shared" si="22"/>
        <v>227.01635516449133</v>
      </c>
      <c r="F118" s="3">
        <f t="shared" si="22"/>
        <v>265.43847775672612</v>
      </c>
      <c r="G118" s="3">
        <f t="shared" si="22"/>
        <v>307.83741292333104</v>
      </c>
      <c r="H118" s="3">
        <f t="shared" si="22"/>
        <v>354.26674097748673</v>
      </c>
      <c r="I118" s="3">
        <f t="shared" si="22"/>
        <v>404.77917068103375</v>
      </c>
      <c r="J118" s="3">
        <f t="shared" si="22"/>
        <v>459.42479414436605</v>
      </c>
      <c r="K118" s="3">
        <f t="shared" si="22"/>
        <v>518.25011636667637</v>
      </c>
      <c r="L118" s="3">
        <f t="shared" si="22"/>
        <v>581.29770121023512</v>
      </c>
      <c r="M118" s="3">
        <f t="shared" si="22"/>
        <v>648.60623845172347</v>
      </c>
      <c r="N118" s="3">
        <f t="shared" si="22"/>
        <v>720.21075708550711</v>
      </c>
      <c r="O118" s="3">
        <f t="shared" si="22"/>
        <v>796.14255503817719</v>
      </c>
      <c r="P118" s="3">
        <f t="shared" si="22"/>
        <v>876.42811304322208</v>
      </c>
      <c r="Q118" s="3">
        <f t="shared" si="22"/>
        <v>961.08567004916677</v>
      </c>
      <c r="R118" s="3">
        <f t="shared" si="22"/>
        <v>1050.1169867991305</v>
      </c>
      <c r="S118" s="3">
        <f t="shared" si="22"/>
        <v>1143.4895872364054</v>
      </c>
      <c r="T118" s="3">
        <f t="shared" si="22"/>
        <v>1241.1004264730041</v>
      </c>
      <c r="U118" s="3">
        <f t="shared" si="22"/>
        <v>1342.7035094011198</v>
      </c>
      <c r="V118" s="3">
        <f t="shared" si="22"/>
        <v>1447.8838267254778</v>
      </c>
      <c r="W118" s="3">
        <f t="shared" si="22"/>
        <v>1555.7005816690812</v>
      </c>
      <c r="X118" s="3">
        <f t="shared" si="22"/>
        <v>1667.6717619612868</v>
      </c>
      <c r="Y118" s="3">
        <f t="shared" si="22"/>
        <v>1785.7949377899527</v>
      </c>
      <c r="Z118" s="3">
        <f t="shared" si="22"/>
        <v>1909.6047861173065</v>
      </c>
      <c r="AA118" s="3">
        <f t="shared" si="22"/>
        <v>2038.7483751571406</v>
      </c>
      <c r="AB118" s="3">
        <f t="shared" si="22"/>
        <v>2172.9376909236357</v>
      </c>
      <c r="AC118" s="3">
        <f t="shared" si="22"/>
        <v>2311.9208626069758</v>
      </c>
      <c r="AD118" s="3">
        <f t="shared" si="22"/>
        <v>2455.4650152853646</v>
      </c>
      <c r="AE118" s="3">
        <f t="shared" si="22"/>
        <v>2603.3463196366979</v>
      </c>
      <c r="AF118" s="3">
        <f t="shared" si="22"/>
        <v>2755.34445284513</v>
      </c>
      <c r="AG118" s="3">
        <f t="shared" si="22"/>
        <v>2911.2397207686499</v>
      </c>
      <c r="AH118" s="3">
        <f t="shared" si="22"/>
        <v>3070.8117476481048</v>
      </c>
      <c r="AI118" s="3">
        <f t="shared" si="22"/>
        <v>3233.8390492467524</v>
      </c>
      <c r="AJ118" s="3">
        <f t="shared" si="22"/>
        <v>3400.0990589881881</v>
      </c>
      <c r="AK118" s="3">
        <f t="shared" si="22"/>
        <v>3569.3683201828699</v>
      </c>
      <c r="AL118" s="3">
        <f t="shared" si="22"/>
        <v>3741.4226225064485</v>
      </c>
      <c r="AM118" s="3">
        <f t="shared" si="22"/>
        <v>3916.0368542054098</v>
      </c>
      <c r="AN118" s="3">
        <f t="shared" si="22"/>
        <v>4092.9842536224273</v>
      </c>
      <c r="AO118" s="3">
        <f t="shared" si="22"/>
        <v>4272.0345365595331</v>
      </c>
      <c r="AP118" s="3">
        <f t="shared" si="22"/>
        <v>4452.9499714950616</v>
      </c>
      <c r="AQ118" s="3">
        <f t="shared" si="22"/>
        <v>4635.4777227803879</v>
      </c>
      <c r="AR118" s="3">
        <f t="shared" si="22"/>
        <v>4819.3354070417672</v>
      </c>
      <c r="AS118" s="3">
        <f t="shared" si="22"/>
        <v>5004.1843071204976</v>
      </c>
      <c r="AT118" s="3">
        <f t="shared" si="22"/>
        <v>5189.5801484488529</v>
      </c>
      <c r="AU118" s="3">
        <f t="shared" si="22"/>
        <v>5374.8831012653036</v>
      </c>
      <c r="AV118" s="3">
        <f t="shared" si="22"/>
        <v>5559.0936826623602</v>
      </c>
      <c r="AW118" s="3">
        <f t="shared" si="22"/>
        <v>5740.5538323595447</v>
      </c>
      <c r="AX118" s="3">
        <f t="shared" si="22"/>
        <v>5916.4018612749251</v>
      </c>
      <c r="AY118" s="3">
        <f t="shared" si="22"/>
        <v>6081.5749153459055</v>
      </c>
      <c r="AZ118" s="3">
        <f t="shared" si="22"/>
        <v>6226.9682983532721</v>
      </c>
      <c r="BA118" s="3">
        <f t="shared" si="22"/>
        <v>6552.3194513375774</v>
      </c>
      <c r="BB118" s="3">
        <f t="shared" si="22"/>
        <v>6841.8364406383716</v>
      </c>
      <c r="BC118" s="3">
        <f t="shared" si="22"/>
        <v>7104.723619907827</v>
      </c>
      <c r="BD118" s="3">
        <f t="shared" si="22"/>
        <v>7347.8113339749416</v>
      </c>
      <c r="BE118" s="3">
        <f t="shared" si="22"/>
        <v>7576.1106739376846</v>
      </c>
      <c r="BF118" s="3">
        <f t="shared" si="22"/>
        <v>7793.2660850330703</v>
      </c>
      <c r="BG118" s="3">
        <f t="shared" si="22"/>
        <v>8001.908700784581</v>
      </c>
      <c r="BH118" s="3">
        <f t="shared" si="22"/>
        <v>8204.9690069244061</v>
      </c>
      <c r="BI118" s="3">
        <f t="shared" si="22"/>
        <v>8404.2720646159887</v>
      </c>
    </row>
    <row r="119" spans="1:124" ht="18" customHeight="1" thickBot="1" x14ac:dyDescent="0.4">
      <c r="A119" s="82" t="s">
        <v>96</v>
      </c>
    </row>
    <row r="120" spans="1:124" ht="18" customHeight="1" thickTop="1" x14ac:dyDescent="0.35">
      <c r="A120" s="15" t="s">
        <v>97</v>
      </c>
      <c r="B120" s="51">
        <f t="shared" ref="B120:BI120" si="23">+B15</f>
        <v>1.4999999999999999E-2</v>
      </c>
      <c r="C120" s="3">
        <f t="shared" si="23"/>
        <v>1.4999999999999999E-2</v>
      </c>
      <c r="D120" s="3">
        <f t="shared" si="23"/>
        <v>1.4999999999999999E-2</v>
      </c>
      <c r="E120" s="3">
        <f t="shared" si="23"/>
        <v>1.4999999999999999E-2</v>
      </c>
      <c r="F120" s="3">
        <f t="shared" si="23"/>
        <v>1.4999999999999999E-2</v>
      </c>
      <c r="G120" s="3">
        <f t="shared" si="23"/>
        <v>1.4999999999999999E-2</v>
      </c>
      <c r="H120" s="3">
        <f t="shared" si="23"/>
        <v>1.4999999999999999E-2</v>
      </c>
      <c r="I120" s="3">
        <f t="shared" si="23"/>
        <v>1.4999999999999999E-2</v>
      </c>
      <c r="J120" s="3">
        <f t="shared" si="23"/>
        <v>1.4999999999999999E-2</v>
      </c>
      <c r="K120" s="3">
        <f t="shared" si="23"/>
        <v>1.4999999999999999E-2</v>
      </c>
      <c r="L120" s="3">
        <f t="shared" si="23"/>
        <v>1.4999999999999999E-2</v>
      </c>
      <c r="M120" s="3">
        <f t="shared" si="23"/>
        <v>1.4999999999999999E-2</v>
      </c>
      <c r="N120" s="3">
        <f t="shared" si="23"/>
        <v>1.4999999999999999E-2</v>
      </c>
      <c r="O120" s="3">
        <f t="shared" si="23"/>
        <v>1.4999999999999999E-2</v>
      </c>
      <c r="P120" s="3">
        <f t="shared" si="23"/>
        <v>1.4999999999999999E-2</v>
      </c>
      <c r="Q120" s="3">
        <f t="shared" si="23"/>
        <v>1.4999999999999999E-2</v>
      </c>
      <c r="R120" s="3">
        <f t="shared" si="23"/>
        <v>1.4999999999999999E-2</v>
      </c>
      <c r="S120" s="3">
        <f t="shared" si="23"/>
        <v>1.4999999999999999E-2</v>
      </c>
      <c r="T120" s="3">
        <f t="shared" si="23"/>
        <v>1.4999999999999999E-2</v>
      </c>
      <c r="U120" s="3">
        <f t="shared" si="23"/>
        <v>1.4999999999999999E-2</v>
      </c>
      <c r="V120" s="3">
        <f t="shared" si="23"/>
        <v>1.4999999999999999E-2</v>
      </c>
      <c r="W120" s="3">
        <f t="shared" si="23"/>
        <v>1.4999999999999999E-2</v>
      </c>
      <c r="X120" s="3">
        <f t="shared" si="23"/>
        <v>1.4999999999999999E-2</v>
      </c>
      <c r="Y120" s="3">
        <f t="shared" si="23"/>
        <v>1.4999999999999999E-2</v>
      </c>
      <c r="Z120" s="3">
        <f t="shared" si="23"/>
        <v>1.4999999999999999E-2</v>
      </c>
      <c r="AA120" s="3">
        <f t="shared" si="23"/>
        <v>1.4999999999999999E-2</v>
      </c>
      <c r="AB120" s="3">
        <f t="shared" si="23"/>
        <v>1.4999999999999999E-2</v>
      </c>
      <c r="AC120" s="3">
        <f t="shared" si="23"/>
        <v>1.4999999999999999E-2</v>
      </c>
      <c r="AD120" s="3">
        <f t="shared" si="23"/>
        <v>1.4999999999999999E-2</v>
      </c>
      <c r="AE120" s="3">
        <f t="shared" si="23"/>
        <v>1.4999999999999999E-2</v>
      </c>
      <c r="AF120" s="3">
        <f t="shared" si="23"/>
        <v>1.4999999999999999E-2</v>
      </c>
      <c r="AG120" s="3">
        <f t="shared" si="23"/>
        <v>1.4999999999999999E-2</v>
      </c>
      <c r="AH120" s="3">
        <f t="shared" si="23"/>
        <v>1.4999999999999999E-2</v>
      </c>
      <c r="AI120" s="3">
        <f t="shared" si="23"/>
        <v>1.4999999999999999E-2</v>
      </c>
      <c r="AJ120" s="3">
        <f t="shared" si="23"/>
        <v>1.4999999999999999E-2</v>
      </c>
      <c r="AK120" s="3">
        <f t="shared" si="23"/>
        <v>1.4999999999999999E-2</v>
      </c>
      <c r="AL120" s="3">
        <f t="shared" si="23"/>
        <v>1.4999999999999999E-2</v>
      </c>
      <c r="AM120" s="3">
        <f t="shared" si="23"/>
        <v>1.4999999999999999E-2</v>
      </c>
      <c r="AN120" s="3">
        <f t="shared" si="23"/>
        <v>1.4999999999999999E-2</v>
      </c>
      <c r="AO120" s="3">
        <f t="shared" si="23"/>
        <v>1.4999999999999999E-2</v>
      </c>
      <c r="AP120" s="3">
        <f t="shared" si="23"/>
        <v>1.4999999999999999E-2</v>
      </c>
      <c r="AQ120" s="3">
        <f t="shared" si="23"/>
        <v>1.4999999999999999E-2</v>
      </c>
      <c r="AR120" s="3">
        <f t="shared" si="23"/>
        <v>1.4999999999999999E-2</v>
      </c>
      <c r="AS120" s="3">
        <f t="shared" si="23"/>
        <v>1.4999999999999999E-2</v>
      </c>
      <c r="AT120" s="3">
        <f t="shared" si="23"/>
        <v>1.4999999999999999E-2</v>
      </c>
      <c r="AU120" s="3">
        <f t="shared" si="23"/>
        <v>1.4999999999999999E-2</v>
      </c>
      <c r="AV120" s="3">
        <f t="shared" si="23"/>
        <v>1.4999999999999999E-2</v>
      </c>
      <c r="AW120" s="3">
        <f t="shared" si="23"/>
        <v>1.4999999999999999E-2</v>
      </c>
      <c r="AX120" s="3">
        <f t="shared" si="23"/>
        <v>1.4999999999999999E-2</v>
      </c>
      <c r="AY120" s="3">
        <f t="shared" si="23"/>
        <v>1.4999999999999999E-2</v>
      </c>
      <c r="AZ120" s="3">
        <f t="shared" si="23"/>
        <v>1.4999999999999999E-2</v>
      </c>
      <c r="BA120" s="3">
        <f t="shared" si="23"/>
        <v>1.4999999999999999E-2</v>
      </c>
      <c r="BB120" s="3">
        <f t="shared" si="23"/>
        <v>1.4999999999999999E-2</v>
      </c>
      <c r="BC120" s="3">
        <f t="shared" si="23"/>
        <v>1.4999999999999999E-2</v>
      </c>
      <c r="BD120" s="3">
        <f t="shared" si="23"/>
        <v>1.4999999999999999E-2</v>
      </c>
      <c r="BE120" s="3">
        <f t="shared" si="23"/>
        <v>1.4999999999999999E-2</v>
      </c>
      <c r="BF120" s="3">
        <f t="shared" si="23"/>
        <v>1.4999999999999999E-2</v>
      </c>
      <c r="BG120" s="3">
        <f t="shared" si="23"/>
        <v>1.4999999999999999E-2</v>
      </c>
      <c r="BH120" s="3">
        <f t="shared" si="23"/>
        <v>1.4999999999999999E-2</v>
      </c>
      <c r="BI120" s="3">
        <f t="shared" si="23"/>
        <v>1.4999999999999999E-2</v>
      </c>
    </row>
    <row r="121" spans="1:124" ht="18" customHeight="1" x14ac:dyDescent="0.35">
      <c r="A121" s="15" t="s">
        <v>32</v>
      </c>
      <c r="B121" s="51">
        <f t="shared" ref="B121:BI121" si="24">+$B$5*B105/B118</f>
        <v>0.14120486187069389</v>
      </c>
      <c r="C121" s="3">
        <f t="shared" si="24"/>
        <v>0.14056716221534896</v>
      </c>
      <c r="D121" s="3">
        <f t="shared" si="24"/>
        <v>0.13965111220781529</v>
      </c>
      <c r="E121" s="3">
        <f t="shared" si="24"/>
        <v>0.13856335392728233</v>
      </c>
      <c r="F121" s="3">
        <f t="shared" si="24"/>
        <v>0.13741325454507153</v>
      </c>
      <c r="G121" s="3">
        <f t="shared" si="24"/>
        <v>0.13625943947870134</v>
      </c>
      <c r="H121" s="3">
        <f t="shared" si="24"/>
        <v>0.13513229336302932</v>
      </c>
      <c r="I121" s="3">
        <f t="shared" si="24"/>
        <v>0.1340465751217837</v>
      </c>
      <c r="J121" s="3">
        <f t="shared" si="24"/>
        <v>0.13300842220260034</v>
      </c>
      <c r="K121" s="3">
        <f t="shared" si="24"/>
        <v>0.13201922025955826</v>
      </c>
      <c r="L121" s="3">
        <f t="shared" si="24"/>
        <v>0.13107773951384483</v>
      </c>
      <c r="M121" s="3">
        <f t="shared" si="24"/>
        <v>0.13018132428237406</v>
      </c>
      <c r="N121" s="3">
        <f t="shared" si="24"/>
        <v>0.12932657932211364</v>
      </c>
      <c r="O121" s="3">
        <f t="shared" si="24"/>
        <v>0.1285098106623162</v>
      </c>
      <c r="P121" s="3">
        <f t="shared" si="24"/>
        <v>0.12772738482655999</v>
      </c>
      <c r="Q121" s="3">
        <f t="shared" si="24"/>
        <v>0.12697613584922782</v>
      </c>
      <c r="R121" s="3">
        <f t="shared" si="24"/>
        <v>0.12625396242616965</v>
      </c>
      <c r="S121" s="3">
        <f t="shared" si="24"/>
        <v>0.1255608233166482</v>
      </c>
      <c r="T121" s="3">
        <f t="shared" si="24"/>
        <v>0.12490048349927087</v>
      </c>
      <c r="U121" s="3">
        <f t="shared" si="24"/>
        <v>0.12428364574295443</v>
      </c>
      <c r="V121" s="3">
        <f t="shared" si="24"/>
        <v>0.12372669497870936</v>
      </c>
      <c r="W121" s="3">
        <f t="shared" si="24"/>
        <v>0.12326911605378614</v>
      </c>
      <c r="X121" s="3">
        <f t="shared" si="24"/>
        <v>0.12281121063048171</v>
      </c>
      <c r="Y121" s="3">
        <f t="shared" si="24"/>
        <v>0.12225573646392524</v>
      </c>
      <c r="Z121" s="3">
        <f t="shared" si="24"/>
        <v>0.12164170452827759</v>
      </c>
      <c r="AA121" s="3">
        <f t="shared" si="24"/>
        <v>0.12099450529022608</v>
      </c>
      <c r="AB121" s="3">
        <f t="shared" si="24"/>
        <v>0.1203310484109204</v>
      </c>
      <c r="AC121" s="3">
        <f t="shared" si="24"/>
        <v>0.11966284520445686</v>
      </c>
      <c r="AD121" s="3">
        <f t="shared" si="24"/>
        <v>0.11899787273473147</v>
      </c>
      <c r="AE121" s="3">
        <f t="shared" si="24"/>
        <v>0.11834172002219273</v>
      </c>
      <c r="AF121" s="3">
        <f t="shared" si="24"/>
        <v>0.11769831049590565</v>
      </c>
      <c r="AG121" s="3">
        <f t="shared" si="24"/>
        <v>0.11707037215119794</v>
      </c>
      <c r="AH121" s="3">
        <f t="shared" si="24"/>
        <v>0.11645975504512687</v>
      </c>
      <c r="AI121" s="3">
        <f t="shared" si="24"/>
        <v>0.11586765428267271</v>
      </c>
      <c r="AJ121" s="3">
        <f t="shared" si="24"/>
        <v>0.11529477281134513</v>
      </c>
      <c r="AK121" s="3">
        <f t="shared" si="24"/>
        <v>0.11474144492186986</v>
      </c>
      <c r="AL121" s="3">
        <f t="shared" si="24"/>
        <v>0.11420773396750517</v>
      </c>
      <c r="AM121" s="3">
        <f t="shared" si="24"/>
        <v>0.11369351417548333</v>
      </c>
      <c r="AN121" s="3">
        <f t="shared" si="24"/>
        <v>0.11319854534718778</v>
      </c>
      <c r="AO121" s="3">
        <f t="shared" si="24"/>
        <v>0.11272255045600904</v>
      </c>
      <c r="AP121" s="3">
        <f t="shared" si="24"/>
        <v>0.11226531010691296</v>
      </c>
      <c r="AQ121" s="3">
        <f t="shared" si="24"/>
        <v>0.11182679590001871</v>
      </c>
      <c r="AR121" s="3">
        <f t="shared" si="24"/>
        <v>0.1114073796861019</v>
      </c>
      <c r="AS121" s="3">
        <f t="shared" si="24"/>
        <v>0.11100818258895284</v>
      </c>
      <c r="AT121" s="3">
        <f t="shared" si="24"/>
        <v>0.11063167568707913</v>
      </c>
      <c r="AU121" s="3">
        <f t="shared" si="24"/>
        <v>0.11028273027624352</v>
      </c>
      <c r="AV121" s="3">
        <f t="shared" si="24"/>
        <v>0.1099704713869578</v>
      </c>
      <c r="AW121" s="3">
        <f t="shared" si="24"/>
        <v>0.10971157616598684</v>
      </c>
      <c r="AX121" s="3">
        <f t="shared" si="24"/>
        <v>0.10953620990710655</v>
      </c>
      <c r="AY121" s="3">
        <f t="shared" si="24"/>
        <v>0.10949890748105123</v>
      </c>
      <c r="AZ121" s="3">
        <f t="shared" si="24"/>
        <v>0.10969915137179832</v>
      </c>
      <c r="BA121" s="3">
        <f t="shared" si="24"/>
        <v>0.10775983022781763</v>
      </c>
      <c r="BB121" s="3">
        <f t="shared" si="24"/>
        <v>0.1063694965400013</v>
      </c>
      <c r="BC121" s="3">
        <f t="shared" si="24"/>
        <v>0.10535003295876727</v>
      </c>
      <c r="BD121" s="3">
        <f t="shared" si="24"/>
        <v>0.10458488485082569</v>
      </c>
      <c r="BE121" s="3">
        <f t="shared" si="24"/>
        <v>0.10399625132093296</v>
      </c>
      <c r="BF121" s="3">
        <f t="shared" si="24"/>
        <v>0.10353144061892069</v>
      </c>
      <c r="BG121" s="3">
        <f t="shared" si="24"/>
        <v>0.10315438056625091</v>
      </c>
      <c r="BH121" s="3">
        <f t="shared" si="24"/>
        <v>0.10283101445702668</v>
      </c>
      <c r="BI121" s="3">
        <f t="shared" si="24"/>
        <v>0.10254064847519943</v>
      </c>
    </row>
    <row r="122" spans="1:124" ht="18" customHeight="1" x14ac:dyDescent="0.35">
      <c r="A122" s="15" t="s">
        <v>33</v>
      </c>
      <c r="B122" s="3">
        <f>+AVERAGE($B121:B121)</f>
        <v>0.14120486187069389</v>
      </c>
      <c r="C122" s="3">
        <f>+AVERAGE($B121:C121)</f>
        <v>0.14088601204302142</v>
      </c>
      <c r="D122" s="3">
        <f>+AVERAGE($B121:D121)</f>
        <v>0.14047437876461938</v>
      </c>
      <c r="E122" s="3">
        <f>+AVERAGE($B121:E121)</f>
        <v>0.13999662255528511</v>
      </c>
      <c r="F122" s="3">
        <f>+AVERAGE($B121:F121)</f>
        <v>0.13947994895324239</v>
      </c>
      <c r="G122" s="3">
        <f>+AVERAGE($B121:G121)</f>
        <v>0.1389431973741522</v>
      </c>
      <c r="H122" s="3">
        <f>+AVERAGE($B121:H121)</f>
        <v>0.13839878251542037</v>
      </c>
      <c r="I122" s="3">
        <f>+AVERAGE($B121:I121)</f>
        <v>0.13785475659121579</v>
      </c>
      <c r="J122" s="3">
        <f>+AVERAGE($B121:J121)</f>
        <v>0.13731627499248075</v>
      </c>
      <c r="K122" s="3">
        <f>+AVERAGE($B121:K121)</f>
        <v>0.13678656951918849</v>
      </c>
      <c r="L122" s="3">
        <f>+AVERAGE($B121:L121)</f>
        <v>0.13626758497324817</v>
      </c>
      <c r="M122" s="3">
        <f>+AVERAGE($B121:M121)</f>
        <v>0.13576039658234199</v>
      </c>
      <c r="N122" s="3">
        <f>+AVERAGE($B121:N121)</f>
        <v>0.13526548756232443</v>
      </c>
      <c r="O122" s="3">
        <f>+AVERAGE($B121:O121)</f>
        <v>0.13478293921232384</v>
      </c>
      <c r="P122" s="3">
        <f>+AVERAGE($B121:P121)</f>
        <v>0.13431256891993959</v>
      </c>
      <c r="Q122" s="3">
        <f>+AVERAGE($B121:Q121)</f>
        <v>0.13385404185302011</v>
      </c>
      <c r="R122" s="3">
        <f>+AVERAGE($B121:R121)</f>
        <v>0.13340697835732301</v>
      </c>
      <c r="S122" s="3">
        <f>+AVERAGE($B121:S121)</f>
        <v>0.13297108085506332</v>
      </c>
      <c r="T122" s="3">
        <f>+AVERAGE($B121:T121)</f>
        <v>0.1325463125731795</v>
      </c>
      <c r="U122" s="3">
        <f>+AVERAGE($B121:U121)</f>
        <v>0.13213317923166826</v>
      </c>
      <c r="V122" s="3">
        <f>+AVERAGE($B121:V121)</f>
        <v>0.13173287045771781</v>
      </c>
      <c r="W122" s="3">
        <f>+AVERAGE($B121:W121)</f>
        <v>0.13134815434844821</v>
      </c>
      <c r="X122" s="3">
        <f>+AVERAGE($B121:X121)</f>
        <v>0.13097698288244966</v>
      </c>
      <c r="Y122" s="3">
        <f>+AVERAGE($B121:Y121)</f>
        <v>0.13061359761501115</v>
      </c>
      <c r="Z122" s="3">
        <f>+AVERAGE($B121:Z121)</f>
        <v>0.1302547218915418</v>
      </c>
      <c r="AA122" s="3">
        <f>+AVERAGE($B121:AA121)</f>
        <v>0.12989855971456812</v>
      </c>
      <c r="AB122" s="3">
        <f>+AVERAGE($B121:AB121)</f>
        <v>0.12954420744406264</v>
      </c>
      <c r="AC122" s="3">
        <f>+AVERAGE($B121:AC121)</f>
        <v>0.12919130164979101</v>
      </c>
      <c r="AD122" s="3">
        <f>+AVERAGE($B121:AD121)</f>
        <v>0.12883980410099585</v>
      </c>
      <c r="AE122" s="3">
        <f>+AVERAGE($B121:AE121)</f>
        <v>0.12848986796503575</v>
      </c>
      <c r="AF122" s="3">
        <f>+AVERAGE($B121:AF121)</f>
        <v>0.12814175320796703</v>
      </c>
      <c r="AG122" s="3">
        <f>+AVERAGE($B121:AG121)</f>
        <v>0.12779577254994301</v>
      </c>
      <c r="AH122" s="3">
        <f>+AVERAGE($B121:AH121)</f>
        <v>0.12745225686797887</v>
      </c>
      <c r="AI122" s="3">
        <f>+AVERAGE($B121:AI121)</f>
        <v>0.12711153326252872</v>
      </c>
      <c r="AJ122" s="3">
        <f>+AVERAGE($B121:AJ121)</f>
        <v>0.12677391153535203</v>
      </c>
      <c r="AK122" s="3">
        <f>+AVERAGE($B121:AK121)</f>
        <v>0.12643967635164419</v>
      </c>
      <c r="AL122" s="3">
        <f>+AVERAGE($B121:AL121)</f>
        <v>0.12610908331423501</v>
      </c>
      <c r="AM122" s="3">
        <f>+AVERAGE($B121:AM121)</f>
        <v>0.12578235781058367</v>
      </c>
      <c r="AN122" s="3">
        <f>+AVERAGE($B121:AN121)</f>
        <v>0.12545969595254786</v>
      </c>
      <c r="AO122" s="3">
        <f>+AVERAGE($B121:AO121)</f>
        <v>0.12514126731513439</v>
      </c>
      <c r="AP122" s="3">
        <f>+AVERAGE($B121:AP121)</f>
        <v>0.12482721957834851</v>
      </c>
      <c r="AQ122" s="3">
        <f>+AVERAGE($B121:AQ121)</f>
        <v>0.12451768568124542</v>
      </c>
      <c r="AR122" s="3">
        <f>+AVERAGE($B121:AR121)</f>
        <v>0.12421279484414906</v>
      </c>
      <c r="AS122" s="3">
        <f>+AVERAGE($B121:AS121)</f>
        <v>0.12391269002016733</v>
      </c>
      <c r="AT122" s="3">
        <f>+AVERAGE($B121:AT121)</f>
        <v>0.12361755636832093</v>
      </c>
      <c r="AU122" s="3">
        <f>+AVERAGE($B121:AU121)</f>
        <v>0.12332766884458012</v>
      </c>
      <c r="AV122" s="3">
        <f>+AVERAGE($B121:AV121)</f>
        <v>0.1230434731539924</v>
      </c>
      <c r="AW122" s="3">
        <f>+AVERAGE($B121:AW121)</f>
        <v>0.12276572530007562</v>
      </c>
      <c r="AX122" s="3">
        <f>+AVERAGE($B121:AX121)</f>
        <v>0.12249573519001503</v>
      </c>
      <c r="AY122" s="3">
        <f>+AVERAGE($B121:AY121)</f>
        <v>0.12223579863583575</v>
      </c>
      <c r="AZ122" s="3">
        <f>+AVERAGE($B121:AZ121)</f>
        <v>0.12198998202281541</v>
      </c>
      <c r="BA122" s="3">
        <f>+AVERAGE($B121:BA121)</f>
        <v>0.121716325257527</v>
      </c>
      <c r="BB122" s="3">
        <f>+AVERAGE($B121:BB121)</f>
        <v>0.12142676245153594</v>
      </c>
      <c r="BC122" s="3">
        <f>+AVERAGE($B121:BC121)</f>
        <v>0.12112904523870689</v>
      </c>
      <c r="BD122" s="3">
        <f>+AVERAGE($B121:BD121)</f>
        <v>0.12082824232256359</v>
      </c>
      <c r="BE122" s="3">
        <f>+AVERAGE($B121:BE121)</f>
        <v>0.12052767105467733</v>
      </c>
      <c r="BF122" s="3">
        <f>+AVERAGE($B121:BF121)</f>
        <v>0.12022949157334827</v>
      </c>
      <c r="BG122" s="3">
        <f>+AVERAGE($B121:BG121)</f>
        <v>0.11993509310770865</v>
      </c>
      <c r="BH122" s="3">
        <f>+AVERAGE($B121:BH121)</f>
        <v>0.1196451934695615</v>
      </c>
      <c r="BI122" s="3">
        <f>+AVERAGE($B121:BI121)</f>
        <v>0.11936011771965546</v>
      </c>
    </row>
    <row r="123" spans="1:124" ht="18" customHeight="1" x14ac:dyDescent="0.35">
      <c r="A123" s="86" t="s">
        <v>52</v>
      </c>
    </row>
    <row r="124" spans="1:124" ht="18" customHeight="1" x14ac:dyDescent="0.35">
      <c r="A124" s="15" t="s">
        <v>45</v>
      </c>
      <c r="B124" s="51">
        <f>B111-B117</f>
        <v>46.98816013543555</v>
      </c>
      <c r="C124" s="3">
        <f>C111-C117</f>
        <v>56.249370528268116</v>
      </c>
      <c r="D124" s="3">
        <f>D111-D117</f>
        <v>66.615139188183065</v>
      </c>
      <c r="E124" s="3">
        <f>E111-E117</f>
        <v>78.088958933099136</v>
      </c>
      <c r="F124" s="3">
        <f>F111-F117</f>
        <v>90.670691986954523</v>
      </c>
      <c r="G124" s="3">
        <f t="shared" ref="G124:BI124" si="25">G111-G117</f>
        <v>104.35685238831081</v>
      </c>
      <c r="H124" s="3">
        <f t="shared" si="25"/>
        <v>119.14070240983975</v>
      </c>
      <c r="I124" s="3">
        <f t="shared" si="25"/>
        <v>135.01244087391692</v>
      </c>
      <c r="J124" s="3">
        <f t="shared" si="25"/>
        <v>151.95949980419928</v>
      </c>
      <c r="K124" s="3">
        <f>K111-K117</f>
        <v>169.96695472112179</v>
      </c>
      <c r="L124" s="3">
        <f>L111-L117</f>
        <v>189.01804859235426</v>
      </c>
      <c r="M124" s="3">
        <f t="shared" si="25"/>
        <v>209.09483048956517</v>
      </c>
      <c r="N124" s="3">
        <f t="shared" si="25"/>
        <v>230.17891948091676</v>
      </c>
      <c r="O124" s="3">
        <f t="shared" si="25"/>
        <v>252.25242740891952</v>
      </c>
      <c r="P124" s="3">
        <f t="shared" si="25"/>
        <v>275.29912158846594</v>
      </c>
      <c r="Q124" s="3">
        <f t="shared" si="25"/>
        <v>299.30600115435698</v>
      </c>
      <c r="R124" s="3">
        <f t="shared" si="25"/>
        <v>324.26563957131538</v>
      </c>
      <c r="S124" s="3">
        <f t="shared" si="25"/>
        <v>350.17999004008777</v>
      </c>
      <c r="T124" s="3">
        <f t="shared" si="25"/>
        <v>377.06701539442071</v>
      </c>
      <c r="U124" s="3">
        <f t="shared" si="25"/>
        <v>404.98115574300971</v>
      </c>
      <c r="V124" s="3">
        <f t="shared" si="25"/>
        <v>434.02103635373356</v>
      </c>
      <c r="W124" s="3">
        <f t="shared" si="25"/>
        <v>464.36531786118303</v>
      </c>
      <c r="X124" s="3">
        <f t="shared" si="25"/>
        <v>496.06959323233485</v>
      </c>
      <c r="Y124" s="3">
        <f t="shared" si="25"/>
        <v>529.03713215087896</v>
      </c>
      <c r="Z124" s="3">
        <f t="shared" si="25"/>
        <v>563.18955016387872</v>
      </c>
      <c r="AA124" s="3">
        <f t="shared" si="25"/>
        <v>598.4590836725298</v>
      </c>
      <c r="AB124" s="3">
        <f t="shared" si="25"/>
        <v>634.78392317825251</v>
      </c>
      <c r="AC124" s="3">
        <f t="shared" si="25"/>
        <v>672.10546737903826</v>
      </c>
      <c r="AD124" s="3">
        <f t="shared" si="25"/>
        <v>710.36676288036369</v>
      </c>
      <c r="AE124" s="3">
        <f t="shared" si="25"/>
        <v>749.51166487922387</v>
      </c>
      <c r="AF124" s="3">
        <f t="shared" si="25"/>
        <v>789.48442825204495</v>
      </c>
      <c r="AG124" s="3">
        <f t="shared" si="25"/>
        <v>830.22954940225009</v>
      </c>
      <c r="AH124" s="3">
        <f t="shared" si="25"/>
        <v>871.69175063225282</v>
      </c>
      <c r="AI124" s="3">
        <f t="shared" si="25"/>
        <v>913.81604308949397</v>
      </c>
      <c r="AJ124" s="3">
        <f t="shared" si="25"/>
        <v>956.54783372078532</v>
      </c>
      <c r="AK124" s="3">
        <f t="shared" si="25"/>
        <v>999.83306084873288</v>
      </c>
      <c r="AL124" s="3">
        <f t="shared" si="25"/>
        <v>1043.6183583272357</v>
      </c>
      <c r="AM124" s="3">
        <f t="shared" si="25"/>
        <v>1087.8512634682206</v>
      </c>
      <c r="AN124" s="3">
        <f t="shared" si="25"/>
        <v>1132.480504763666</v>
      </c>
      <c r="AO124" s="3">
        <f t="shared" si="25"/>
        <v>1177.4564391028116</v>
      </c>
      <c r="AP124" s="3">
        <f t="shared" si="25"/>
        <v>1222.7317672513884</v>
      </c>
      <c r="AQ124" s="3">
        <f t="shared" si="25"/>
        <v>1268.2627624399665</v>
      </c>
      <c r="AR124" s="3">
        <f t="shared" si="25"/>
        <v>1314.0114390133629</v>
      </c>
      <c r="AS124" s="3">
        <f t="shared" si="25"/>
        <v>1359.9494362979644</v>
      </c>
      <c r="AT124" s="3">
        <f t="shared" si="25"/>
        <v>1406.0650255602441</v>
      </c>
      <c r="AU124" s="3">
        <f t="shared" si="25"/>
        <v>1452.3758005966226</v>
      </c>
      <c r="AV124" s="3">
        <f t="shared" si="25"/>
        <v>1498.9517285951042</v>
      </c>
      <c r="AW124" s="3">
        <f t="shared" si="25"/>
        <v>1545.9571729562581</v>
      </c>
      <c r="AX124" s="3">
        <f t="shared" si="25"/>
        <v>1593.7279963558371</v>
      </c>
      <c r="AY124" s="3">
        <f t="shared" si="25"/>
        <v>1642.9147075136152</v>
      </c>
      <c r="AZ124" s="3">
        <f t="shared" si="25"/>
        <v>1651.4870634585182</v>
      </c>
      <c r="BA124" s="3">
        <f t="shared" si="25"/>
        <v>1707.4298498236999</v>
      </c>
      <c r="BB124" s="3">
        <f t="shared" si="25"/>
        <v>1760.2308381970824</v>
      </c>
      <c r="BC124" s="3">
        <f t="shared" si="25"/>
        <v>1810.6914121508923</v>
      </c>
      <c r="BD124" s="3">
        <f t="shared" si="25"/>
        <v>1859.3732033125552</v>
      </c>
      <c r="BE124" s="3">
        <f t="shared" si="25"/>
        <v>1906.6699037749552</v>
      </c>
      <c r="BF124" s="3">
        <f t="shared" si="25"/>
        <v>1952.8567033135459</v>
      </c>
      <c r="BG124" s="3">
        <f t="shared" si="25"/>
        <v>1998.7243952727679</v>
      </c>
      <c r="BH124" s="3">
        <f t="shared" si="25"/>
        <v>2044.3273362068016</v>
      </c>
      <c r="BI124" s="3">
        <f t="shared" si="25"/>
        <v>2087.1456829407707</v>
      </c>
    </row>
    <row r="125" spans="1:124" ht="18" customHeight="1" x14ac:dyDescent="0.35">
      <c r="A125" s="15" t="s">
        <v>108</v>
      </c>
      <c r="B125" s="51">
        <f>+C125</f>
        <v>5.3802216337799509</v>
      </c>
      <c r="C125" s="51">
        <f t="shared" ref="C125:BI125" si="26">+(C118-B118)/(C2-B2)</f>
        <v>5.3802216337799509</v>
      </c>
      <c r="D125" s="51">
        <f t="shared" si="26"/>
        <v>6.1236327437381473</v>
      </c>
      <c r="E125" s="51">
        <f t="shared" si="26"/>
        <v>6.8994166553801675</v>
      </c>
      <c r="F125" s="51">
        <f t="shared" si="26"/>
        <v>7.6844245184469573</v>
      </c>
      <c r="G125" s="51">
        <f t="shared" si="26"/>
        <v>8.479787033320985</v>
      </c>
      <c r="H125" s="51">
        <f t="shared" si="26"/>
        <v>9.2858656108311379</v>
      </c>
      <c r="I125" s="51">
        <f t="shared" si="26"/>
        <v>10.102485940709403</v>
      </c>
      <c r="J125" s="51">
        <f t="shared" si="26"/>
        <v>10.929124692666459</v>
      </c>
      <c r="K125" s="51">
        <f t="shared" si="26"/>
        <v>11.765064444462064</v>
      </c>
      <c r="L125" s="51">
        <f t="shared" si="26"/>
        <v>12.60951696871175</v>
      </c>
      <c r="M125" s="51">
        <f t="shared" si="26"/>
        <v>13.46170744829767</v>
      </c>
      <c r="N125" s="51">
        <f t="shared" si="26"/>
        <v>14.320903726756729</v>
      </c>
      <c r="O125" s="51">
        <f t="shared" si="26"/>
        <v>15.186359590534016</v>
      </c>
      <c r="P125" s="51">
        <f t="shared" si="26"/>
        <v>16.057111601008977</v>
      </c>
      <c r="Q125" s="51">
        <f t="shared" si="26"/>
        <v>16.931511401188935</v>
      </c>
      <c r="R125" s="51">
        <f t="shared" si="26"/>
        <v>17.80626334999274</v>
      </c>
      <c r="S125" s="51">
        <f t="shared" si="26"/>
        <v>18.674520087454994</v>
      </c>
      <c r="T125" s="51">
        <f t="shared" si="26"/>
        <v>19.522167847319725</v>
      </c>
      <c r="U125" s="51">
        <f t="shared" si="26"/>
        <v>20.320616585623156</v>
      </c>
      <c r="V125" s="51">
        <f t="shared" si="26"/>
        <v>21.036063464871585</v>
      </c>
      <c r="W125" s="51">
        <f t="shared" si="26"/>
        <v>21.563350988720686</v>
      </c>
      <c r="X125" s="51">
        <f t="shared" si="26"/>
        <v>22.39423605844113</v>
      </c>
      <c r="Y125" s="51">
        <f t="shared" si="26"/>
        <v>23.62463516573316</v>
      </c>
      <c r="Z125" s="51">
        <f t="shared" si="26"/>
        <v>24.761969665470769</v>
      </c>
      <c r="AA125" s="51">
        <f t="shared" si="26"/>
        <v>25.828717807966814</v>
      </c>
      <c r="AB125" s="51">
        <f t="shared" si="26"/>
        <v>26.837863153299033</v>
      </c>
      <c r="AC125" s="51">
        <f t="shared" si="26"/>
        <v>27.796634336668014</v>
      </c>
      <c r="AD125" s="51">
        <f t="shared" si="26"/>
        <v>28.70883053567777</v>
      </c>
      <c r="AE125" s="51">
        <f t="shared" si="26"/>
        <v>29.576260870266651</v>
      </c>
      <c r="AF125" s="51">
        <f t="shared" si="26"/>
        <v>30.399626641686428</v>
      </c>
      <c r="AG125" s="51">
        <f t="shared" si="26"/>
        <v>31.179053584703979</v>
      </c>
      <c r="AH125" s="51">
        <f t="shared" si="26"/>
        <v>31.914405375890965</v>
      </c>
      <c r="AI125" s="51">
        <f t="shared" si="26"/>
        <v>32.605460319729538</v>
      </c>
      <c r="AJ125" s="51">
        <f t="shared" si="26"/>
        <v>33.252001948287123</v>
      </c>
      <c r="AK125" s="51">
        <f t="shared" si="26"/>
        <v>33.853852238936362</v>
      </c>
      <c r="AL125" s="51">
        <f t="shared" si="26"/>
        <v>34.410860464715732</v>
      </c>
      <c r="AM125" s="51">
        <f t="shared" si="26"/>
        <v>34.922846339792251</v>
      </c>
      <c r="AN125" s="51">
        <f t="shared" si="26"/>
        <v>35.38947988340351</v>
      </c>
      <c r="AO125" s="51">
        <f t="shared" si="26"/>
        <v>35.810056587421151</v>
      </c>
      <c r="AP125" s="51">
        <f t="shared" si="26"/>
        <v>36.18308698710571</v>
      </c>
      <c r="AQ125" s="51">
        <f t="shared" si="26"/>
        <v>36.505550257065259</v>
      </c>
      <c r="AR125" s="51">
        <f t="shared" si="26"/>
        <v>36.771536852275858</v>
      </c>
      <c r="AS125" s="51">
        <f t="shared" si="26"/>
        <v>36.969780015746075</v>
      </c>
      <c r="AT125" s="51">
        <f t="shared" si="26"/>
        <v>37.079168265671072</v>
      </c>
      <c r="AU125" s="51">
        <f t="shared" si="26"/>
        <v>37.060590563290134</v>
      </c>
      <c r="AV125" s="51">
        <f t="shared" si="26"/>
        <v>36.842116279411314</v>
      </c>
      <c r="AW125" s="51">
        <f t="shared" si="26"/>
        <v>36.292029939436908</v>
      </c>
      <c r="AX125" s="51">
        <f t="shared" si="26"/>
        <v>35.169605783076079</v>
      </c>
      <c r="AY125" s="51">
        <f t="shared" si="26"/>
        <v>33.034610814196093</v>
      </c>
      <c r="AZ125" s="51">
        <f t="shared" si="26"/>
        <v>29.078676601473308</v>
      </c>
      <c r="BA125" s="51">
        <f t="shared" si="26"/>
        <v>65.07023059686108</v>
      </c>
      <c r="BB125" s="51">
        <f t="shared" si="26"/>
        <v>57.90339786015884</v>
      </c>
      <c r="BC125" s="51">
        <f t="shared" si="26"/>
        <v>52.577435853891075</v>
      </c>
      <c r="BD125" s="51">
        <f t="shared" si="26"/>
        <v>48.617542813422915</v>
      </c>
      <c r="BE125" s="51">
        <f t="shared" si="26"/>
        <v>45.659867992548605</v>
      </c>
      <c r="BF125" s="51">
        <f t="shared" si="26"/>
        <v>43.43108221907714</v>
      </c>
      <c r="BG125" s="51">
        <f t="shared" si="26"/>
        <v>41.728523150302138</v>
      </c>
      <c r="BH125" s="51">
        <f t="shared" si="26"/>
        <v>40.612061227965022</v>
      </c>
      <c r="BI125" s="51">
        <f t="shared" si="26"/>
        <v>39.860611538316519</v>
      </c>
      <c r="BJ125" s="51"/>
      <c r="BK125" s="51"/>
      <c r="BL125" s="51"/>
      <c r="BM125" s="51"/>
      <c r="BN125" s="51"/>
      <c r="BO125" s="51"/>
      <c r="BP125" s="51"/>
      <c r="BQ125" s="51"/>
      <c r="BR125" s="51"/>
      <c r="BS125" s="51"/>
      <c r="BT125" s="51"/>
      <c r="BU125" s="51"/>
      <c r="BV125" s="51"/>
      <c r="BW125" s="51"/>
      <c r="BX125" s="51"/>
      <c r="BY125" s="51"/>
      <c r="BZ125" s="51"/>
      <c r="CA125" s="51"/>
      <c r="CB125" s="51"/>
      <c r="CC125" s="51"/>
      <c r="CD125" s="51"/>
      <c r="CE125" s="51"/>
      <c r="CF125" s="51"/>
      <c r="CG125" s="51"/>
      <c r="CH125" s="51"/>
      <c r="CI125" s="51"/>
      <c r="CJ125" s="51"/>
      <c r="CK125" s="51"/>
      <c r="CL125" s="51"/>
      <c r="CM125" s="51"/>
      <c r="CN125" s="51"/>
      <c r="CO125" s="51"/>
      <c r="CP125" s="51"/>
      <c r="CQ125" s="51"/>
      <c r="CR125" s="51"/>
      <c r="CS125" s="51"/>
      <c r="CT125" s="51"/>
      <c r="CU125" s="51"/>
      <c r="CV125" s="51"/>
      <c r="CW125" s="51"/>
      <c r="CX125" s="51"/>
      <c r="CY125" s="51"/>
      <c r="CZ125" s="51"/>
      <c r="DA125" s="51"/>
      <c r="DB125" s="51"/>
      <c r="DC125" s="51"/>
      <c r="DD125" s="51"/>
      <c r="DE125" s="51"/>
      <c r="DF125" s="51"/>
      <c r="DG125" s="51"/>
      <c r="DH125" s="51"/>
      <c r="DI125" s="51"/>
      <c r="DJ125" s="51"/>
      <c r="DK125" s="51"/>
      <c r="DL125" s="51"/>
      <c r="DM125" s="51"/>
      <c r="DN125" s="51"/>
      <c r="DO125" s="51"/>
      <c r="DP125" s="51"/>
      <c r="DQ125" s="51"/>
      <c r="DR125" s="51"/>
      <c r="DS125" s="51"/>
      <c r="DT125" s="51"/>
    </row>
    <row r="126" spans="1:124" ht="18" customHeight="1" x14ac:dyDescent="0.35">
      <c r="A126" s="15" t="s">
        <v>229</v>
      </c>
      <c r="B126" s="51">
        <f t="shared" ref="B126:AG126" si="27">+SUM(B124:B125)</f>
        <v>52.368381769215503</v>
      </c>
      <c r="C126" s="51">
        <f t="shared" si="27"/>
        <v>61.62959216204807</v>
      </c>
      <c r="D126" s="51">
        <f t="shared" si="27"/>
        <v>72.738771931921207</v>
      </c>
      <c r="E126" s="51">
        <f t="shared" si="27"/>
        <v>84.9883755884793</v>
      </c>
      <c r="F126" s="51">
        <f t="shared" si="27"/>
        <v>98.355116505401483</v>
      </c>
      <c r="G126" s="51">
        <f t="shared" si="27"/>
        <v>112.8366394216318</v>
      </c>
      <c r="H126" s="51">
        <f t="shared" si="27"/>
        <v>128.42656802067089</v>
      </c>
      <c r="I126" s="51">
        <f t="shared" si="27"/>
        <v>145.11492681462633</v>
      </c>
      <c r="J126" s="51">
        <f t="shared" si="27"/>
        <v>162.88862449686573</v>
      </c>
      <c r="K126" s="51">
        <f t="shared" si="27"/>
        <v>181.73201916558386</v>
      </c>
      <c r="L126" s="51">
        <f t="shared" si="27"/>
        <v>201.62756556106601</v>
      </c>
      <c r="M126" s="51">
        <f t="shared" si="27"/>
        <v>222.55653793786283</v>
      </c>
      <c r="N126" s="51">
        <f t="shared" si="27"/>
        <v>244.4998232076735</v>
      </c>
      <c r="O126" s="51">
        <f t="shared" si="27"/>
        <v>267.43878699945355</v>
      </c>
      <c r="P126" s="51">
        <f t="shared" si="27"/>
        <v>291.35623318947489</v>
      </c>
      <c r="Q126" s="51">
        <f t="shared" si="27"/>
        <v>316.23751255554589</v>
      </c>
      <c r="R126" s="51">
        <f t="shared" si="27"/>
        <v>342.07190292130809</v>
      </c>
      <c r="S126" s="51">
        <f t="shared" si="27"/>
        <v>368.85451012754277</v>
      </c>
      <c r="T126" s="51">
        <f t="shared" si="27"/>
        <v>396.58918324174044</v>
      </c>
      <c r="U126" s="51">
        <f t="shared" si="27"/>
        <v>425.30177232863286</v>
      </c>
      <c r="V126" s="51">
        <f t="shared" si="27"/>
        <v>455.05709981860514</v>
      </c>
      <c r="W126" s="51">
        <f t="shared" si="27"/>
        <v>485.92866884990372</v>
      </c>
      <c r="X126" s="51">
        <f t="shared" si="27"/>
        <v>518.46382929077595</v>
      </c>
      <c r="Y126" s="51">
        <f t="shared" si="27"/>
        <v>552.6617673166121</v>
      </c>
      <c r="Z126" s="51">
        <f t="shared" si="27"/>
        <v>587.95151982934954</v>
      </c>
      <c r="AA126" s="51">
        <f t="shared" si="27"/>
        <v>624.28780148049657</v>
      </c>
      <c r="AB126" s="51">
        <f t="shared" si="27"/>
        <v>661.62178633155156</v>
      </c>
      <c r="AC126" s="51">
        <f t="shared" si="27"/>
        <v>699.90210171570629</v>
      </c>
      <c r="AD126" s="51">
        <f t="shared" si="27"/>
        <v>739.07559341604144</v>
      </c>
      <c r="AE126" s="51">
        <f t="shared" si="27"/>
        <v>779.08792574949052</v>
      </c>
      <c r="AF126" s="51">
        <f t="shared" si="27"/>
        <v>819.88405489373133</v>
      </c>
      <c r="AG126" s="51">
        <f t="shared" si="27"/>
        <v>861.40860298695407</v>
      </c>
      <c r="AH126" s="51">
        <f t="shared" ref="AH126:BI126" si="28">+SUM(AH124:AH125)</f>
        <v>903.60615600814378</v>
      </c>
      <c r="AI126" s="51">
        <f t="shared" si="28"/>
        <v>946.42150340922353</v>
      </c>
      <c r="AJ126" s="51">
        <f t="shared" si="28"/>
        <v>989.79983566907242</v>
      </c>
      <c r="AK126" s="51">
        <f t="shared" si="28"/>
        <v>1033.6869130876692</v>
      </c>
      <c r="AL126" s="51">
        <f t="shared" si="28"/>
        <v>1078.0292187919515</v>
      </c>
      <c r="AM126" s="51">
        <f t="shared" si="28"/>
        <v>1122.7741098080128</v>
      </c>
      <c r="AN126" s="51">
        <f t="shared" si="28"/>
        <v>1167.8699846470695</v>
      </c>
      <c r="AO126" s="51">
        <f t="shared" si="28"/>
        <v>1213.2664956902327</v>
      </c>
      <c r="AP126" s="51">
        <f t="shared" si="28"/>
        <v>1258.9148542384942</v>
      </c>
      <c r="AQ126" s="51">
        <f t="shared" si="28"/>
        <v>1304.7683126970319</v>
      </c>
      <c r="AR126" s="51">
        <f t="shared" si="28"/>
        <v>1350.7829758656387</v>
      </c>
      <c r="AS126" s="51">
        <f t="shared" si="28"/>
        <v>1396.9192163137104</v>
      </c>
      <c r="AT126" s="51">
        <f t="shared" si="28"/>
        <v>1443.1441938259152</v>
      </c>
      <c r="AU126" s="51">
        <f t="shared" si="28"/>
        <v>1489.4363911599128</v>
      </c>
      <c r="AV126" s="51">
        <f t="shared" si="28"/>
        <v>1535.7938448745156</v>
      </c>
      <c r="AW126" s="51">
        <f t="shared" si="28"/>
        <v>1582.2492028956949</v>
      </c>
      <c r="AX126" s="51">
        <f t="shared" si="28"/>
        <v>1628.8976021389133</v>
      </c>
      <c r="AY126" s="51">
        <f t="shared" si="28"/>
        <v>1675.9493183278114</v>
      </c>
      <c r="AZ126" s="51">
        <f t="shared" si="28"/>
        <v>1680.5657400599914</v>
      </c>
      <c r="BA126" s="51">
        <f t="shared" si="28"/>
        <v>1772.5000804205611</v>
      </c>
      <c r="BB126" s="51">
        <f t="shared" si="28"/>
        <v>1818.1342360572412</v>
      </c>
      <c r="BC126" s="51">
        <f t="shared" si="28"/>
        <v>1863.2688480047834</v>
      </c>
      <c r="BD126" s="51">
        <f t="shared" si="28"/>
        <v>1907.9907461259781</v>
      </c>
      <c r="BE126" s="51">
        <f t="shared" si="28"/>
        <v>1952.3297717675039</v>
      </c>
      <c r="BF126" s="51">
        <f t="shared" si="28"/>
        <v>1996.287785532623</v>
      </c>
      <c r="BG126" s="51">
        <f t="shared" si="28"/>
        <v>2040.4529184230701</v>
      </c>
      <c r="BH126" s="51">
        <f t="shared" si="28"/>
        <v>2084.9393974347668</v>
      </c>
      <c r="BI126" s="51">
        <f t="shared" si="28"/>
        <v>2127.006294479087</v>
      </c>
      <c r="BJ126" s="51"/>
      <c r="BK126" s="51"/>
      <c r="BL126" s="51"/>
      <c r="BM126" s="51"/>
      <c r="BN126" s="51"/>
      <c r="BO126" s="51"/>
      <c r="BP126" s="51"/>
      <c r="BQ126" s="51"/>
      <c r="BR126" s="51"/>
      <c r="BS126" s="51"/>
      <c r="BT126" s="51"/>
      <c r="BU126" s="51"/>
      <c r="BV126" s="51"/>
      <c r="BW126" s="51"/>
      <c r="BX126" s="51"/>
      <c r="BY126" s="51"/>
      <c r="BZ126" s="51"/>
      <c r="CA126" s="51"/>
      <c r="CB126" s="51"/>
      <c r="CC126" s="51"/>
      <c r="CD126" s="51"/>
      <c r="CE126" s="51"/>
      <c r="CF126" s="51"/>
      <c r="CG126" s="51"/>
      <c r="CH126" s="51"/>
      <c r="CI126" s="51"/>
      <c r="CJ126" s="51"/>
      <c r="CK126" s="51"/>
      <c r="CL126" s="51"/>
      <c r="CM126" s="51"/>
      <c r="CN126" s="51"/>
      <c r="CO126" s="51"/>
      <c r="CP126" s="51"/>
      <c r="CQ126" s="51"/>
      <c r="CR126" s="51"/>
      <c r="CS126" s="51"/>
      <c r="CT126" s="51"/>
      <c r="CU126" s="51"/>
      <c r="CV126" s="51"/>
      <c r="CW126" s="51"/>
      <c r="CX126" s="51"/>
      <c r="CY126" s="51"/>
      <c r="CZ126" s="51"/>
      <c r="DA126" s="51"/>
      <c r="DB126" s="51"/>
      <c r="DC126" s="51"/>
      <c r="DD126" s="51"/>
      <c r="DE126" s="51"/>
      <c r="DF126" s="51"/>
      <c r="DG126" s="51"/>
      <c r="DH126" s="51"/>
      <c r="DI126" s="51"/>
      <c r="DJ126" s="51"/>
      <c r="DK126" s="51"/>
      <c r="DL126" s="51"/>
      <c r="DM126" s="51"/>
      <c r="DN126" s="51"/>
      <c r="DO126" s="51"/>
      <c r="DP126" s="51"/>
      <c r="DQ126" s="51"/>
      <c r="DR126" s="51"/>
      <c r="DS126" s="51"/>
      <c r="DT126" s="51"/>
    </row>
    <row r="127" spans="1:124" ht="18" customHeight="1" x14ac:dyDescent="0.35">
      <c r="A127" s="15" t="s">
        <v>65</v>
      </c>
      <c r="B127" s="3">
        <f t="shared" ref="B127:BI127" si="29">(B124/B53)*1000</f>
        <v>6.8716233014676149</v>
      </c>
      <c r="C127" s="3">
        <f t="shared" si="29"/>
        <v>7.7649459245377415</v>
      </c>
      <c r="D127" s="3">
        <f t="shared" si="29"/>
        <v>8.7480763855942367</v>
      </c>
      <c r="E127" s="3">
        <f t="shared" si="29"/>
        <v>9.8211877745160141</v>
      </c>
      <c r="F127" s="3">
        <f t="shared" si="29"/>
        <v>10.984993503387479</v>
      </c>
      <c r="G127" s="3">
        <f t="shared" si="29"/>
        <v>12.240429546885494</v>
      </c>
      <c r="H127" s="3">
        <f t="shared" si="29"/>
        <v>13.588427679998153</v>
      </c>
      <c r="I127" s="3">
        <f t="shared" si="29"/>
        <v>15.029775545795841</v>
      </c>
      <c r="J127" s="3">
        <f t="shared" si="29"/>
        <v>16.565038223412845</v>
      </c>
      <c r="K127" s="3">
        <f t="shared" si="29"/>
        <v>18.194524877956038</v>
      </c>
      <c r="L127" s="3">
        <f t="shared" si="29"/>
        <v>19.918289745898509</v>
      </c>
      <c r="M127" s="3">
        <f t="shared" si="29"/>
        <v>21.736160648040311</v>
      </c>
      <c r="N127" s="3">
        <f t="shared" si="29"/>
        <v>23.647791521433255</v>
      </c>
      <c r="O127" s="3">
        <f t="shared" si="29"/>
        <v>25.652739175522317</v>
      </c>
      <c r="P127" s="3">
        <f t="shared" si="29"/>
        <v>27.750569970464426</v>
      </c>
      <c r="Q127" s="3">
        <f t="shared" si="29"/>
        <v>29.94101162211507</v>
      </c>
      <c r="R127" s="3">
        <f t="shared" si="29"/>
        <v>32.22418290243526</v>
      </c>
      <c r="S127" s="3">
        <f t="shared" si="29"/>
        <v>34.600967312213847</v>
      </c>
      <c r="T127" s="3">
        <f t="shared" si="29"/>
        <v>37.073660768312727</v>
      </c>
      <c r="U127" s="3">
        <f t="shared" si="29"/>
        <v>39.647965753047252</v>
      </c>
      <c r="V127" s="3">
        <f t="shared" si="29"/>
        <v>42.333707339375451</v>
      </c>
      <c r="W127" s="3">
        <f t="shared" si="29"/>
        <v>45.148292970362952</v>
      </c>
      <c r="X127" s="3">
        <f t="shared" si="29"/>
        <v>48.096965327822303</v>
      </c>
      <c r="Y127" s="3">
        <f t="shared" si="29"/>
        <v>51.170185763911299</v>
      </c>
      <c r="Z127" s="3">
        <f t="shared" si="29"/>
        <v>54.360273722938317</v>
      </c>
      <c r="AA127" s="3">
        <f t="shared" si="29"/>
        <v>57.660614947991945</v>
      </c>
      <c r="AB127" s="3">
        <f t="shared" si="29"/>
        <v>61.065186631391462</v>
      </c>
      <c r="AC127" s="3">
        <f t="shared" si="29"/>
        <v>64.568279724521688</v>
      </c>
      <c r="AD127" s="3">
        <f t="shared" si="29"/>
        <v>68.16434207605873</v>
      </c>
      <c r="AE127" s="3">
        <f t="shared" si="29"/>
        <v>71.84789466683381</v>
      </c>
      <c r="AF127" s="3">
        <f t="shared" si="29"/>
        <v>75.613491329150534</v>
      </c>
      <c r="AG127" s="3">
        <f t="shared" si="29"/>
        <v>79.455703744622326</v>
      </c>
      <c r="AH127" s="3">
        <f t="shared" si="29"/>
        <v>83.369120779480085</v>
      </c>
      <c r="AI127" s="3">
        <f t="shared" si="29"/>
        <v>87.348355692349188</v>
      </c>
      <c r="AJ127" s="3">
        <f t="shared" si="29"/>
        <v>91.388057696266344</v>
      </c>
      <c r="AK127" s="3">
        <f t="shared" si="29"/>
        <v>95.482926270469022</v>
      </c>
      <c r="AL127" s="3">
        <f t="shared" si="29"/>
        <v>99.627728132534756</v>
      </c>
      <c r="AM127" s="3">
        <f t="shared" si="29"/>
        <v>103.81731826692491</v>
      </c>
      <c r="AN127" s="3">
        <f t="shared" si="29"/>
        <v>108.04666841326612</v>
      </c>
      <c r="AO127" s="3">
        <f t="shared" si="29"/>
        <v>112.31090964126315</v>
      </c>
      <c r="AP127" s="3">
        <f t="shared" si="29"/>
        <v>116.60540127659192</v>
      </c>
      <c r="AQ127" s="3">
        <f t="shared" si="29"/>
        <v>120.92584855442958</v>
      </c>
      <c r="AR127" s="3">
        <f t="shared" si="29"/>
        <v>125.26850968118778</v>
      </c>
      <c r="AS127" s="3">
        <f t="shared" si="29"/>
        <v>129.63056615567271</v>
      </c>
      <c r="AT127" s="3">
        <f t="shared" si="29"/>
        <v>134.0107904696147</v>
      </c>
      <c r="AU127" s="3">
        <f t="shared" si="29"/>
        <v>138.41075509928359</v>
      </c>
      <c r="AV127" s="3">
        <f t="shared" si="29"/>
        <v>142.83702825506452</v>
      </c>
      <c r="AW127" s="3">
        <f t="shared" si="29"/>
        <v>147.30517665885895</v>
      </c>
      <c r="AX127" s="3">
        <f t="shared" si="29"/>
        <v>151.84710964690817</v>
      </c>
      <c r="AY127" s="3">
        <f t="shared" si="29"/>
        <v>156.52471380534951</v>
      </c>
      <c r="AZ127" s="3">
        <f t="shared" si="29"/>
        <v>157.33376489737032</v>
      </c>
      <c r="BA127" s="3">
        <f t="shared" si="29"/>
        <v>162.6564652499512</v>
      </c>
      <c r="BB127" s="3">
        <f t="shared" si="29"/>
        <v>167.6803795810853</v>
      </c>
      <c r="BC127" s="3">
        <f t="shared" si="29"/>
        <v>172.48183241914367</v>
      </c>
      <c r="BD127" s="3">
        <f t="shared" si="29"/>
        <v>177.11429687582327</v>
      </c>
      <c r="BE127" s="3">
        <f t="shared" si="29"/>
        <v>181.61524236974142</v>
      </c>
      <c r="BF127" s="3">
        <f t="shared" si="29"/>
        <v>186.0108479803979</v>
      </c>
      <c r="BG127" s="3">
        <f t="shared" si="29"/>
        <v>190.37640298879137</v>
      </c>
      <c r="BH127" s="3">
        <f t="shared" si="29"/>
        <v>194.71705031281792</v>
      </c>
      <c r="BI127" s="3">
        <f t="shared" si="29"/>
        <v>198.792752814914</v>
      </c>
    </row>
    <row r="128" spans="1:124" ht="21" customHeight="1" x14ac:dyDescent="0.35">
      <c r="A128" s="15" t="s">
        <v>230</v>
      </c>
      <c r="B128" s="3">
        <f>((B127)^(1-$B$19)-1)/(1-$B$19)-1</f>
        <v>0.28872983284630571</v>
      </c>
      <c r="C128" s="3">
        <f t="shared" ref="C128:BI128" si="30">((C127)^(1-$B$19)-1)/(1-$B$19)-1</f>
        <v>0.33868430885033107</v>
      </c>
      <c r="D128" s="3">
        <f t="shared" si="30"/>
        <v>0.38483403277379269</v>
      </c>
      <c r="E128" s="3">
        <f t="shared" si="30"/>
        <v>0.42732005749855029</v>
      </c>
      <c r="F128" s="3">
        <f t="shared" si="30"/>
        <v>0.46638622050093548</v>
      </c>
      <c r="G128" s="3">
        <f t="shared" si="30"/>
        <v>0.50231092319581694</v>
      </c>
      <c r="H128" s="3">
        <f t="shared" si="30"/>
        <v>0.53537310733532162</v>
      </c>
      <c r="I128" s="3">
        <f t="shared" si="30"/>
        <v>0.56583689619152522</v>
      </c>
      <c r="J128" s="3">
        <f t="shared" si="30"/>
        <v>0.59394561883812069</v>
      </c>
      <c r="K128" s="3">
        <f t="shared" si="30"/>
        <v>0.61992042009209358</v>
      </c>
      <c r="L128" s="3">
        <f t="shared" si="30"/>
        <v>0.64396100548887514</v>
      </c>
      <c r="M128" s="3">
        <f t="shared" si="30"/>
        <v>0.66624729024457952</v>
      </c>
      <c r="N128" s="3">
        <f t="shared" si="30"/>
        <v>0.68694135359250375</v>
      </c>
      <c r="O128" s="3">
        <f t="shared" si="30"/>
        <v>0.70618942971791143</v>
      </c>
      <c r="P128" s="3">
        <f t="shared" si="30"/>
        <v>0.72412384385152428</v>
      </c>
      <c r="Q128" s="3">
        <f t="shared" si="30"/>
        <v>0.74086490856103149</v>
      </c>
      <c r="R128" s="3">
        <f t="shared" si="30"/>
        <v>0.75652287951475983</v>
      </c>
      <c r="S128" s="3">
        <f t="shared" si="30"/>
        <v>0.77120016855232643</v>
      </c>
      <c r="T128" s="3">
        <f t="shared" si="30"/>
        <v>0.78499416419382761</v>
      </c>
      <c r="U128" s="3">
        <f t="shared" si="30"/>
        <v>0.79800521387188539</v>
      </c>
      <c r="V128" s="3">
        <f t="shared" si="30"/>
        <v>0.81033468649218765</v>
      </c>
      <c r="W128" s="3">
        <f t="shared" si="30"/>
        <v>0.82209427533972534</v>
      </c>
      <c r="X128" s="3">
        <f t="shared" si="30"/>
        <v>0.83332527657734423</v>
      </c>
      <c r="Y128" s="3">
        <f t="shared" si="30"/>
        <v>0.84401498149007459</v>
      </c>
      <c r="Z128" s="3">
        <f t="shared" si="30"/>
        <v>0.85416889297216692</v>
      </c>
      <c r="AA128" s="3">
        <f t="shared" si="30"/>
        <v>0.86380256941142641</v>
      </c>
      <c r="AB128" s="3">
        <f t="shared" si="30"/>
        <v>0.87293690778301003</v>
      </c>
      <c r="AC128" s="3">
        <f t="shared" si="30"/>
        <v>0.88159540298503325</v>
      </c>
      <c r="AD128" s="3">
        <f t="shared" si="30"/>
        <v>0.88980254385166679</v>
      </c>
      <c r="AE128" s="3">
        <f t="shared" si="30"/>
        <v>0.89758286842333068</v>
      </c>
      <c r="AF128" s="3">
        <f t="shared" si="30"/>
        <v>0.9049604067220105</v>
      </c>
      <c r="AG128" s="3">
        <f t="shared" si="30"/>
        <v>0.91195835536069447</v>
      </c>
      <c r="AH128" s="3">
        <f t="shared" si="30"/>
        <v>0.91859889397226713</v>
      </c>
      <c r="AI128" s="3">
        <f t="shared" si="30"/>
        <v>0.92490309041839347</v>
      </c>
      <c r="AJ128" s="3">
        <f t="shared" si="30"/>
        <v>0.9308908630596533</v>
      </c>
      <c r="AK128" s="3">
        <f t="shared" si="30"/>
        <v>0.93658098069347773</v>
      </c>
      <c r="AL128" s="3">
        <f t="shared" si="30"/>
        <v>0.9419910883227125</v>
      </c>
      <c r="AM128" s="3">
        <f t="shared" si="30"/>
        <v>0.94713775186367766</v>
      </c>
      <c r="AN128" s="3">
        <f t="shared" si="30"/>
        <v>0.95203651873485273</v>
      </c>
      <c r="AO128" s="3">
        <f t="shared" si="30"/>
        <v>0.95670199497852093</v>
      </c>
      <c r="AP128" s="3">
        <f t="shared" si="30"/>
        <v>0.96114794418559391</v>
      </c>
      <c r="AQ128" s="3">
        <f t="shared" si="30"/>
        <v>0.96538742032154157</v>
      </c>
      <c r="AR128" s="3">
        <f t="shared" si="30"/>
        <v>0.96943295764990101</v>
      </c>
      <c r="AS128" s="3">
        <f t="shared" si="30"/>
        <v>0.97329685973953617</v>
      </c>
      <c r="AT128" s="3">
        <f t="shared" si="30"/>
        <v>0.97699166203081589</v>
      </c>
      <c r="AU128" s="3">
        <f t="shared" si="30"/>
        <v>0.98053089914436953</v>
      </c>
      <c r="AV128" s="3">
        <f t="shared" si="30"/>
        <v>0.98393040814277644</v>
      </c>
      <c r="AW128" s="3">
        <f t="shared" si="30"/>
        <v>0.98721057741753993</v>
      </c>
      <c r="AX128" s="3">
        <f t="shared" si="30"/>
        <v>0.99040027583741841</v>
      </c>
      <c r="AY128" s="3">
        <f t="shared" si="30"/>
        <v>0.99354380745775961</v>
      </c>
      <c r="AZ128" s="3">
        <f t="shared" si="30"/>
        <v>0.9940737234741599</v>
      </c>
      <c r="BA128" s="3">
        <f t="shared" si="30"/>
        <v>0.99746410385114315</v>
      </c>
      <c r="BB128" s="3">
        <f t="shared" si="30"/>
        <v>1.0005197814262017</v>
      </c>
      <c r="BC128" s="3">
        <f t="shared" si="30"/>
        <v>1.0033185861658205</v>
      </c>
      <c r="BD128" s="3">
        <f t="shared" si="30"/>
        <v>1.0059138358735771</v>
      </c>
      <c r="BE128" s="3">
        <f t="shared" si="30"/>
        <v>1.0083428239214651</v>
      </c>
      <c r="BF128" s="3">
        <f t="shared" si="30"/>
        <v>1.0106321613282589</v>
      </c>
      <c r="BG128" s="3">
        <f t="shared" si="30"/>
        <v>1.0128294997077463</v>
      </c>
      <c r="BH128" s="3">
        <f t="shared" si="30"/>
        <v>1.0149430362923813</v>
      </c>
      <c r="BI128" s="3">
        <f t="shared" si="30"/>
        <v>1.0168662962921657</v>
      </c>
    </row>
    <row r="129" spans="1:124" ht="21" customHeight="1" x14ac:dyDescent="0.35">
      <c r="A129" s="15" t="s">
        <v>231</v>
      </c>
      <c r="B129" s="51">
        <f t="shared" ref="B129:BI129" si="31">B$18*B$53*B128</f>
        <v>1974.3345970030384</v>
      </c>
      <c r="C129" s="51">
        <f t="shared" si="31"/>
        <v>2277.4250655838059</v>
      </c>
      <c r="D129" s="51">
        <f t="shared" si="31"/>
        <v>2525.0700022793976</v>
      </c>
      <c r="E129" s="51">
        <f t="shared" si="31"/>
        <v>2717.6170765037859</v>
      </c>
      <c r="F129" s="51">
        <f t="shared" si="31"/>
        <v>2858.195896842919</v>
      </c>
      <c r="G129" s="51">
        <f t="shared" si="31"/>
        <v>2951.5210100491095</v>
      </c>
      <c r="H129" s="51">
        <f t="shared" si="31"/>
        <v>3003.0753796621789</v>
      </c>
      <c r="I129" s="51">
        <f t="shared" si="31"/>
        <v>3018.5687947852803</v>
      </c>
      <c r="J129" s="51">
        <f t="shared" si="31"/>
        <v>3003.5883156421864</v>
      </c>
      <c r="K129" s="51">
        <f t="shared" si="31"/>
        <v>2963.3832044941919</v>
      </c>
      <c r="L129" s="51">
        <f t="shared" si="31"/>
        <v>2902.7436718674608</v>
      </c>
      <c r="M129" s="51">
        <f t="shared" si="31"/>
        <v>2825.9442672609493</v>
      </c>
      <c r="N129" s="51">
        <f t="shared" si="31"/>
        <v>2736.7308359560625</v>
      </c>
      <c r="O129" s="51">
        <f t="shared" si="31"/>
        <v>2638.3358282553354</v>
      </c>
      <c r="P129" s="51">
        <f t="shared" si="31"/>
        <v>2533.5110847589526</v>
      </c>
      <c r="Q129" s="51">
        <f t="shared" si="31"/>
        <v>2424.5704667419036</v>
      </c>
      <c r="R129" s="51">
        <f t="shared" si="31"/>
        <v>2313.4371463874627</v>
      </c>
      <c r="S129" s="51">
        <f t="shared" si="31"/>
        <v>2201.6922336259804</v>
      </c>
      <c r="T129" s="51">
        <f t="shared" si="31"/>
        <v>2090.6228718051984</v>
      </c>
      <c r="U129" s="51">
        <f t="shared" si="31"/>
        <v>1981.2789302131514</v>
      </c>
      <c r="V129" s="51">
        <f t="shared" si="31"/>
        <v>1874.4967031733706</v>
      </c>
      <c r="W129" s="51">
        <f t="shared" si="31"/>
        <v>1770.9472662341186</v>
      </c>
      <c r="X129" s="51">
        <f t="shared" si="31"/>
        <v>1670.9938051487427</v>
      </c>
      <c r="Y129" s="51">
        <f t="shared" si="31"/>
        <v>1574.7965646184332</v>
      </c>
      <c r="Z129" s="51">
        <f t="shared" si="31"/>
        <v>1482.4895286805322</v>
      </c>
      <c r="AA129" s="51">
        <f t="shared" si="31"/>
        <v>1394.1657322971275</v>
      </c>
      <c r="AB129" s="51">
        <f t="shared" si="31"/>
        <v>1309.8742170843202</v>
      </c>
      <c r="AC129" s="51">
        <f t="shared" si="31"/>
        <v>1229.6225689713904</v>
      </c>
      <c r="AD129" s="51">
        <f t="shared" si="31"/>
        <v>1153.3818530109631</v>
      </c>
      <c r="AE129" s="51">
        <f t="shared" si="31"/>
        <v>1081.0923105632862</v>
      </c>
      <c r="AF129" s="51">
        <f t="shared" si="31"/>
        <v>1012.6690065977789</v>
      </c>
      <c r="AG129" s="51">
        <f t="shared" si="31"/>
        <v>948.00704801709514</v>
      </c>
      <c r="AH129" s="51">
        <f t="shared" si="31"/>
        <v>886.98622022225834</v>
      </c>
      <c r="AI129" s="51">
        <f t="shared" si="31"/>
        <v>829.47500521510301</v>
      </c>
      <c r="AJ129" s="51">
        <f t="shared" si="31"/>
        <v>775.33400257024755</v>
      </c>
      <c r="AK129" s="51">
        <f t="shared" si="31"/>
        <v>724.41880151924261</v>
      </c>
      <c r="AL129" s="51">
        <f t="shared" si="31"/>
        <v>676.58236304884531</v>
      </c>
      <c r="AM129" s="51">
        <f t="shared" si="31"/>
        <v>631.67697300166787</v>
      </c>
      <c r="AN129" s="51">
        <f t="shared" si="31"/>
        <v>589.55582500749256</v>
      </c>
      <c r="AO129" s="51">
        <f t="shared" si="31"/>
        <v>550.07428798209844</v>
      </c>
      <c r="AP129" s="51">
        <f t="shared" si="31"/>
        <v>513.09090828767035</v>
      </c>
      <c r="AQ129" s="51">
        <f t="shared" si="31"/>
        <v>478.46819231137232</v>
      </c>
      <c r="AR129" s="51">
        <f t="shared" si="31"/>
        <v>446.07321185879522</v>
      </c>
      <c r="AS129" s="51">
        <f t="shared" si="31"/>
        <v>415.77807303718396</v>
      </c>
      <c r="AT129" s="51">
        <f t="shared" si="31"/>
        <v>387.46029012449185</v>
      </c>
      <c r="AU129" s="51">
        <f t="shared" si="31"/>
        <v>361.00311063857606</v>
      </c>
      <c r="AV129" s="51">
        <f t="shared" si="31"/>
        <v>336.29584880257374</v>
      </c>
      <c r="AW129" s="51">
        <f t="shared" si="31"/>
        <v>313.23430602893836</v>
      </c>
      <c r="AX129" s="51">
        <f t="shared" si="31"/>
        <v>291.72139716205692</v>
      </c>
      <c r="AY129" s="51">
        <f t="shared" si="31"/>
        <v>271.66817724175547</v>
      </c>
      <c r="AZ129" s="51">
        <f t="shared" si="31"/>
        <v>252.32557568428027</v>
      </c>
      <c r="BA129" s="51">
        <f t="shared" si="31"/>
        <v>235.03256559594382</v>
      </c>
      <c r="BB129" s="51">
        <f t="shared" si="31"/>
        <v>218.84774279313191</v>
      </c>
      <c r="BC129" s="51">
        <f t="shared" si="31"/>
        <v>203.72238217276828</v>
      </c>
      <c r="BD129" s="51">
        <f t="shared" si="31"/>
        <v>189.60174183463866</v>
      </c>
      <c r="BE129" s="51">
        <f t="shared" si="31"/>
        <v>176.4289340262186</v>
      </c>
      <c r="BF129" s="51">
        <f t="shared" si="31"/>
        <v>164.14716601498156</v>
      </c>
      <c r="BG129" s="51">
        <f t="shared" si="31"/>
        <v>152.705295393016</v>
      </c>
      <c r="BH129" s="51">
        <f t="shared" si="31"/>
        <v>142.04824415618435</v>
      </c>
      <c r="BI129" s="51">
        <f t="shared" si="31"/>
        <v>132.10936518800844</v>
      </c>
      <c r="BJ129" s="51"/>
      <c r="BK129" s="51"/>
      <c r="BL129" s="51"/>
      <c r="BM129" s="51"/>
      <c r="BN129" s="51"/>
      <c r="BO129" s="51"/>
      <c r="BP129" s="51"/>
      <c r="BQ129" s="51"/>
      <c r="BR129" s="51"/>
      <c r="BS129" s="51"/>
      <c r="BT129" s="51"/>
      <c r="BU129" s="51"/>
      <c r="BV129" s="51"/>
      <c r="BW129" s="51"/>
      <c r="BX129" s="51"/>
      <c r="BY129" s="51"/>
      <c r="BZ129" s="51"/>
      <c r="CA129" s="51"/>
      <c r="CB129" s="51"/>
      <c r="CC129" s="51"/>
      <c r="CD129" s="51"/>
      <c r="CE129" s="51"/>
      <c r="CF129" s="51"/>
      <c r="CG129" s="51"/>
      <c r="CH129" s="51"/>
      <c r="CI129" s="51"/>
      <c r="CJ129" s="51"/>
      <c r="CK129" s="51"/>
      <c r="CL129" s="51"/>
      <c r="CM129" s="51"/>
      <c r="CN129" s="51"/>
      <c r="CO129" s="51"/>
      <c r="CP129" s="51"/>
      <c r="CQ129" s="51"/>
      <c r="CR129" s="51"/>
      <c r="CS129" s="51"/>
      <c r="CT129" s="51"/>
      <c r="CU129" s="51"/>
      <c r="CV129" s="51"/>
      <c r="CW129" s="51"/>
      <c r="CX129" s="51"/>
      <c r="CY129" s="51"/>
      <c r="CZ129" s="51"/>
      <c r="DA129" s="51"/>
      <c r="DB129" s="51"/>
      <c r="DC129" s="51"/>
      <c r="DD129" s="51"/>
      <c r="DE129" s="51"/>
      <c r="DF129" s="51"/>
      <c r="DG129" s="51"/>
      <c r="DH129" s="51"/>
      <c r="DI129" s="51"/>
      <c r="DJ129" s="51"/>
      <c r="DK129" s="51"/>
      <c r="DL129" s="51"/>
      <c r="DM129" s="51"/>
      <c r="DN129" s="51"/>
      <c r="DO129" s="51"/>
      <c r="DP129" s="51"/>
      <c r="DQ129" s="51"/>
      <c r="DR129" s="51"/>
      <c r="DS129" s="51"/>
      <c r="DT129" s="51"/>
    </row>
    <row r="130" spans="1:124" ht="18" customHeight="1" x14ac:dyDescent="0.35">
      <c r="A130" s="87" t="s">
        <v>232</v>
      </c>
      <c r="B130" s="17">
        <f>SUM(B129:DQ129)*5*B49+B50</f>
        <v>2717.599051440362</v>
      </c>
      <c r="C130" s="16">
        <f>+Base!C129</f>
        <v>2688.7871864330928</v>
      </c>
      <c r="D130" s="16">
        <f>+B130-C130</f>
        <v>28.811865007269262</v>
      </c>
      <c r="E130" s="3">
        <v>2717.5026648943049</v>
      </c>
      <c r="F130" s="3">
        <f>+B130-E130</f>
        <v>9.6386546057146916E-2</v>
      </c>
      <c r="U130" s="3">
        <f>+D130</f>
        <v>28.811865007269262</v>
      </c>
    </row>
    <row r="131" spans="1:124" ht="30" customHeight="1" thickBot="1" x14ac:dyDescent="0.4">
      <c r="A131" s="88" t="s">
        <v>27</v>
      </c>
      <c r="C131" s="72"/>
      <c r="D131" s="72"/>
      <c r="M131" s="3">
        <f>+(J133/C133)^(1/35)</f>
        <v>1.0316413212046531</v>
      </c>
      <c r="P131" s="3">
        <f t="shared" ref="P131:S131" si="32">+(P133/F133)^0.02</f>
        <v>1.0256378014971435</v>
      </c>
      <c r="Q131" s="3">
        <f t="shared" si="32"/>
        <v>1.0244694466767674</v>
      </c>
      <c r="R131" s="3">
        <f t="shared" si="32"/>
        <v>1.0233699568224335</v>
      </c>
      <c r="S131" s="3">
        <f t="shared" si="32"/>
        <v>1.0223347409888859</v>
      </c>
      <c r="T131" s="3">
        <f>+(T133/J133)^0.02</f>
        <v>1.0213589133505701</v>
      </c>
    </row>
    <row r="132" spans="1:124" s="28" customFormat="1" ht="21.65" customHeight="1" thickTop="1" x14ac:dyDescent="0.35">
      <c r="A132" s="26" t="s">
        <v>90</v>
      </c>
      <c r="B132" s="166">
        <v>0.25915573199712749</v>
      </c>
      <c r="C132" s="166">
        <v>0.2562856183375547</v>
      </c>
      <c r="D132" s="166">
        <v>0.2538816525610833</v>
      </c>
      <c r="E132" s="166">
        <v>0.25178121175941887</v>
      </c>
      <c r="F132" s="166">
        <v>0.24997620929933737</v>
      </c>
      <c r="G132" s="166">
        <v>0.24844846274094301</v>
      </c>
      <c r="H132" s="166">
        <v>0.24717585073945339</v>
      </c>
      <c r="I132" s="166">
        <v>0.246135550125897</v>
      </c>
      <c r="J132" s="166">
        <v>0.24530564511039163</v>
      </c>
      <c r="K132" s="166">
        <v>0.24466581421931155</v>
      </c>
      <c r="L132" s="166">
        <v>0.24419747707475614</v>
      </c>
      <c r="M132" s="166">
        <v>0.24388359125828796</v>
      </c>
      <c r="N132" s="166">
        <v>0.24370815953265437</v>
      </c>
      <c r="O132" s="166">
        <v>0.24365539425835314</v>
      </c>
      <c r="P132" s="166">
        <v>0.24370834940937994</v>
      </c>
      <c r="Q132" s="166">
        <v>0.24384662180524005</v>
      </c>
      <c r="R132" s="166">
        <v>0.24404236494434048</v>
      </c>
      <c r="S132" s="166">
        <v>0.24425321544755801</v>
      </c>
      <c r="T132" s="166">
        <v>0.24440955216473909</v>
      </c>
      <c r="U132" s="166">
        <v>0.24442027060357147</v>
      </c>
      <c r="V132" s="166">
        <v>0.24408830823216379</v>
      </c>
      <c r="W132" s="166">
        <v>0.24391962645736767</v>
      </c>
      <c r="X132" s="166">
        <v>0.24411884691403929</v>
      </c>
      <c r="Y132" s="166">
        <v>0.24429666434927891</v>
      </c>
      <c r="Z132" s="166">
        <v>0.24446551222219862</v>
      </c>
      <c r="AA132" s="166">
        <v>0.24463166314283286</v>
      </c>
      <c r="AB132" s="166">
        <v>0.24479798254461127</v>
      </c>
      <c r="AC132" s="166">
        <v>0.24496549980536178</v>
      </c>
      <c r="AD132" s="166">
        <v>0.24513429596880126</v>
      </c>
      <c r="AE132" s="166">
        <v>0.24530399756607699</v>
      </c>
      <c r="AF132" s="166">
        <v>0.24547404439027601</v>
      </c>
      <c r="AG132" s="166">
        <v>0.24564382847340199</v>
      </c>
      <c r="AH132" s="166">
        <v>0.245812759359962</v>
      </c>
      <c r="AI132" s="166">
        <v>0.24598028655993101</v>
      </c>
      <c r="AJ132" s="166">
        <v>0.24614589440173501</v>
      </c>
      <c r="AK132" s="166">
        <v>0.24630907434094801</v>
      </c>
      <c r="AL132" s="166">
        <v>0.24646927091008899</v>
      </c>
      <c r="AM132" s="166">
        <v>0.246625787653344</v>
      </c>
      <c r="AN132" s="166">
        <v>0.24677762495921399</v>
      </c>
      <c r="AO132" s="166">
        <v>0.24692319804798499</v>
      </c>
      <c r="AP132" s="166">
        <v>0.24705984248992899</v>
      </c>
      <c r="AQ132" s="166">
        <v>0.24718294291647</v>
      </c>
      <c r="AR132" s="166">
        <v>0.24728439394311999</v>
      </c>
      <c r="AS132" s="166">
        <v>0.24734987820531801</v>
      </c>
      <c r="AT132" s="166">
        <v>0.24735404806095701</v>
      </c>
      <c r="AU132" s="166">
        <v>0.24725198543448701</v>
      </c>
      <c r="AV132" s="166">
        <v>0.24696402610302301</v>
      </c>
      <c r="AW132" s="166">
        <v>0.24634865849757101</v>
      </c>
      <c r="AX132" s="166">
        <v>0.24515367425307699</v>
      </c>
      <c r="AY132" s="166">
        <v>0.24292663787477001</v>
      </c>
      <c r="AZ132" s="166">
        <v>0.258278145695364</v>
      </c>
      <c r="BA132" s="166">
        <v>0.258278145695364</v>
      </c>
      <c r="BB132" s="166">
        <v>0.258278145695364</v>
      </c>
      <c r="BC132" s="166">
        <v>0.258278145695364</v>
      </c>
      <c r="BD132" s="166">
        <v>0.258278145695364</v>
      </c>
      <c r="BE132" s="166">
        <v>0.258278145695364</v>
      </c>
      <c r="BF132" s="166">
        <v>0.258278145695364</v>
      </c>
      <c r="BG132" s="166">
        <v>0.258278145695364</v>
      </c>
      <c r="BH132" s="166">
        <v>0.258278145695364</v>
      </c>
      <c r="BI132" s="166">
        <v>0.258278145695364</v>
      </c>
      <c r="BJ132" s="27"/>
      <c r="BK132" s="27"/>
      <c r="BL132" s="27"/>
      <c r="BM132" s="27"/>
      <c r="BN132" s="27"/>
      <c r="BO132" s="27"/>
      <c r="BP132" s="27"/>
      <c r="BQ132" s="27"/>
      <c r="BR132" s="27"/>
      <c r="BS132" s="27"/>
      <c r="BT132" s="27"/>
      <c r="BU132" s="27"/>
      <c r="BV132" s="27"/>
      <c r="BW132" s="27"/>
      <c r="BX132" s="27"/>
      <c r="BY132" s="27"/>
      <c r="BZ132" s="27"/>
      <c r="CA132" s="27"/>
      <c r="CB132" s="27"/>
      <c r="CC132" s="27"/>
      <c r="CD132" s="27"/>
      <c r="CE132" s="27"/>
      <c r="CF132" s="27"/>
      <c r="CG132" s="27"/>
      <c r="CH132" s="27"/>
      <c r="CI132" s="27"/>
      <c r="CJ132" s="27"/>
      <c r="CK132" s="27"/>
      <c r="CL132" s="27"/>
      <c r="CM132" s="27"/>
      <c r="CN132" s="27"/>
      <c r="CO132" s="27"/>
      <c r="CP132" s="27"/>
      <c r="CQ132" s="27"/>
      <c r="CR132" s="27"/>
      <c r="CS132" s="27"/>
      <c r="CT132" s="27"/>
      <c r="CU132" s="27"/>
      <c r="CV132" s="27"/>
      <c r="CW132" s="27"/>
      <c r="CX132" s="27"/>
      <c r="CY132" s="27"/>
      <c r="CZ132" s="27"/>
      <c r="DA132" s="27"/>
      <c r="DB132" s="27"/>
      <c r="DC132" s="27"/>
      <c r="DD132" s="27"/>
      <c r="DE132" s="27"/>
      <c r="DF132" s="27"/>
      <c r="DG132" s="27"/>
      <c r="DH132" s="27"/>
      <c r="DI132" s="27"/>
      <c r="DJ132" s="27"/>
      <c r="DK132" s="27"/>
      <c r="DL132" s="27"/>
      <c r="DM132" s="27"/>
      <c r="DN132" s="27"/>
      <c r="DO132" s="27"/>
      <c r="DP132" s="27"/>
      <c r="DQ132" s="27"/>
      <c r="DR132" s="27"/>
      <c r="DS132" s="27"/>
      <c r="DT132" s="27"/>
    </row>
    <row r="133" spans="1:124" s="28" customFormat="1" ht="18" customHeight="1" x14ac:dyDescent="0.35">
      <c r="A133" s="29" t="s">
        <v>301</v>
      </c>
      <c r="B133" s="166">
        <v>1</v>
      </c>
      <c r="C133" s="166">
        <v>19.576530944586199</v>
      </c>
      <c r="D133" s="166">
        <v>23.413301875967601</v>
      </c>
      <c r="E133" s="166">
        <v>27.775815876279101</v>
      </c>
      <c r="F133" s="166">
        <v>32.687340620286292</v>
      </c>
      <c r="G133" s="166">
        <v>38.170058511217498</v>
      </c>
      <c r="H133" s="166">
        <v>44.24465052434801</v>
      </c>
      <c r="I133" s="166">
        <v>50.929953451655209</v>
      </c>
      <c r="J133" s="166">
        <v>58.242666447639884</v>
      </c>
      <c r="K133" s="166">
        <v>66.197091955148906</v>
      </c>
      <c r="L133" s="166">
        <v>74.804900884053694</v>
      </c>
      <c r="M133" s="166">
        <v>84.074913916668507</v>
      </c>
      <c r="N133" s="166">
        <v>94.012891295836681</v>
      </c>
      <c r="O133" s="166">
        <v>104.621324497643</v>
      </c>
      <c r="P133" s="166">
        <v>115.89922782571999</v>
      </c>
      <c r="Q133" s="166">
        <v>127.841942781507</v>
      </c>
      <c r="R133" s="166">
        <v>140.44100507121399</v>
      </c>
      <c r="S133" s="166">
        <v>153.684207332759</v>
      </c>
      <c r="T133" s="166">
        <v>167.556166407707</v>
      </c>
      <c r="U133" s="166">
        <v>182.045524906559</v>
      </c>
      <c r="V133" s="166">
        <v>197.12865690487601</v>
      </c>
      <c r="W133" s="166">
        <v>202.14144794548599</v>
      </c>
      <c r="X133" s="166">
        <v>197.08791174684899</v>
      </c>
      <c r="Y133" s="166">
        <v>192.160713953178</v>
      </c>
      <c r="Z133" s="166">
        <v>187.356696104348</v>
      </c>
      <c r="AA133" s="166">
        <v>182.67277870173999</v>
      </c>
      <c r="AB133" s="166">
        <v>178.10595923419601</v>
      </c>
      <c r="AC133" s="166">
        <v>173.653310253341</v>
      </c>
      <c r="AD133" s="166">
        <v>169.311977497008</v>
      </c>
      <c r="AE133" s="166">
        <v>165.07917805958201</v>
      </c>
      <c r="AF133" s="166">
        <v>160.952198608093</v>
      </c>
      <c r="AG133" s="166">
        <v>156.928393642891</v>
      </c>
      <c r="AH133" s="166">
        <v>153.00518380181799</v>
      </c>
      <c r="AI133" s="166">
        <v>149.18005420677301</v>
      </c>
      <c r="AJ133" s="166">
        <v>145.45055285160399</v>
      </c>
      <c r="AK133" s="166">
        <v>141.81428903031301</v>
      </c>
      <c r="AL133" s="166">
        <v>138.26893180455599</v>
      </c>
      <c r="AM133" s="166">
        <v>134.812208509442</v>
      </c>
      <c r="AN133" s="166">
        <v>131.44190329670599</v>
      </c>
      <c r="AO133" s="166">
        <v>128.15585571428801</v>
      </c>
      <c r="AP133" s="166">
        <v>124.951959321431</v>
      </c>
      <c r="AQ133" s="166">
        <v>121.82816033839499</v>
      </c>
      <c r="AR133" s="166">
        <v>118.782456329935</v>
      </c>
      <c r="AS133" s="166">
        <v>115.812894921687</v>
      </c>
      <c r="AT133" s="166">
        <v>112.917572548645</v>
      </c>
      <c r="AU133" s="166">
        <v>110.094633234928</v>
      </c>
      <c r="AV133" s="166">
        <v>107.34226740405499</v>
      </c>
      <c r="AW133" s="166">
        <v>104.658710718954</v>
      </c>
      <c r="AX133" s="166">
        <v>102.04224295098</v>
      </c>
      <c r="AY133" s="166">
        <v>99.491186877205607</v>
      </c>
      <c r="AZ133" s="166">
        <v>97.003907205275397</v>
      </c>
      <c r="BA133" s="166">
        <v>94.578809525143498</v>
      </c>
      <c r="BB133" s="166">
        <v>92.214339287014894</v>
      </c>
      <c r="BC133" s="166">
        <v>89.908980804839501</v>
      </c>
      <c r="BD133" s="166">
        <v>87.661256284718604</v>
      </c>
      <c r="BE133" s="166">
        <v>85.469724877600598</v>
      </c>
      <c r="BF133" s="166">
        <v>83.332981755660597</v>
      </c>
      <c r="BG133" s="166">
        <v>67.605444568213102</v>
      </c>
      <c r="BH133" s="166">
        <v>25.758319810008398</v>
      </c>
      <c r="BI133" s="166">
        <v>1.9401297213399001E-2</v>
      </c>
      <c r="BJ133" s="27"/>
      <c r="BK133" s="27"/>
      <c r="BL133" s="27"/>
      <c r="BM133" s="27"/>
      <c r="BN133" s="27"/>
      <c r="BO133" s="27"/>
      <c r="BP133" s="27"/>
      <c r="BQ133" s="27"/>
      <c r="BR133" s="27"/>
      <c r="BS133" s="27"/>
      <c r="BT133" s="27"/>
      <c r="BU133" s="27"/>
      <c r="BV133" s="27"/>
      <c r="BW133" s="27"/>
      <c r="BX133" s="27"/>
      <c r="BY133" s="27"/>
      <c r="BZ133" s="27"/>
      <c r="CA133" s="27"/>
      <c r="CB133" s="27"/>
      <c r="CC133" s="27"/>
      <c r="CD133" s="27"/>
      <c r="CE133" s="27"/>
      <c r="CF133" s="27"/>
      <c r="CG133" s="27"/>
      <c r="CH133" s="27"/>
      <c r="CI133" s="27"/>
      <c r="CJ133" s="27"/>
      <c r="CK133" s="27"/>
      <c r="CL133" s="27"/>
      <c r="CM133" s="27"/>
      <c r="CN133" s="27"/>
      <c r="CO133" s="27"/>
      <c r="CP133" s="27"/>
      <c r="CQ133" s="27"/>
      <c r="CR133" s="27"/>
      <c r="CS133" s="27"/>
      <c r="CT133" s="27"/>
      <c r="CU133" s="27"/>
      <c r="CV133" s="27"/>
      <c r="CW133" s="27"/>
      <c r="CX133" s="27"/>
      <c r="CY133" s="27"/>
      <c r="CZ133" s="27"/>
      <c r="DA133" s="27"/>
      <c r="DB133" s="27"/>
      <c r="DC133" s="27"/>
      <c r="DD133" s="27"/>
      <c r="DE133" s="27"/>
      <c r="DF133" s="27"/>
      <c r="DG133" s="27"/>
      <c r="DH133" s="27"/>
      <c r="DI133" s="27"/>
      <c r="DJ133" s="27"/>
      <c r="DK133" s="27"/>
      <c r="DL133" s="27"/>
      <c r="DM133" s="27"/>
      <c r="DN133" s="27"/>
      <c r="DO133" s="27"/>
      <c r="DP133" s="27"/>
      <c r="DQ133" s="27"/>
      <c r="DR133" s="27"/>
      <c r="DS133" s="27"/>
      <c r="DT133" s="27"/>
    </row>
    <row r="134" spans="1:124" s="2" customFormat="1" ht="14.5" x14ac:dyDescent="0.35">
      <c r="A134" s="47" t="s">
        <v>307</v>
      </c>
      <c r="B134" s="8">
        <f>+MIN(B133,B34)</f>
        <v>1</v>
      </c>
      <c r="C134" s="8">
        <f>+MIN(C133,C34)</f>
        <v>19.576530944586199</v>
      </c>
      <c r="D134" s="8">
        <f t="shared" ref="D134:BI134" si="33">+MIN(D133,D34)</f>
        <v>23.413301875967601</v>
      </c>
      <c r="E134" s="8">
        <f t="shared" si="33"/>
        <v>27.775815876279101</v>
      </c>
      <c r="F134" s="8">
        <f t="shared" si="33"/>
        <v>32.687340620286292</v>
      </c>
      <c r="G134" s="8">
        <f t="shared" si="33"/>
        <v>38.170058511217498</v>
      </c>
      <c r="H134" s="8">
        <f t="shared" si="33"/>
        <v>44.24465052434801</v>
      </c>
      <c r="I134" s="8">
        <f t="shared" si="33"/>
        <v>50.929953451655209</v>
      </c>
      <c r="J134" s="8">
        <f t="shared" si="33"/>
        <v>58.242666447639884</v>
      </c>
      <c r="K134" s="8">
        <f t="shared" si="33"/>
        <v>66.197091955148906</v>
      </c>
      <c r="L134" s="8">
        <f t="shared" si="33"/>
        <v>74.804900884053694</v>
      </c>
      <c r="M134" s="8">
        <f t="shared" si="33"/>
        <v>84.074913916668507</v>
      </c>
      <c r="N134" s="8">
        <f t="shared" si="33"/>
        <v>94.012891295836681</v>
      </c>
      <c r="O134" s="8">
        <f t="shared" si="33"/>
        <v>104.621324497643</v>
      </c>
      <c r="P134" s="8">
        <f t="shared" si="33"/>
        <v>115.89922782571999</v>
      </c>
      <c r="Q134" s="8">
        <f t="shared" si="33"/>
        <v>127.841942781507</v>
      </c>
      <c r="R134" s="8">
        <f t="shared" si="33"/>
        <v>140.44100507121399</v>
      </c>
      <c r="S134" s="8">
        <f t="shared" si="33"/>
        <v>153.684207332759</v>
      </c>
      <c r="T134" s="8">
        <f t="shared" si="33"/>
        <v>167.556166407707</v>
      </c>
      <c r="U134" s="8">
        <f t="shared" si="33"/>
        <v>182.045524906559</v>
      </c>
      <c r="V134" s="8">
        <f t="shared" si="33"/>
        <v>197.12865690487601</v>
      </c>
      <c r="W134" s="8">
        <f t="shared" si="33"/>
        <v>202.14144794548599</v>
      </c>
      <c r="X134" s="8">
        <f t="shared" si="33"/>
        <v>197.08791174684899</v>
      </c>
      <c r="Y134" s="8">
        <f t="shared" si="33"/>
        <v>192.16071395317775</v>
      </c>
      <c r="Z134" s="8">
        <f t="shared" si="33"/>
        <v>187.356696104348</v>
      </c>
      <c r="AA134" s="8">
        <f t="shared" si="33"/>
        <v>182.67277870173959</v>
      </c>
      <c r="AB134" s="8">
        <f t="shared" si="33"/>
        <v>178.10595923419601</v>
      </c>
      <c r="AC134" s="8">
        <f t="shared" si="33"/>
        <v>173.653310253341</v>
      </c>
      <c r="AD134" s="8">
        <f t="shared" si="33"/>
        <v>169.31197749700763</v>
      </c>
      <c r="AE134" s="8">
        <f t="shared" si="33"/>
        <v>165.07917805958201</v>
      </c>
      <c r="AF134" s="8">
        <f t="shared" si="33"/>
        <v>160.95219860809286</v>
      </c>
      <c r="AG134" s="8">
        <f t="shared" si="33"/>
        <v>156.92839364289054</v>
      </c>
      <c r="AH134" s="8">
        <f t="shared" si="33"/>
        <v>153.00518380181799</v>
      </c>
      <c r="AI134" s="8">
        <f t="shared" si="33"/>
        <v>149.18005420677281</v>
      </c>
      <c r="AJ134" s="8">
        <f t="shared" si="33"/>
        <v>145.45055285160348</v>
      </c>
      <c r="AK134" s="8">
        <f t="shared" si="33"/>
        <v>141.81428903031301</v>
      </c>
      <c r="AL134" s="8">
        <f t="shared" si="33"/>
        <v>138.26893180455554</v>
      </c>
      <c r="AM134" s="8">
        <f t="shared" si="33"/>
        <v>134.81220850944163</v>
      </c>
      <c r="AN134" s="8">
        <f t="shared" si="33"/>
        <v>131.44190329670559</v>
      </c>
      <c r="AO134" s="8">
        <f t="shared" si="33"/>
        <v>128.15585571428795</v>
      </c>
      <c r="AP134" s="8">
        <f t="shared" si="33"/>
        <v>124.95195932143075</v>
      </c>
      <c r="AQ134" s="8">
        <f t="shared" si="33"/>
        <v>121.82816033839498</v>
      </c>
      <c r="AR134" s="8">
        <f t="shared" si="33"/>
        <v>118.782456329935</v>
      </c>
      <c r="AS134" s="8">
        <f t="shared" si="33"/>
        <v>115.81289492168672</v>
      </c>
      <c r="AT134" s="8">
        <f t="shared" si="33"/>
        <v>112.91757254864454</v>
      </c>
      <c r="AU134" s="8">
        <f t="shared" si="33"/>
        <v>110.094633234928</v>
      </c>
      <c r="AV134" s="8">
        <f t="shared" si="33"/>
        <v>107.34226740405499</v>
      </c>
      <c r="AW134" s="8">
        <f t="shared" si="33"/>
        <v>104.65871071895383</v>
      </c>
      <c r="AX134" s="8">
        <f t="shared" si="33"/>
        <v>102.04224295097998</v>
      </c>
      <c r="AY134" s="8">
        <f t="shared" si="33"/>
        <v>99.491186877205479</v>
      </c>
      <c r="AZ134" s="8">
        <f t="shared" si="33"/>
        <v>97.00390720527534</v>
      </c>
      <c r="BA134" s="8">
        <f t="shared" si="33"/>
        <v>94.578809525143456</v>
      </c>
      <c r="BB134" s="8">
        <f t="shared" si="33"/>
        <v>92.214339287014866</v>
      </c>
      <c r="BC134" s="8">
        <f t="shared" si="33"/>
        <v>89.908980804839487</v>
      </c>
      <c r="BD134" s="8">
        <f t="shared" si="33"/>
        <v>87.661256284718505</v>
      </c>
      <c r="BE134" s="8">
        <f t="shared" si="33"/>
        <v>85.469724877600541</v>
      </c>
      <c r="BF134" s="8">
        <f t="shared" si="33"/>
        <v>83.332981755660526</v>
      </c>
      <c r="BG134" s="8">
        <f t="shared" si="33"/>
        <v>67.605444568213102</v>
      </c>
      <c r="BH134" s="8">
        <f t="shared" si="33"/>
        <v>25.758319810008398</v>
      </c>
      <c r="BI134" s="8">
        <f t="shared" si="33"/>
        <v>1.9401297213399001E-2</v>
      </c>
      <c r="BJ134" s="8"/>
      <c r="BK134" s="8"/>
      <c r="BL134" s="8"/>
      <c r="BM134" s="8"/>
      <c r="BN134" s="8"/>
      <c r="BO134" s="8"/>
      <c r="BP134" s="8"/>
      <c r="BQ134" s="8"/>
      <c r="BR134" s="8"/>
      <c r="BS134" s="8"/>
      <c r="BT134" s="8"/>
      <c r="BU134" s="8"/>
      <c r="BV134" s="8"/>
      <c r="BW134" s="8"/>
      <c r="BX134" s="8"/>
      <c r="BY134" s="8"/>
      <c r="BZ134" s="8"/>
      <c r="CA134" s="8"/>
      <c r="CB134" s="8"/>
      <c r="CC134" s="8"/>
      <c r="CD134" s="8"/>
      <c r="CE134" s="8"/>
      <c r="CF134" s="8"/>
      <c r="CG134" s="8"/>
      <c r="CH134" s="8"/>
      <c r="CI134" s="8"/>
      <c r="CJ134" s="8"/>
      <c r="CK134" s="8"/>
      <c r="CL134" s="8"/>
      <c r="CM134" s="8"/>
      <c r="CN134" s="8"/>
      <c r="CO134" s="8"/>
      <c r="CP134" s="8"/>
      <c r="CQ134" s="8"/>
      <c r="CR134" s="8"/>
      <c r="CS134" s="8"/>
      <c r="CT134" s="8"/>
      <c r="CU134" s="8"/>
      <c r="CV134" s="8"/>
      <c r="CW134" s="8"/>
      <c r="CX134" s="8"/>
      <c r="CY134" s="8"/>
      <c r="CZ134" s="8"/>
      <c r="DA134" s="8"/>
      <c r="DB134" s="8"/>
      <c r="DC134" s="8"/>
      <c r="DD134" s="8"/>
      <c r="DE134" s="8"/>
      <c r="DF134" s="8"/>
      <c r="DG134" s="8"/>
      <c r="DH134" s="8"/>
      <c r="DI134" s="8"/>
      <c r="DJ134" s="8"/>
      <c r="DK134" s="8"/>
      <c r="DL134" s="8"/>
      <c r="DM134" s="8"/>
      <c r="DN134" s="8"/>
      <c r="DO134" s="8"/>
      <c r="DP134" s="8"/>
      <c r="DQ134" s="8"/>
      <c r="DR134" s="8"/>
      <c r="DS134" s="8"/>
      <c r="DT134" s="8"/>
    </row>
    <row r="135" spans="1:124" s="2" customFormat="1" ht="18" customHeight="1" x14ac:dyDescent="0.35">
      <c r="A135" s="13" t="s">
        <v>305</v>
      </c>
      <c r="B135" s="8">
        <f t="shared" ref="B135:BI135" si="34">+B133*3.666</f>
        <v>3.6659999999999999</v>
      </c>
      <c r="C135" s="8">
        <f t="shared" si="34"/>
        <v>71.767562442853006</v>
      </c>
      <c r="D135" s="8">
        <f t="shared" si="34"/>
        <v>85.833164677297219</v>
      </c>
      <c r="E135" s="8">
        <f t="shared" si="34"/>
        <v>101.82614100243919</v>
      </c>
      <c r="F135" s="8">
        <f t="shared" si="34"/>
        <v>119.83179071396954</v>
      </c>
      <c r="G135" s="8">
        <f t="shared" si="34"/>
        <v>139.93143450212335</v>
      </c>
      <c r="H135" s="8">
        <f t="shared" si="34"/>
        <v>162.2008888222598</v>
      </c>
      <c r="I135" s="8">
        <f t="shared" si="34"/>
        <v>186.70920935376799</v>
      </c>
      <c r="J135" s="8">
        <f t="shared" si="34"/>
        <v>213.5176151970478</v>
      </c>
      <c r="K135" s="8">
        <f t="shared" si="34"/>
        <v>242.67853910757589</v>
      </c>
      <c r="L135" s="8">
        <f t="shared" si="34"/>
        <v>274.23476664094085</v>
      </c>
      <c r="M135" s="8">
        <f t="shared" si="34"/>
        <v>308.21863441850672</v>
      </c>
      <c r="N135" s="8">
        <f t="shared" si="34"/>
        <v>344.65125949053726</v>
      </c>
      <c r="O135" s="8">
        <f t="shared" si="34"/>
        <v>383.54177560835922</v>
      </c>
      <c r="P135" s="8">
        <f t="shared" si="34"/>
        <v>424.88656920908949</v>
      </c>
      <c r="Q135" s="8">
        <f t="shared" si="34"/>
        <v>468.66856223700466</v>
      </c>
      <c r="R135" s="8">
        <f t="shared" si="34"/>
        <v>514.85672459107047</v>
      </c>
      <c r="S135" s="8">
        <f t="shared" si="34"/>
        <v>563.40630408189452</v>
      </c>
      <c r="T135" s="8">
        <f t="shared" si="34"/>
        <v>614.26090605065383</v>
      </c>
      <c r="U135" s="8">
        <f t="shared" si="34"/>
        <v>667.37889430744531</v>
      </c>
      <c r="V135" s="8">
        <f t="shared" si="34"/>
        <v>722.67365621327542</v>
      </c>
      <c r="W135" s="8">
        <f t="shared" si="34"/>
        <v>741.05054816815164</v>
      </c>
      <c r="X135" s="8">
        <f t="shared" si="34"/>
        <v>722.52428446394833</v>
      </c>
      <c r="Y135" s="8">
        <f t="shared" si="34"/>
        <v>704.46117735235055</v>
      </c>
      <c r="Z135" s="8">
        <f t="shared" si="34"/>
        <v>686.84964791853974</v>
      </c>
      <c r="AA135" s="8">
        <f t="shared" si="34"/>
        <v>669.67840672057878</v>
      </c>
      <c r="AB135" s="8">
        <f t="shared" si="34"/>
        <v>652.93644655256253</v>
      </c>
      <c r="AC135" s="8">
        <f t="shared" si="34"/>
        <v>636.61303538874813</v>
      </c>
      <c r="AD135" s="8">
        <f t="shared" si="34"/>
        <v>620.69770950403131</v>
      </c>
      <c r="AE135" s="8">
        <f t="shared" si="34"/>
        <v>605.18026676642762</v>
      </c>
      <c r="AF135" s="8">
        <f t="shared" si="34"/>
        <v>590.05076009726895</v>
      </c>
      <c r="AG135" s="8">
        <f t="shared" si="34"/>
        <v>575.29949109483834</v>
      </c>
      <c r="AH135" s="8">
        <f t="shared" si="34"/>
        <v>560.91700381746477</v>
      </c>
      <c r="AI135" s="8">
        <f t="shared" si="34"/>
        <v>546.8940787220298</v>
      </c>
      <c r="AJ135" s="8">
        <f t="shared" si="34"/>
        <v>533.22172675398019</v>
      </c>
      <c r="AK135" s="8">
        <f t="shared" si="34"/>
        <v>519.89118358512746</v>
      </c>
      <c r="AL135" s="8">
        <f t="shared" si="34"/>
        <v>506.89390399550223</v>
      </c>
      <c r="AM135" s="8">
        <f t="shared" si="34"/>
        <v>494.22155639561436</v>
      </c>
      <c r="AN135" s="8">
        <f t="shared" si="34"/>
        <v>481.86601748572411</v>
      </c>
      <c r="AO135" s="8">
        <f t="shared" si="34"/>
        <v>469.81936704857981</v>
      </c>
      <c r="AP135" s="8">
        <f t="shared" si="34"/>
        <v>458.07388287236603</v>
      </c>
      <c r="AQ135" s="8">
        <f t="shared" si="34"/>
        <v>446.62203580055603</v>
      </c>
      <c r="AR135" s="8">
        <f t="shared" si="34"/>
        <v>435.45648490554169</v>
      </c>
      <c r="AS135" s="8">
        <f t="shared" si="34"/>
        <v>424.57007278290456</v>
      </c>
      <c r="AT135" s="8">
        <f t="shared" si="34"/>
        <v>413.95582096333254</v>
      </c>
      <c r="AU135" s="8">
        <f t="shared" si="34"/>
        <v>403.60692543924603</v>
      </c>
      <c r="AV135" s="8">
        <f t="shared" si="34"/>
        <v>393.5167523032656</v>
      </c>
      <c r="AW135" s="8">
        <f t="shared" si="34"/>
        <v>383.67883349568535</v>
      </c>
      <c r="AX135" s="8">
        <f t="shared" si="34"/>
        <v>374.08686265829266</v>
      </c>
      <c r="AY135" s="8">
        <f t="shared" si="34"/>
        <v>364.73469109183577</v>
      </c>
      <c r="AZ135" s="8">
        <f t="shared" si="34"/>
        <v>355.61632381453961</v>
      </c>
      <c r="BA135" s="8">
        <f t="shared" si="34"/>
        <v>346.72591571917604</v>
      </c>
      <c r="BB135" s="8">
        <f t="shared" si="34"/>
        <v>338.0577678261966</v>
      </c>
      <c r="BC135" s="8">
        <f t="shared" si="34"/>
        <v>329.60632363054162</v>
      </c>
      <c r="BD135" s="8">
        <f t="shared" si="34"/>
        <v>321.36616553977842</v>
      </c>
      <c r="BE135" s="8">
        <f t="shared" si="34"/>
        <v>313.33201140128381</v>
      </c>
      <c r="BF135" s="8">
        <f t="shared" si="34"/>
        <v>305.49871111625174</v>
      </c>
      <c r="BG135" s="8">
        <f t="shared" si="34"/>
        <v>247.84155978706923</v>
      </c>
      <c r="BH135" s="8">
        <f t="shared" si="34"/>
        <v>94.430000423490782</v>
      </c>
      <c r="BI135" s="8">
        <f t="shared" si="34"/>
        <v>7.112515558432074E-2</v>
      </c>
      <c r="BJ135" s="8"/>
      <c r="BK135" s="8"/>
      <c r="BL135" s="8"/>
      <c r="BM135" s="8"/>
      <c r="BN135" s="8"/>
      <c r="BO135" s="8"/>
      <c r="BP135" s="8"/>
      <c r="BQ135" s="8"/>
      <c r="BR135" s="8"/>
      <c r="BS135" s="8"/>
      <c r="BT135" s="8"/>
      <c r="BU135" s="8"/>
      <c r="BV135" s="8"/>
      <c r="BW135" s="8"/>
      <c r="BX135" s="8"/>
      <c r="BY135" s="8"/>
      <c r="BZ135" s="8"/>
      <c r="CA135" s="8"/>
      <c r="CB135" s="8"/>
      <c r="CC135" s="8"/>
      <c r="CD135" s="8"/>
      <c r="CE135" s="8"/>
      <c r="CF135" s="8"/>
      <c r="CG135" s="8"/>
      <c r="CH135" s="8"/>
      <c r="CI135" s="8"/>
      <c r="CJ135" s="8"/>
      <c r="CK135" s="8"/>
      <c r="CL135" s="8"/>
      <c r="CM135" s="8"/>
      <c r="CN135" s="8"/>
      <c r="CO135" s="8"/>
      <c r="CP135" s="8"/>
      <c r="CQ135" s="8"/>
      <c r="CR135" s="8"/>
      <c r="CS135" s="8"/>
      <c r="CT135" s="8"/>
      <c r="CU135" s="8"/>
      <c r="CV135" s="8"/>
      <c r="CW135" s="8"/>
      <c r="CX135" s="8"/>
      <c r="CY135" s="8"/>
      <c r="CZ135" s="8"/>
      <c r="DA135" s="8"/>
      <c r="DB135" s="8"/>
      <c r="DC135" s="8"/>
      <c r="DD135" s="8"/>
      <c r="DE135" s="8"/>
      <c r="DF135" s="8"/>
      <c r="DG135" s="8"/>
      <c r="DH135" s="8"/>
      <c r="DI135" s="8"/>
      <c r="DJ135" s="8"/>
      <c r="DK135" s="8"/>
      <c r="DL135" s="8"/>
      <c r="DM135" s="8"/>
      <c r="DN135" s="8"/>
      <c r="DO135" s="8"/>
      <c r="DP135" s="8"/>
      <c r="DQ135" s="8"/>
      <c r="DR135" s="8"/>
      <c r="DS135" s="8"/>
      <c r="DT135" s="8"/>
    </row>
    <row r="136" spans="1:124" s="2" customFormat="1" ht="0.65" customHeight="1" x14ac:dyDescent="0.35">
      <c r="A136" s="13"/>
      <c r="B136" s="8"/>
    </row>
    <row r="137" spans="1:124" s="48" customFormat="1" ht="16.75" customHeight="1" x14ac:dyDescent="0.35">
      <c r="A137" s="13" t="s">
        <v>303</v>
      </c>
      <c r="B137" s="2">
        <f t="shared" ref="B137:BI137" si="35">+B139*B47</f>
        <v>3.8976322961607419E-2</v>
      </c>
      <c r="C137" s="2">
        <f t="shared" si="35"/>
        <v>0.20631954723585649</v>
      </c>
      <c r="D137" s="2">
        <f t="shared" si="35"/>
        <v>0.23111628628713177</v>
      </c>
      <c r="E137" s="2">
        <f t="shared" si="35"/>
        <v>0.25772920286418555</v>
      </c>
      <c r="F137" s="2">
        <f t="shared" si="35"/>
        <v>0.28612581733196923</v>
      </c>
      <c r="G137" s="2">
        <f t="shared" si="35"/>
        <v>0.31628493214709436</v>
      </c>
      <c r="H137" s="2">
        <f t="shared" si="35"/>
        <v>0.34819236203426607</v>
      </c>
      <c r="I137" s="2">
        <f t="shared" si="35"/>
        <v>0.38183803071994732</v>
      </c>
      <c r="J137" s="2">
        <f t="shared" si="35"/>
        <v>0.41721395178748272</v>
      </c>
      <c r="K137" s="2">
        <f t="shared" si="35"/>
        <v>0.45431278607069059</v>
      </c>
      <c r="L137" s="2">
        <f t="shared" si="35"/>
        <v>0.49312677591932436</v>
      </c>
      <c r="M137" s="2">
        <f t="shared" si="35"/>
        <v>0.53364692212679776</v>
      </c>
      <c r="N137" s="2">
        <f t="shared" si="35"/>
        <v>0.57586230947273009</v>
      </c>
      <c r="O137" s="2">
        <f t="shared" si="35"/>
        <v>0.61975951629495873</v>
      </c>
      <c r="P137" s="2">
        <f t="shared" si="35"/>
        <v>0.66532207514353348</v>
      </c>
      <c r="Q137" s="2">
        <f t="shared" si="35"/>
        <v>0.71253000542426204</v>
      </c>
      <c r="R137" s="2">
        <f t="shared" si="35"/>
        <v>0.76135954590401711</v>
      </c>
      <c r="S137" s="2">
        <f t="shared" si="35"/>
        <v>0.81178343399853004</v>
      </c>
      <c r="T137" s="2">
        <f t="shared" si="35"/>
        <v>0.86377252029964213</v>
      </c>
      <c r="U137" s="2">
        <f t="shared" si="35"/>
        <v>0.91731567506583034</v>
      </c>
      <c r="V137" s="2">
        <f t="shared" si="35"/>
        <v>0.97237275394639278</v>
      </c>
      <c r="W137" s="2">
        <f t="shared" si="35"/>
        <v>0.99999999999999967</v>
      </c>
      <c r="X137" s="2">
        <f t="shared" si="35"/>
        <v>1</v>
      </c>
      <c r="Y137" s="2">
        <f t="shared" si="35"/>
        <v>1</v>
      </c>
      <c r="Z137" s="2">
        <f t="shared" si="35"/>
        <v>0.99999999999999911</v>
      </c>
      <c r="AA137" s="2">
        <f t="shared" si="35"/>
        <v>1</v>
      </c>
      <c r="AB137" s="2">
        <f t="shared" si="35"/>
        <v>0.99999999999999978</v>
      </c>
      <c r="AC137" s="2">
        <f t="shared" si="35"/>
        <v>0.99999999999999944</v>
      </c>
      <c r="AD137" s="2">
        <f t="shared" si="35"/>
        <v>1</v>
      </c>
      <c r="AE137" s="2">
        <f t="shared" si="35"/>
        <v>0.99999999999999856</v>
      </c>
      <c r="AF137" s="2">
        <f t="shared" si="35"/>
        <v>1</v>
      </c>
      <c r="AG137" s="2">
        <f t="shared" si="35"/>
        <v>1</v>
      </c>
      <c r="AH137" s="2">
        <f t="shared" si="35"/>
        <v>0.999999999999999</v>
      </c>
      <c r="AI137" s="2">
        <f t="shared" si="35"/>
        <v>1</v>
      </c>
      <c r="AJ137" s="2">
        <f t="shared" si="35"/>
        <v>1</v>
      </c>
      <c r="AK137" s="2">
        <f t="shared" si="35"/>
        <v>0.99999999999999856</v>
      </c>
      <c r="AL137" s="2">
        <f t="shared" si="35"/>
        <v>1</v>
      </c>
      <c r="AM137" s="2">
        <f t="shared" si="35"/>
        <v>1</v>
      </c>
      <c r="AN137" s="2">
        <f t="shared" si="35"/>
        <v>1</v>
      </c>
      <c r="AO137" s="2">
        <f t="shared" si="35"/>
        <v>1</v>
      </c>
      <c r="AP137" s="2">
        <f t="shared" si="35"/>
        <v>1</v>
      </c>
      <c r="AQ137" s="2">
        <f t="shared" si="35"/>
        <v>1</v>
      </c>
      <c r="AR137" s="2">
        <f t="shared" si="35"/>
        <v>0.99999999999999956</v>
      </c>
      <c r="AS137" s="2">
        <f t="shared" si="35"/>
        <v>1</v>
      </c>
      <c r="AT137" s="2">
        <f t="shared" si="35"/>
        <v>1</v>
      </c>
      <c r="AU137" s="2">
        <f t="shared" si="35"/>
        <v>0.99999999999999789</v>
      </c>
      <c r="AV137" s="2">
        <f t="shared" si="35"/>
        <v>0.99999999999999889</v>
      </c>
      <c r="AW137" s="2">
        <f t="shared" si="35"/>
        <v>1</v>
      </c>
      <c r="AX137" s="2">
        <f t="shared" si="35"/>
        <v>1</v>
      </c>
      <c r="AY137" s="2">
        <f t="shared" si="35"/>
        <v>1</v>
      </c>
      <c r="AZ137" s="2">
        <f t="shared" si="35"/>
        <v>1</v>
      </c>
      <c r="BA137" s="2">
        <f t="shared" si="35"/>
        <v>1</v>
      </c>
      <c r="BB137" s="2">
        <f t="shared" si="35"/>
        <v>1</v>
      </c>
      <c r="BC137" s="2">
        <f t="shared" si="35"/>
        <v>1</v>
      </c>
      <c r="BD137" s="2">
        <f t="shared" si="35"/>
        <v>1</v>
      </c>
      <c r="BE137" s="2">
        <f t="shared" si="35"/>
        <v>1</v>
      </c>
      <c r="BF137" s="2">
        <f t="shared" si="35"/>
        <v>1</v>
      </c>
      <c r="BG137" s="2">
        <f t="shared" si="35"/>
        <v>0.90291011809974087</v>
      </c>
      <c r="BH137" s="2">
        <f t="shared" si="35"/>
        <v>0.53572221326966063</v>
      </c>
      <c r="BI137" s="2">
        <f t="shared" si="35"/>
        <v>9.9999999999999516E-3</v>
      </c>
      <c r="BJ137" s="2"/>
      <c r="BK137" s="2"/>
      <c r="BL137" s="2"/>
      <c r="BM137" s="2"/>
      <c r="BN137" s="2"/>
      <c r="BO137" s="2"/>
      <c r="BP137" s="2"/>
      <c r="BQ137" s="2"/>
      <c r="BR137" s="2"/>
      <c r="BS137" s="2"/>
      <c r="BT137" s="2"/>
      <c r="BU137" s="2"/>
      <c r="BV137" s="2"/>
      <c r="BW137" s="2"/>
      <c r="BX137" s="2"/>
      <c r="BY137" s="2"/>
      <c r="BZ137" s="2"/>
      <c r="CA137" s="2"/>
      <c r="CB137" s="2"/>
      <c r="CC137" s="2"/>
      <c r="CD137" s="2"/>
      <c r="CE137" s="2"/>
      <c r="CF137" s="2"/>
      <c r="CG137" s="2"/>
      <c r="CH137" s="2"/>
      <c r="CI137" s="2"/>
      <c r="CJ137" s="2"/>
      <c r="CK137" s="2"/>
      <c r="CL137" s="2"/>
      <c r="CM137" s="2"/>
      <c r="CN137" s="2"/>
      <c r="CO137" s="2"/>
      <c r="CP137" s="2"/>
      <c r="CQ137" s="2"/>
      <c r="CR137" s="2"/>
      <c r="CS137" s="2"/>
      <c r="CT137" s="2"/>
      <c r="CU137" s="2"/>
      <c r="CV137" s="2"/>
      <c r="CW137" s="2"/>
      <c r="CX137" s="2"/>
      <c r="CY137" s="2"/>
      <c r="CZ137" s="2"/>
      <c r="DA137" s="2"/>
      <c r="DB137" s="2"/>
      <c r="DC137" s="2"/>
      <c r="DD137" s="2"/>
      <c r="DE137" s="2"/>
      <c r="DF137" s="2"/>
      <c r="DG137" s="2"/>
      <c r="DH137" s="2"/>
      <c r="DI137" s="2"/>
      <c r="DJ137" s="2"/>
      <c r="DK137" s="2"/>
      <c r="DL137" s="2"/>
      <c r="DM137" s="2"/>
      <c r="DN137" s="2"/>
      <c r="DO137" s="2"/>
      <c r="DP137" s="2"/>
      <c r="DQ137" s="2"/>
      <c r="DR137" s="2"/>
      <c r="DS137" s="2"/>
      <c r="DT137" s="2"/>
    </row>
    <row r="138" spans="1:124" s="48" customFormat="1" ht="18" hidden="1" customHeight="1" x14ac:dyDescent="0.35">
      <c r="A138" s="13"/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  <c r="AA138" s="2"/>
      <c r="AB138" s="2"/>
      <c r="AC138" s="2"/>
      <c r="AD138" s="2"/>
      <c r="AE138" s="2"/>
      <c r="AF138" s="2"/>
      <c r="AG138" s="2"/>
      <c r="AH138" s="2"/>
      <c r="AI138" s="2"/>
      <c r="AJ138" s="2"/>
      <c r="AK138" s="2"/>
      <c r="AL138" s="2"/>
      <c r="AM138" s="2"/>
      <c r="AN138" s="2"/>
      <c r="AO138" s="2"/>
      <c r="AP138" s="2"/>
      <c r="AQ138" s="2"/>
      <c r="AR138" s="2"/>
      <c r="AS138" s="2"/>
      <c r="AT138" s="2"/>
      <c r="AU138" s="2"/>
      <c r="AV138" s="2"/>
      <c r="AW138" s="2"/>
      <c r="AX138" s="2"/>
      <c r="AY138" s="2"/>
      <c r="AZ138" s="2"/>
      <c r="BA138" s="2"/>
      <c r="BB138" s="2"/>
      <c r="BC138" s="2"/>
      <c r="BD138" s="2"/>
      <c r="BE138" s="2"/>
      <c r="BF138" s="2"/>
      <c r="BG138" s="2"/>
      <c r="BH138" s="2"/>
      <c r="BI138" s="2"/>
      <c r="BJ138" s="2"/>
      <c r="BK138" s="2"/>
      <c r="BL138" s="2"/>
      <c r="BM138" s="2"/>
      <c r="BN138" s="2"/>
      <c r="BO138" s="2"/>
      <c r="BP138" s="2"/>
      <c r="BQ138" s="2"/>
      <c r="BR138" s="2"/>
      <c r="BS138" s="2"/>
      <c r="BT138" s="2"/>
      <c r="BU138" s="2"/>
      <c r="BV138" s="2"/>
      <c r="BW138" s="2"/>
      <c r="BX138" s="2"/>
      <c r="BY138" s="2"/>
      <c r="BZ138" s="2"/>
      <c r="CA138" s="2"/>
      <c r="CB138" s="2"/>
      <c r="CC138" s="2"/>
      <c r="CD138" s="2"/>
      <c r="CE138" s="2"/>
      <c r="CF138" s="2"/>
      <c r="CG138" s="2"/>
      <c r="CH138" s="2"/>
      <c r="CI138" s="2"/>
      <c r="CJ138" s="2"/>
      <c r="CK138" s="2"/>
      <c r="CL138" s="2"/>
      <c r="CM138" s="2"/>
      <c r="CN138" s="2"/>
      <c r="CO138" s="2"/>
      <c r="CP138" s="2"/>
      <c r="CQ138" s="2"/>
      <c r="CR138" s="2"/>
      <c r="CS138" s="2"/>
      <c r="CT138" s="2"/>
      <c r="CU138" s="2"/>
      <c r="CV138" s="2"/>
      <c r="CW138" s="2"/>
      <c r="CX138" s="2"/>
      <c r="CY138" s="2"/>
      <c r="CZ138" s="2"/>
      <c r="DA138" s="2"/>
      <c r="DB138" s="2"/>
      <c r="DC138" s="2"/>
      <c r="DD138" s="2"/>
      <c r="DE138" s="2"/>
      <c r="DF138" s="2"/>
      <c r="DG138" s="2"/>
      <c r="DH138" s="2"/>
      <c r="DI138" s="2"/>
      <c r="DJ138" s="2"/>
      <c r="DK138" s="2"/>
      <c r="DL138" s="2"/>
      <c r="DM138" s="2"/>
      <c r="DN138" s="2"/>
      <c r="DO138" s="2"/>
      <c r="DP138" s="2"/>
      <c r="DQ138" s="2"/>
      <c r="DR138" s="2"/>
      <c r="DS138" s="2"/>
      <c r="DT138" s="2"/>
    </row>
    <row r="139" spans="1:124" s="48" customFormat="1" ht="18" customHeight="1" x14ac:dyDescent="0.35">
      <c r="A139" s="13" t="s">
        <v>304</v>
      </c>
      <c r="B139" s="2">
        <f>+MIN(((B134)/(B$34))^(1/($B$39-1)),Parameters!$B$42)</f>
        <v>3.8976322961607419E-2</v>
      </c>
      <c r="C139" s="2">
        <f>+MIN(((C134)/(C$34))^(1/($B$39-1)),Parameters!$B$42)</f>
        <v>0.20631954723585649</v>
      </c>
      <c r="D139" s="2">
        <f>+MIN(((D134)/(D$34))^(1/($B$39-1)),Parameters!$B$42)</f>
        <v>0.23111628628713177</v>
      </c>
      <c r="E139" s="2">
        <f>+MIN(((E134)/(E$34))^(1/($B$39-1)),Parameters!$B$42)</f>
        <v>0.25772920286418555</v>
      </c>
      <c r="F139" s="2">
        <f>+MIN(((F134)/(F$34))^(1/($B$39-1)),Parameters!$B$42)</f>
        <v>0.28612581733196923</v>
      </c>
      <c r="G139" s="2">
        <f>+MIN(((G134)/(G$34))^(1/($B$39-1)),Parameters!$B$42)</f>
        <v>0.31628493214709436</v>
      </c>
      <c r="H139" s="2">
        <f>+MIN(((H134)/(H$34))^(1/($B$39-1)),Parameters!$B$42)</f>
        <v>0.34819236203426607</v>
      </c>
      <c r="I139" s="2">
        <f>+MIN(((I134)/(I$34))^(1/($B$39-1)),Parameters!$B$42)</f>
        <v>0.38183803071994732</v>
      </c>
      <c r="J139" s="2">
        <f>+MIN(((J134)/(J$34))^(1/($B$39-1)),Parameters!$B$42)</f>
        <v>0.41721395178748272</v>
      </c>
      <c r="K139" s="2">
        <f>+MIN(((K134)/(K$34))^(1/($B$39-1)),Parameters!$B$42)</f>
        <v>0.45431278607069059</v>
      </c>
      <c r="L139" s="2">
        <f>+MIN(((L134)/(L$34))^(1/($B$39-1)),Parameters!$B$42)</f>
        <v>0.49312677591932436</v>
      </c>
      <c r="M139" s="2">
        <f>+MIN(((M134)/(M$34))^(1/($B$39-1)),Parameters!$B$42)</f>
        <v>0.53364692212679776</v>
      </c>
      <c r="N139" s="2">
        <f>+MIN(((N134)/(N$34))^(1/($B$39-1)),Parameters!$B$42)</f>
        <v>0.57586230947273009</v>
      </c>
      <c r="O139" s="2">
        <f>+MIN(((O134)/(O$34))^(1/($B$39-1)),Parameters!$B$42)</f>
        <v>0.61975951629495873</v>
      </c>
      <c r="P139" s="2">
        <f>+MIN(((P134)/(P$34))^(1/($B$39-1)),Parameters!$B$42)</f>
        <v>0.66532207514353348</v>
      </c>
      <c r="Q139" s="2">
        <f>+MIN(((Q134)/(Q$34))^(1/($B$39-1)),Parameters!$B$42)</f>
        <v>0.71253000542426204</v>
      </c>
      <c r="R139" s="2">
        <f>+MIN(((R134)/(R$34))^(1/($B$39-1)),Parameters!$B$42)</f>
        <v>0.76135954590401711</v>
      </c>
      <c r="S139" s="2">
        <f>+MIN(((S134)/(S$34))^(1/($B$39-1)),Parameters!$B$42)</f>
        <v>0.81178343399853004</v>
      </c>
      <c r="T139" s="2">
        <f>+MIN(((T134)/(T$34))^(1/($B$39-1)),Parameters!$B$42)</f>
        <v>0.86377252029964213</v>
      </c>
      <c r="U139" s="2">
        <f>+MIN(((U134)/(U$34))^(1/($B$39-1)),Parameters!$B$42)</f>
        <v>0.91731567506583034</v>
      </c>
      <c r="V139" s="2">
        <f>+MIN(((V134)/(V$34))^(1/($B$39-1)),Parameters!$B$42)</f>
        <v>0.97237275394639278</v>
      </c>
      <c r="W139" s="2">
        <f>+MIN(((W134)/(W$34))^(1/($B$39-1)),Parameters!$B$42)</f>
        <v>0.99999999999999967</v>
      </c>
      <c r="X139" s="2">
        <f>+MIN(((X134)/(X$34))^(1/($B$39-1)),Parameters!$B$42)</f>
        <v>1</v>
      </c>
      <c r="Y139" s="2">
        <f>+MIN(((Y134)/(Y$34))^(1/($B$39-1)),Parameters!$B$42)</f>
        <v>1</v>
      </c>
      <c r="Z139" s="2">
        <f>+MIN(((Z134)/(Z$34))^(1/($B$39-1)),Parameters!$B$42)</f>
        <v>0.99999999999999911</v>
      </c>
      <c r="AA139" s="2">
        <f>+MIN(((AA134)/(AA$34))^(1/($B$39-1)),Parameters!$B$42)</f>
        <v>1</v>
      </c>
      <c r="AB139" s="2">
        <f>+MIN(((AB134)/(AB$34))^(1/($B$39-1)),Parameters!$B$42)</f>
        <v>0.99999999999999978</v>
      </c>
      <c r="AC139" s="2">
        <f>+MIN(((AC134)/(AC$34))^(1/($B$39-1)),Parameters!$B$42)</f>
        <v>0.99999999999999944</v>
      </c>
      <c r="AD139" s="2">
        <f>+MIN(((AD134)/(AD$34))^(1/($B$39-1)),Parameters!$B$42)</f>
        <v>1</v>
      </c>
      <c r="AE139" s="2">
        <f>+MIN(((AE134)/(AE$34))^(1/($B$39-1)),Parameters!$B$42)</f>
        <v>0.99999999999999856</v>
      </c>
      <c r="AF139" s="2">
        <f>+MIN(((AF134)/(AF$34))^(1/($B$39-1)),Parameters!$B$42)</f>
        <v>1</v>
      </c>
      <c r="AG139" s="2">
        <f>+MIN(((AG134)/(AG$34))^(1/($B$39-1)),Parameters!$B$42)</f>
        <v>1</v>
      </c>
      <c r="AH139" s="2">
        <f>+MIN(((AH134)/(AH$34))^(1/($B$39-1)),Parameters!$B$42)</f>
        <v>0.999999999999999</v>
      </c>
      <c r="AI139" s="2">
        <f>+MIN(((AI134)/(AI$34))^(1/($B$39-1)),Parameters!$B$42)</f>
        <v>1</v>
      </c>
      <c r="AJ139" s="2">
        <f>+MIN(((AJ134)/(AJ$34))^(1/($B$39-1)),Parameters!$B$42)</f>
        <v>1</v>
      </c>
      <c r="AK139" s="2">
        <f>+MIN(((AK134)/(AK$34))^(1/($B$39-1)),Parameters!$B$42)</f>
        <v>0.99999999999999856</v>
      </c>
      <c r="AL139" s="2">
        <f>+MIN(((AL134)/(AL$34))^(1/($B$39-1)),Parameters!$B$42)</f>
        <v>1</v>
      </c>
      <c r="AM139" s="2">
        <f>+MIN(((AM134)/(AM$34))^(1/($B$39-1)),Parameters!$B$42)</f>
        <v>1</v>
      </c>
      <c r="AN139" s="2">
        <f>+MIN(((AN134)/(AN$34))^(1/($B$39-1)),Parameters!$B$42)</f>
        <v>1</v>
      </c>
      <c r="AO139" s="2">
        <f>+MIN(((AO134)/(AO$34))^(1/($B$39-1)),Parameters!$B$42)</f>
        <v>1</v>
      </c>
      <c r="AP139" s="2">
        <f>+MIN(((AP134)/(AP$34))^(1/($B$39-1)),Parameters!$B$42)</f>
        <v>1</v>
      </c>
      <c r="AQ139" s="2">
        <f>+MIN(((AQ134)/(AQ$34))^(1/($B$39-1)),Parameters!$B$42)</f>
        <v>1</v>
      </c>
      <c r="AR139" s="2">
        <f>+MIN(((AR134)/(AR$34))^(1/($B$39-1)),Parameters!$B$42)</f>
        <v>0.99999999999999956</v>
      </c>
      <c r="AS139" s="2">
        <f>+MIN(((AS134)/(AS$34))^(1/($B$39-1)),Parameters!$B$42)</f>
        <v>1</v>
      </c>
      <c r="AT139" s="2">
        <f>+MIN(((AT134)/(AT$34))^(1/($B$39-1)),Parameters!$B$42)</f>
        <v>1</v>
      </c>
      <c r="AU139" s="2">
        <f>+MIN(((AU134)/(AU$34))^(1/($B$39-1)),Parameters!$B$42)</f>
        <v>0.99999999999999789</v>
      </c>
      <c r="AV139" s="2">
        <f>+MIN(((AV134)/(AV$34))^(1/($B$39-1)),Parameters!$B$42)</f>
        <v>0.99999999999999889</v>
      </c>
      <c r="AW139" s="2">
        <f>+MIN(((AW134)/(AW$34))^(1/($B$39-1)),Parameters!$B$42)</f>
        <v>1</v>
      </c>
      <c r="AX139" s="2">
        <f>+MIN(((AX134)/(AX$34))^(1/($B$39-1)),Parameters!$B$42)</f>
        <v>1</v>
      </c>
      <c r="AY139" s="2">
        <f>+MIN(((AY134)/(AY$34))^(1/($B$39-1)),Parameters!$B$42)</f>
        <v>1</v>
      </c>
      <c r="AZ139" s="2">
        <f>+MIN(((AZ134)/(AZ$34))^(1/($B$39-1)),Parameters!$B$42)</f>
        <v>1</v>
      </c>
      <c r="BA139" s="2">
        <f>+MIN(((BA134)/(BA$34))^(1/($B$39-1)),Parameters!$B$42)</f>
        <v>1</v>
      </c>
      <c r="BB139" s="2">
        <f>+MIN(((BB134)/(BB$34))^(1/($B$39-1)),Parameters!$B$42)</f>
        <v>1</v>
      </c>
      <c r="BC139" s="2">
        <f>+MIN(((BC134)/(BC$34))^(1/($B$39-1)),Parameters!$B$42)</f>
        <v>1</v>
      </c>
      <c r="BD139" s="2">
        <f>+MIN(((BD134)/(BD$34))^(1/($B$39-1)),Parameters!$B$42)</f>
        <v>1</v>
      </c>
      <c r="BE139" s="2">
        <f>+MIN(((BE134)/(BE$34))^(1/($B$39-1)),Parameters!$B$42)</f>
        <v>1</v>
      </c>
      <c r="BF139" s="2">
        <f>+MIN(((BF134)/(BF$34))^(1/($B$39-1)),Parameters!$B$42)</f>
        <v>1</v>
      </c>
      <c r="BG139" s="2">
        <f>+MIN(((BG134)/(BG$34))^(1/($B$39-1)),Parameters!$B$42)</f>
        <v>0.90291011809974087</v>
      </c>
      <c r="BH139" s="2">
        <f>+MIN(((BH134)/(BH$34))^(1/($B$39-1)),Parameters!$B$42)</f>
        <v>0.53572221326966063</v>
      </c>
      <c r="BI139" s="2">
        <f>+MIN(((BI134)/(BI$34))^(1/($B$39-1)),Parameters!$B$42)</f>
        <v>9.9999999999999516E-3</v>
      </c>
      <c r="BJ139" s="2"/>
      <c r="BK139" s="2"/>
      <c r="BL139" s="2"/>
      <c r="BM139" s="2"/>
      <c r="BN139" s="2"/>
      <c r="BO139" s="2"/>
      <c r="BP139" s="2"/>
      <c r="BQ139" s="2"/>
      <c r="BR139" s="2"/>
      <c r="BS139" s="2"/>
      <c r="BT139" s="2"/>
      <c r="BU139" s="2"/>
      <c r="BV139" s="2"/>
      <c r="BW139" s="2"/>
      <c r="BX139" s="2"/>
      <c r="BY139" s="2"/>
      <c r="BZ139" s="2"/>
      <c r="CA139" s="2"/>
      <c r="CB139" s="2"/>
      <c r="CC139" s="2"/>
      <c r="CD139" s="2"/>
      <c r="CE139" s="2"/>
      <c r="CF139" s="2"/>
      <c r="CG139" s="2"/>
      <c r="CH139" s="2"/>
      <c r="CI139" s="2"/>
      <c r="CJ139" s="2"/>
      <c r="CK139" s="2"/>
      <c r="CL139" s="2"/>
      <c r="CM139" s="2"/>
      <c r="CN139" s="2"/>
      <c r="CO139" s="2"/>
      <c r="CP139" s="2"/>
      <c r="CQ139" s="2"/>
      <c r="CR139" s="2"/>
      <c r="CS139" s="2"/>
      <c r="CT139" s="2"/>
      <c r="CU139" s="2"/>
      <c r="CV139" s="2"/>
      <c r="CW139" s="2"/>
      <c r="CX139" s="2"/>
      <c r="CY139" s="2"/>
      <c r="CZ139" s="2"/>
      <c r="DA139" s="2"/>
      <c r="DB139" s="2"/>
      <c r="DC139" s="2"/>
      <c r="DD139" s="2"/>
      <c r="DE139" s="2"/>
      <c r="DF139" s="2"/>
      <c r="DG139" s="2"/>
      <c r="DH139" s="2"/>
      <c r="DI139" s="2"/>
      <c r="DJ139" s="2"/>
      <c r="DK139" s="2"/>
      <c r="DL139" s="2"/>
      <c r="DM139" s="2"/>
      <c r="DN139" s="2"/>
      <c r="DO139" s="2"/>
      <c r="DP139" s="2"/>
      <c r="DQ139" s="2"/>
      <c r="DR139" s="2"/>
      <c r="DS139" s="2"/>
      <c r="DT139" s="2"/>
    </row>
    <row r="140" spans="1:124" s="48" customFormat="1" ht="13.75" customHeight="1" x14ac:dyDescent="0.35">
      <c r="A140" s="13" t="s">
        <v>306</v>
      </c>
      <c r="B140" s="2">
        <v>1</v>
      </c>
      <c r="C140" s="2">
        <f t="shared" ref="C140:I140" si="36">+C134*C47</f>
        <v>19.576530944586199</v>
      </c>
      <c r="D140" s="2">
        <f t="shared" si="36"/>
        <v>23.413301875967601</v>
      </c>
      <c r="E140" s="2">
        <f t="shared" si="36"/>
        <v>27.775815876279101</v>
      </c>
      <c r="F140" s="2">
        <f t="shared" si="36"/>
        <v>32.687340620286292</v>
      </c>
      <c r="G140" s="2">
        <f t="shared" si="36"/>
        <v>38.170058511217498</v>
      </c>
      <c r="H140" s="2">
        <f t="shared" si="36"/>
        <v>44.24465052434801</v>
      </c>
      <c r="I140" s="2">
        <f t="shared" si="36"/>
        <v>50.929953451655209</v>
      </c>
      <c r="J140" s="2">
        <f>+J134*J47</f>
        <v>58.242666447639884</v>
      </c>
      <c r="K140" s="2">
        <f t="shared" ref="K140:BI140" si="37">+K134*K47</f>
        <v>66.197091955148906</v>
      </c>
      <c r="L140" s="2">
        <f t="shared" si="37"/>
        <v>74.804900884053694</v>
      </c>
      <c r="M140" s="2">
        <f t="shared" si="37"/>
        <v>84.074913916668507</v>
      </c>
      <c r="N140" s="2">
        <f t="shared" si="37"/>
        <v>94.012891295836681</v>
      </c>
      <c r="O140" s="2">
        <f t="shared" si="37"/>
        <v>104.621324497643</v>
      </c>
      <c r="P140" s="2">
        <f t="shared" si="37"/>
        <v>115.89922782571999</v>
      </c>
      <c r="Q140" s="2">
        <f t="shared" si="37"/>
        <v>127.841942781507</v>
      </c>
      <c r="R140" s="2">
        <f t="shared" si="37"/>
        <v>140.44100507121399</v>
      </c>
      <c r="S140" s="2">
        <f t="shared" si="37"/>
        <v>153.684207332759</v>
      </c>
      <c r="T140" s="2">
        <f t="shared" si="37"/>
        <v>167.556166407707</v>
      </c>
      <c r="U140" s="2">
        <f t="shared" si="37"/>
        <v>182.045524906559</v>
      </c>
      <c r="V140" s="2">
        <f t="shared" si="37"/>
        <v>197.12865690487601</v>
      </c>
      <c r="W140" s="2">
        <f t="shared" si="37"/>
        <v>202.14144794548599</v>
      </c>
      <c r="X140" s="2">
        <f t="shared" si="37"/>
        <v>197.08791174684899</v>
      </c>
      <c r="Y140" s="2">
        <f t="shared" si="37"/>
        <v>192.16071395317775</v>
      </c>
      <c r="Z140" s="2">
        <f t="shared" si="37"/>
        <v>187.356696104348</v>
      </c>
      <c r="AA140" s="2">
        <f t="shared" si="37"/>
        <v>182.67277870173959</v>
      </c>
      <c r="AB140" s="2">
        <f t="shared" si="37"/>
        <v>178.10595923419601</v>
      </c>
      <c r="AC140" s="2">
        <f t="shared" si="37"/>
        <v>173.653310253341</v>
      </c>
      <c r="AD140" s="2">
        <f t="shared" si="37"/>
        <v>169.31197749700763</v>
      </c>
      <c r="AE140" s="2">
        <f t="shared" si="37"/>
        <v>165.07917805958201</v>
      </c>
      <c r="AF140" s="2">
        <f t="shared" si="37"/>
        <v>160.95219860809286</v>
      </c>
      <c r="AG140" s="2">
        <f t="shared" si="37"/>
        <v>156.92839364289054</v>
      </c>
      <c r="AH140" s="2">
        <f t="shared" si="37"/>
        <v>153.00518380181799</v>
      </c>
      <c r="AI140" s="2">
        <f t="shared" si="37"/>
        <v>149.18005420677281</v>
      </c>
      <c r="AJ140" s="2">
        <f t="shared" si="37"/>
        <v>145.45055285160348</v>
      </c>
      <c r="AK140" s="2">
        <f t="shared" si="37"/>
        <v>141.81428903031301</v>
      </c>
      <c r="AL140" s="2">
        <f t="shared" si="37"/>
        <v>138.26893180455554</v>
      </c>
      <c r="AM140" s="2">
        <f t="shared" si="37"/>
        <v>134.81220850944163</v>
      </c>
      <c r="AN140" s="2">
        <f t="shared" si="37"/>
        <v>131.44190329670559</v>
      </c>
      <c r="AO140" s="2">
        <f t="shared" si="37"/>
        <v>128.15585571428795</v>
      </c>
      <c r="AP140" s="2">
        <f t="shared" si="37"/>
        <v>124.95195932143075</v>
      </c>
      <c r="AQ140" s="2">
        <f t="shared" si="37"/>
        <v>121.82816033839498</v>
      </c>
      <c r="AR140" s="2">
        <f t="shared" si="37"/>
        <v>118.782456329935</v>
      </c>
      <c r="AS140" s="2">
        <f t="shared" si="37"/>
        <v>115.81289492168672</v>
      </c>
      <c r="AT140" s="2">
        <f t="shared" si="37"/>
        <v>112.91757254864454</v>
      </c>
      <c r="AU140" s="2">
        <f t="shared" si="37"/>
        <v>110.094633234928</v>
      </c>
      <c r="AV140" s="2">
        <f t="shared" si="37"/>
        <v>107.34226740405499</v>
      </c>
      <c r="AW140" s="2">
        <f t="shared" si="37"/>
        <v>104.65871071895383</v>
      </c>
      <c r="AX140" s="2">
        <f t="shared" si="37"/>
        <v>102.04224295097998</v>
      </c>
      <c r="AY140" s="2">
        <f t="shared" si="37"/>
        <v>99.491186877205479</v>
      </c>
      <c r="AZ140" s="2">
        <f t="shared" si="37"/>
        <v>97.00390720527534</v>
      </c>
      <c r="BA140" s="2">
        <f t="shared" si="37"/>
        <v>94.578809525143456</v>
      </c>
      <c r="BB140" s="2">
        <f t="shared" si="37"/>
        <v>92.214339287014866</v>
      </c>
      <c r="BC140" s="2">
        <f t="shared" si="37"/>
        <v>89.908980804839487</v>
      </c>
      <c r="BD140" s="2">
        <f t="shared" si="37"/>
        <v>87.661256284718505</v>
      </c>
      <c r="BE140" s="2">
        <f t="shared" si="37"/>
        <v>85.469724877600541</v>
      </c>
      <c r="BF140" s="2">
        <f t="shared" si="37"/>
        <v>83.332981755660526</v>
      </c>
      <c r="BG140" s="2">
        <f t="shared" si="37"/>
        <v>67.605444568213102</v>
      </c>
      <c r="BH140" s="2">
        <f t="shared" si="37"/>
        <v>25.758319810008398</v>
      </c>
      <c r="BI140" s="2">
        <f t="shared" si="37"/>
        <v>1.9401297213399001E-2</v>
      </c>
      <c r="BJ140" s="2"/>
      <c r="BK140" s="2"/>
      <c r="BL140" s="2"/>
      <c r="BM140" s="2"/>
      <c r="BN140" s="2"/>
      <c r="BO140" s="2"/>
      <c r="BP140" s="2"/>
      <c r="BQ140" s="2"/>
      <c r="BR140" s="2"/>
      <c r="BS140" s="2"/>
      <c r="BT140" s="2"/>
      <c r="BU140" s="2"/>
      <c r="BV140" s="2"/>
      <c r="BW140" s="2"/>
      <c r="BX140" s="2"/>
      <c r="BY140" s="2"/>
      <c r="BZ140" s="2"/>
      <c r="CA140" s="2"/>
      <c r="CB140" s="2"/>
      <c r="CC140" s="2"/>
      <c r="CD140" s="2"/>
      <c r="CE140" s="2"/>
      <c r="CF140" s="2"/>
      <c r="CG140" s="2"/>
      <c r="CH140" s="2"/>
      <c r="CI140" s="2"/>
      <c r="CJ140" s="2"/>
      <c r="CK140" s="2"/>
      <c r="CL140" s="2"/>
      <c r="CM140" s="2"/>
      <c r="CN140" s="2"/>
      <c r="CO140" s="2"/>
      <c r="CP140" s="2"/>
      <c r="CQ140" s="2"/>
      <c r="CR140" s="2"/>
      <c r="CS140" s="2"/>
      <c r="CT140" s="2"/>
      <c r="CU140" s="2"/>
      <c r="CV140" s="2"/>
      <c r="CW140" s="2"/>
      <c r="CX140" s="2"/>
      <c r="CY140" s="2"/>
      <c r="CZ140" s="2"/>
      <c r="DA140" s="2"/>
      <c r="DB140" s="2"/>
      <c r="DC140" s="2"/>
      <c r="DD140" s="2"/>
      <c r="DE140" s="2"/>
      <c r="DF140" s="2"/>
      <c r="DG140" s="2"/>
      <c r="DH140" s="2"/>
      <c r="DI140" s="2"/>
      <c r="DJ140" s="2"/>
      <c r="DK140" s="2"/>
      <c r="DL140" s="2"/>
      <c r="DM140" s="2"/>
      <c r="DN140" s="2"/>
      <c r="DO140" s="2"/>
      <c r="DP140" s="2"/>
      <c r="DQ140" s="2"/>
      <c r="DR140" s="2"/>
      <c r="DS140" s="2"/>
      <c r="DT140" s="2"/>
    </row>
    <row r="141" spans="1:124" ht="21" hidden="1" customHeight="1" x14ac:dyDescent="0.35">
      <c r="A141" s="50"/>
    </row>
    <row r="142" spans="1:124" s="162" customFormat="1" ht="31.75" customHeight="1" x14ac:dyDescent="0.35">
      <c r="A142" s="160" t="s">
        <v>316</v>
      </c>
      <c r="B142" s="161">
        <f>+C158</f>
        <v>5.1620343515456302E-2</v>
      </c>
      <c r="C142" s="161">
        <f t="shared" ref="C142:BH142" si="38">+D158</f>
        <v>5.0704374025787979E-2</v>
      </c>
      <c r="D142" s="161">
        <f t="shared" si="38"/>
        <v>4.9636591241446926E-2</v>
      </c>
      <c r="E142" s="161">
        <f t="shared" si="38"/>
        <v>4.8504795964295244E-2</v>
      </c>
      <c r="F142" s="161">
        <f t="shared" si="38"/>
        <v>4.7357941235274925E-2</v>
      </c>
      <c r="G142" s="161">
        <f t="shared" si="38"/>
        <v>4.6222561896068104E-2</v>
      </c>
      <c r="H142" s="161">
        <f t="shared" si="38"/>
        <v>4.5112869445639081E-2</v>
      </c>
      <c r="I142" s="161">
        <f t="shared" si="38"/>
        <v>4.4036367639258334E-2</v>
      </c>
      <c r="J142" s="161">
        <f t="shared" si="38"/>
        <v>4.2996959807395374E-2</v>
      </c>
      <c r="K142" s="161">
        <f t="shared" si="38"/>
        <v>4.1996660122490148E-2</v>
      </c>
      <c r="L142" s="161">
        <f t="shared" si="38"/>
        <v>4.1036534893764465E-2</v>
      </c>
      <c r="M142" s="161">
        <f t="shared" si="38"/>
        <v>4.011722962080011E-2</v>
      </c>
      <c r="N142" s="161">
        <f t="shared" si="38"/>
        <v>3.9239290933774873E-2</v>
      </c>
      <c r="O142" s="161">
        <f t="shared" si="38"/>
        <v>3.8403418644277876E-2</v>
      </c>
      <c r="P142" s="161">
        <f t="shared" si="38"/>
        <v>3.7610756630744646E-2</v>
      </c>
      <c r="Q142" s="161">
        <f t="shared" si="38"/>
        <v>3.6863343516872371E-2</v>
      </c>
      <c r="R142" s="161">
        <f t="shared" si="38"/>
        <v>3.6164900861893168E-2</v>
      </c>
      <c r="S142" s="161">
        <f t="shared" si="38"/>
        <v>3.5522260709961451E-2</v>
      </c>
      <c r="T142" s="161">
        <f t="shared" si="38"/>
        <v>3.4954171183735783E-2</v>
      </c>
      <c r="U142" s="161">
        <f t="shared" si="38"/>
        <v>3.4477398120726699E-2</v>
      </c>
      <c r="V142" s="161">
        <f t="shared" si="38"/>
        <v>3.4124914345515345E-2</v>
      </c>
      <c r="W142" s="161">
        <f t="shared" si="38"/>
        <v>3.3794413872449525E-2</v>
      </c>
      <c r="X142" s="161">
        <f t="shared" si="38"/>
        <v>3.3396162588054334E-2</v>
      </c>
      <c r="Y142" s="161">
        <f t="shared" si="38"/>
        <v>3.2958296661722564E-2</v>
      </c>
      <c r="Z142" s="161">
        <f t="shared" si="38"/>
        <v>3.2498326410628886E-2</v>
      </c>
      <c r="AA142" s="161">
        <f t="shared" si="38"/>
        <v>3.2027390302100445E-2</v>
      </c>
      <c r="AB142" s="161">
        <f t="shared" si="38"/>
        <v>3.155275927444845E-2</v>
      </c>
      <c r="AC142" s="161">
        <f t="shared" si="38"/>
        <v>3.1079307956685565E-2</v>
      </c>
      <c r="AD142" s="161">
        <f t="shared" si="38"/>
        <v>3.0610384399506252E-2</v>
      </c>
      <c r="AE142" s="161">
        <f t="shared" si="38"/>
        <v>3.0148330907619147E-2</v>
      </c>
      <c r="AF142" s="161">
        <f t="shared" si="38"/>
        <v>2.9694802373315676E-2</v>
      </c>
      <c r="AG142" s="161">
        <f t="shared" si="38"/>
        <v>2.9250966925788102E-2</v>
      </c>
      <c r="AH142" s="161">
        <f t="shared" si="38"/>
        <v>2.8817637323232725E-2</v>
      </c>
      <c r="AI142" s="161">
        <f t="shared" si="38"/>
        <v>2.8395361446351242E-2</v>
      </c>
      <c r="AJ142" s="161">
        <f t="shared" si="38"/>
        <v>2.7984488344642733E-2</v>
      </c>
      <c r="AK142" s="161">
        <f t="shared" si="38"/>
        <v>2.7585220186203685E-2</v>
      </c>
      <c r="AL142" s="161">
        <f t="shared" si="38"/>
        <v>2.7197657336370362E-2</v>
      </c>
      <c r="AM142" s="161">
        <f t="shared" si="38"/>
        <v>2.6821843107726506E-2</v>
      </c>
      <c r="AN142" s="161">
        <f t="shared" si="38"/>
        <v>2.6457815965682308E-2</v>
      </c>
      <c r="AO142" s="161">
        <f t="shared" si="38"/>
        <v>2.6105680696158151E-2</v>
      </c>
      <c r="AP142" s="161">
        <f t="shared" si="38"/>
        <v>2.5765717408166688E-2</v>
      </c>
      <c r="AQ142" s="161">
        <f t="shared" si="38"/>
        <v>2.5438560780516983E-2</v>
      </c>
      <c r="AR142" s="161">
        <f t="shared" si="38"/>
        <v>2.5125506115841301E-2</v>
      </c>
      <c r="AS142" s="161">
        <f t="shared" si="38"/>
        <v>2.4829041896509807E-2</v>
      </c>
      <c r="AT142" s="161">
        <f t="shared" si="38"/>
        <v>2.4553785473534706E-2</v>
      </c>
      <c r="AU142" s="161">
        <f t="shared" si="38"/>
        <v>2.4308137658910711E-2</v>
      </c>
      <c r="AV142" s="161">
        <f t="shared" si="38"/>
        <v>2.4107227628284322E-2</v>
      </c>
      <c r="AW142" s="161">
        <f t="shared" si="38"/>
        <v>2.397820555519159E-2</v>
      </c>
      <c r="AX142" s="161">
        <f t="shared" si="38"/>
        <v>2.396991036766094E-2</v>
      </c>
      <c r="AY142" s="161">
        <f t="shared" si="38"/>
        <v>1.6518664281841122E-2</v>
      </c>
      <c r="AZ142" s="161">
        <f t="shared" si="38"/>
        <v>2.4840705641208105E-2</v>
      </c>
      <c r="BA142" s="161">
        <f t="shared" si="38"/>
        <v>2.3993520376278221E-2</v>
      </c>
      <c r="BB142" s="161">
        <f t="shared" si="38"/>
        <v>2.3344273975236973E-2</v>
      </c>
      <c r="BC142" s="161">
        <f t="shared" si="38"/>
        <v>2.2831320423250867E-2</v>
      </c>
      <c r="BD142" s="161">
        <f t="shared" si="38"/>
        <v>2.2413694864945821E-2</v>
      </c>
      <c r="BE142" s="161">
        <f t="shared" si="38"/>
        <v>2.2063727936276312E-2</v>
      </c>
      <c r="BF142" s="161">
        <f t="shared" si="38"/>
        <v>2.1851406628865311E-2</v>
      </c>
      <c r="BG142" s="161">
        <f t="shared" si="38"/>
        <v>2.1657654346906252E-2</v>
      </c>
      <c r="BH142" s="161">
        <f t="shared" si="38"/>
        <v>2.1115917820017316E-2</v>
      </c>
      <c r="BI142" s="161"/>
    </row>
    <row r="143" spans="1:124" ht="21" hidden="1" customHeight="1" x14ac:dyDescent="0.35">
      <c r="A143" s="50"/>
    </row>
    <row r="144" spans="1:124" ht="21" hidden="1" customHeight="1" x14ac:dyDescent="0.35">
      <c r="A144" s="50"/>
    </row>
    <row r="145" spans="1:124" ht="21" hidden="1" customHeight="1" x14ac:dyDescent="0.35">
      <c r="A145" s="50"/>
    </row>
    <row r="146" spans="1:124" ht="21" hidden="1" customHeight="1" x14ac:dyDescent="0.35">
      <c r="A146" s="50"/>
    </row>
    <row r="147" spans="1:124" ht="21" hidden="1" customHeight="1" x14ac:dyDescent="0.35">
      <c r="A147" s="50"/>
    </row>
    <row r="148" spans="1:124" ht="21" hidden="1" customHeight="1" x14ac:dyDescent="0.35">
      <c r="A148" s="50"/>
    </row>
    <row r="149" spans="1:124" ht="21" hidden="1" customHeight="1" x14ac:dyDescent="0.35">
      <c r="A149" s="23"/>
      <c r="B149" s="3"/>
    </row>
    <row r="150" spans="1:124" ht="21" customHeight="1" thickBot="1" x14ac:dyDescent="0.4">
      <c r="A150" s="95" t="s">
        <v>339</v>
      </c>
      <c r="B150" s="3"/>
    </row>
    <row r="151" spans="1:124" ht="21" customHeight="1" thickTop="1" x14ac:dyDescent="0.35">
      <c r="A151" s="15" t="s">
        <v>237</v>
      </c>
      <c r="B151" s="3"/>
    </row>
    <row r="152" spans="1:124" ht="21" customHeight="1" x14ac:dyDescent="0.35">
      <c r="A152" s="15" t="s">
        <v>238</v>
      </c>
      <c r="B152" s="3"/>
      <c r="C152" s="3">
        <f t="shared" ref="C152:BI152" si="39">+(C53/B53)^0.2</f>
        <v>1.0116028097333745</v>
      </c>
      <c r="D152" s="3">
        <f t="shared" si="39"/>
        <v>1.0100345466701126</v>
      </c>
      <c r="E152" s="3">
        <f t="shared" si="39"/>
        <v>1.0086791622039537</v>
      </c>
      <c r="F152" s="3">
        <f t="shared" si="39"/>
        <v>1.0075075318291871</v>
      </c>
      <c r="G152" s="3">
        <f t="shared" si="39"/>
        <v>1.0064945727522834</v>
      </c>
      <c r="H152" s="3">
        <f t="shared" si="39"/>
        <v>1.0056186687743522</v>
      </c>
      <c r="I152" s="3">
        <f t="shared" si="39"/>
        <v>1.0048611805233922</v>
      </c>
      <c r="J152" s="3">
        <f t="shared" si="39"/>
        <v>1.0042060275191533</v>
      </c>
      <c r="K152" s="3">
        <f t="shared" si="39"/>
        <v>1.0036393308936822</v>
      </c>
      <c r="L152" s="3">
        <f t="shared" si="39"/>
        <v>1.0031491074812331</v>
      </c>
      <c r="M152" s="3">
        <f t="shared" si="39"/>
        <v>1.0027250075278795</v>
      </c>
      <c r="N152" s="3">
        <f t="shared" si="39"/>
        <v>1.0023580895273503</v>
      </c>
      <c r="O152" s="3">
        <f t="shared" si="39"/>
        <v>1.00204062672215</v>
      </c>
      <c r="P152" s="3">
        <f t="shared" si="39"/>
        <v>1.0017659406620689</v>
      </c>
      <c r="Q152" s="3">
        <f t="shared" si="39"/>
        <v>1.0015282579203173</v>
      </c>
      <c r="R152" s="3">
        <f t="shared" si="39"/>
        <v>1.0013225866579545</v>
      </c>
      <c r="S152" s="3">
        <f t="shared" si="39"/>
        <v>1.0011446102215715</v>
      </c>
      <c r="T152" s="3">
        <f t="shared" si="39"/>
        <v>1.0009905953745444</v>
      </c>
      <c r="U152" s="3">
        <f t="shared" si="39"/>
        <v>1.0008573131123586</v>
      </c>
      <c r="V152" s="3">
        <f t="shared" si="39"/>
        <v>1.0007419703086711</v>
      </c>
      <c r="W152" s="3">
        <f t="shared" si="39"/>
        <v>1.0006421506899126</v>
      </c>
      <c r="X152" s="3">
        <f t="shared" si="39"/>
        <v>1.0005557638497422</v>
      </c>
      <c r="Y152" s="3">
        <f t="shared" si="39"/>
        <v>1.0004810011965555</v>
      </c>
      <c r="Z152" s="3">
        <f t="shared" si="39"/>
        <v>1.00041629788252</v>
      </c>
      <c r="AA152" s="3">
        <f t="shared" si="39"/>
        <v>1.0003602998953873</v>
      </c>
      <c r="AB152" s="3">
        <f t="shared" si="39"/>
        <v>1.0003118356080356</v>
      </c>
      <c r="AC152" s="3">
        <f t="shared" si="39"/>
        <v>1.0002698911782073</v>
      </c>
      <c r="AD152" s="3">
        <f t="shared" si="39"/>
        <v>1.0002335892746335</v>
      </c>
      <c r="AE152" s="3">
        <f t="shared" si="39"/>
        <v>1.00020217067768</v>
      </c>
      <c r="AF152" s="3">
        <f t="shared" si="39"/>
        <v>1.0001749783645633</v>
      </c>
      <c r="AG152" s="3">
        <f t="shared" si="39"/>
        <v>1.0001514437424595</v>
      </c>
      <c r="AH152" s="3">
        <f t="shared" si="39"/>
        <v>1.0001310747387555</v>
      </c>
      <c r="AI152" s="3">
        <f t="shared" si="39"/>
        <v>1.0001134454972587</v>
      </c>
      <c r="AJ152" s="3">
        <f t="shared" si="39"/>
        <v>1.0000981874633217</v>
      </c>
      <c r="AK152" s="3">
        <f t="shared" si="39"/>
        <v>1.0000849816702952</v>
      </c>
      <c r="AL152" s="3">
        <f t="shared" si="39"/>
        <v>1.0000735520651485</v>
      </c>
      <c r="AM152" s="3">
        <f t="shared" si="39"/>
        <v>1.0000636597330521</v>
      </c>
      <c r="AN152" s="3">
        <f t="shared" si="39"/>
        <v>1.0000550978996956</v>
      </c>
      <c r="AO152" s="3">
        <f t="shared" si="39"/>
        <v>1.0000476876064832</v>
      </c>
      <c r="AP152" s="3">
        <f t="shared" si="39"/>
        <v>1.0000412739679339</v>
      </c>
      <c r="AQ152" s="3">
        <f t="shared" si="39"/>
        <v>1.0000357229328398</v>
      </c>
      <c r="AR152" s="3">
        <f t="shared" si="39"/>
        <v>1.000030918481331</v>
      </c>
      <c r="AS152" s="3">
        <f t="shared" si="39"/>
        <v>1.0000267601991399</v>
      </c>
      <c r="AT152" s="3">
        <f t="shared" si="39"/>
        <v>1.0000231611782795</v>
      </c>
      <c r="AU152" s="3">
        <f t="shared" si="39"/>
        <v>1.0000200462001916</v>
      </c>
      <c r="AV152" s="3">
        <f t="shared" si="39"/>
        <v>1.0000173501633398</v>
      </c>
      <c r="AW152" s="3">
        <f t="shared" si="39"/>
        <v>1.0000150167223523</v>
      </c>
      <c r="AX152" s="3">
        <f t="shared" si="39"/>
        <v>1.0000129971102385</v>
      </c>
      <c r="AY152" s="3">
        <f t="shared" si="39"/>
        <v>1.0000112491190509</v>
      </c>
      <c r="AZ152" s="3">
        <f t="shared" si="39"/>
        <v>1.000009736217665</v>
      </c>
      <c r="BA152" s="3">
        <f t="shared" si="39"/>
        <v>1.0000084267882341</v>
      </c>
      <c r="BB152" s="3">
        <f t="shared" si="39"/>
        <v>1.0000072934653517</v>
      </c>
      <c r="BC152" s="3">
        <f t="shared" si="39"/>
        <v>1.0000063125641003</v>
      </c>
      <c r="BD152" s="3">
        <f t="shared" si="39"/>
        <v>1.0000054635850353</v>
      </c>
      <c r="BE152" s="3">
        <f t="shared" si="39"/>
        <v>1.0000047287857465</v>
      </c>
      <c r="BF152" s="3">
        <f t="shared" si="39"/>
        <v>1.0000040928100502</v>
      </c>
      <c r="BG152" s="3">
        <f t="shared" si="39"/>
        <v>1.0000035423670515</v>
      </c>
      <c r="BH152" s="3">
        <f t="shared" si="39"/>
        <v>1.0000030659533765</v>
      </c>
      <c r="BI152" s="3">
        <f t="shared" si="39"/>
        <v>1.0000026536127598</v>
      </c>
    </row>
    <row r="153" spans="1:124" ht="21" customHeight="1" x14ac:dyDescent="0.35">
      <c r="A153" s="15" t="s">
        <v>239</v>
      </c>
      <c r="B153" s="3"/>
      <c r="C153" s="3">
        <f t="shared" ref="C153:BI153" si="40">+(B18/C18)^0.2</f>
        <v>1.0149999999999999</v>
      </c>
      <c r="D153" s="3">
        <f t="shared" si="40"/>
        <v>1.0149999999999999</v>
      </c>
      <c r="E153" s="3">
        <f t="shared" si="40"/>
        <v>1.0149999999999999</v>
      </c>
      <c r="F153" s="3">
        <f t="shared" si="40"/>
        <v>1.0149999999999999</v>
      </c>
      <c r="G153" s="3">
        <f t="shared" si="40"/>
        <v>1.0149999999999999</v>
      </c>
      <c r="H153" s="3">
        <f t="shared" si="40"/>
        <v>1.0149999999999999</v>
      </c>
      <c r="I153" s="3">
        <f t="shared" si="40"/>
        <v>1.0149999999999999</v>
      </c>
      <c r="J153" s="3">
        <f t="shared" si="40"/>
        <v>1.0149999999999999</v>
      </c>
      <c r="K153" s="3">
        <f t="shared" si="40"/>
        <v>1.0149999999999999</v>
      </c>
      <c r="L153" s="3">
        <f t="shared" si="40"/>
        <v>1.0149999999999999</v>
      </c>
      <c r="M153" s="3">
        <f t="shared" si="40"/>
        <v>1.0149999999999999</v>
      </c>
      <c r="N153" s="3">
        <f t="shared" si="40"/>
        <v>1.0149999999999999</v>
      </c>
      <c r="O153" s="3">
        <f t="shared" si="40"/>
        <v>1.0149999999999999</v>
      </c>
      <c r="P153" s="3">
        <f t="shared" si="40"/>
        <v>1.0149999999999999</v>
      </c>
      <c r="Q153" s="3">
        <f t="shared" si="40"/>
        <v>1.0149999999999999</v>
      </c>
      <c r="R153" s="3">
        <f t="shared" si="40"/>
        <v>1.0149999999999999</v>
      </c>
      <c r="S153" s="3">
        <f t="shared" si="40"/>
        <v>1.0149999999999999</v>
      </c>
      <c r="T153" s="3">
        <f t="shared" si="40"/>
        <v>1.0149999999999999</v>
      </c>
      <c r="U153" s="3">
        <f t="shared" si="40"/>
        <v>1.0149999999999999</v>
      </c>
      <c r="V153" s="3">
        <f t="shared" si="40"/>
        <v>1.0149999999999999</v>
      </c>
      <c r="W153" s="3">
        <f t="shared" si="40"/>
        <v>1.0149999999999999</v>
      </c>
      <c r="X153" s="3">
        <f t="shared" si="40"/>
        <v>1.0149999999999999</v>
      </c>
      <c r="Y153" s="3">
        <f t="shared" si="40"/>
        <v>1.0149999999999999</v>
      </c>
      <c r="Z153" s="3">
        <f t="shared" si="40"/>
        <v>1.0149999999999999</v>
      </c>
      <c r="AA153" s="3">
        <f t="shared" si="40"/>
        <v>1.0149999999999999</v>
      </c>
      <c r="AB153" s="3">
        <f t="shared" si="40"/>
        <v>1.0149999999999999</v>
      </c>
      <c r="AC153" s="3">
        <f t="shared" si="40"/>
        <v>1.0149999999999999</v>
      </c>
      <c r="AD153" s="3">
        <f t="shared" si="40"/>
        <v>1.0149999999999999</v>
      </c>
      <c r="AE153" s="3">
        <f t="shared" si="40"/>
        <v>1.0149999999999999</v>
      </c>
      <c r="AF153" s="3">
        <f t="shared" si="40"/>
        <v>1.0149999999999999</v>
      </c>
      <c r="AG153" s="3">
        <f t="shared" si="40"/>
        <v>1.0149999999999999</v>
      </c>
      <c r="AH153" s="3">
        <f t="shared" si="40"/>
        <v>1.0149999999999999</v>
      </c>
      <c r="AI153" s="3">
        <f t="shared" si="40"/>
        <v>1.0149999999999999</v>
      </c>
      <c r="AJ153" s="3">
        <f t="shared" si="40"/>
        <v>1.0149999999999999</v>
      </c>
      <c r="AK153" s="3">
        <f t="shared" si="40"/>
        <v>1.0149999999999999</v>
      </c>
      <c r="AL153" s="3">
        <f t="shared" si="40"/>
        <v>1.0149999999999999</v>
      </c>
      <c r="AM153" s="3">
        <f t="shared" si="40"/>
        <v>1.0149999999999999</v>
      </c>
      <c r="AN153" s="3">
        <f t="shared" si="40"/>
        <v>1.0149999999999999</v>
      </c>
      <c r="AO153" s="3">
        <f t="shared" si="40"/>
        <v>1.0149999999999999</v>
      </c>
      <c r="AP153" s="3">
        <f t="shared" si="40"/>
        <v>1.0149999999999999</v>
      </c>
      <c r="AQ153" s="3">
        <f t="shared" si="40"/>
        <v>1.0149999999999999</v>
      </c>
      <c r="AR153" s="3">
        <f t="shared" si="40"/>
        <v>1.0149999999999999</v>
      </c>
      <c r="AS153" s="3">
        <f t="shared" si="40"/>
        <v>1.0149999999999999</v>
      </c>
      <c r="AT153" s="3">
        <f t="shared" si="40"/>
        <v>1.0149999999999999</v>
      </c>
      <c r="AU153" s="3">
        <f t="shared" si="40"/>
        <v>1.0149999999999999</v>
      </c>
      <c r="AV153" s="3">
        <f t="shared" si="40"/>
        <v>1.0149999999999999</v>
      </c>
      <c r="AW153" s="3">
        <f t="shared" si="40"/>
        <v>1.0149999999999999</v>
      </c>
      <c r="AX153" s="3">
        <f t="shared" si="40"/>
        <v>1.0149999999999999</v>
      </c>
      <c r="AY153" s="3">
        <f t="shared" si="40"/>
        <v>1.0149999999999999</v>
      </c>
      <c r="AZ153" s="3">
        <f t="shared" si="40"/>
        <v>1.0149999999999999</v>
      </c>
      <c r="BA153" s="3">
        <f t="shared" si="40"/>
        <v>1.0149999999999999</v>
      </c>
      <c r="BB153" s="3">
        <f t="shared" si="40"/>
        <v>1.0149999999999999</v>
      </c>
      <c r="BC153" s="3">
        <f t="shared" si="40"/>
        <v>1.0149999999999999</v>
      </c>
      <c r="BD153" s="3">
        <f t="shared" si="40"/>
        <v>1.0149999999999999</v>
      </c>
      <c r="BE153" s="3">
        <f t="shared" si="40"/>
        <v>1.0149999999999999</v>
      </c>
      <c r="BF153" s="3">
        <f t="shared" si="40"/>
        <v>1.0149999999999999</v>
      </c>
      <c r="BG153" s="3">
        <f t="shared" si="40"/>
        <v>1.0149999999999999</v>
      </c>
      <c r="BH153" s="3">
        <f t="shared" si="40"/>
        <v>1.0149999999999999</v>
      </c>
      <c r="BI153" s="3">
        <f t="shared" si="40"/>
        <v>1.0149999999999999</v>
      </c>
    </row>
    <row r="154" spans="1:124" ht="21" customHeight="1" x14ac:dyDescent="0.35">
      <c r="A154" s="15" t="s">
        <v>240</v>
      </c>
      <c r="B154" s="3"/>
      <c r="C154" s="3">
        <f t="shared" ref="C154:BI154" si="41">+((C127/B127)^($B$19))^0.2</f>
        <v>1.0360791561728635</v>
      </c>
      <c r="D154" s="3">
        <f t="shared" si="41"/>
        <v>1.0351767231781164</v>
      </c>
      <c r="E154" s="3">
        <f t="shared" si="41"/>
        <v>1.0341247204349231</v>
      </c>
      <c r="F154" s="3">
        <f t="shared" si="41"/>
        <v>1.03300965119635</v>
      </c>
      <c r="G154" s="3">
        <f t="shared" si="41"/>
        <v>1.0318797450593842</v>
      </c>
      <c r="H154" s="3">
        <f t="shared" si="41"/>
        <v>1.0307611447251903</v>
      </c>
      <c r="I154" s="3">
        <f t="shared" si="41"/>
        <v>1.0296678516705804</v>
      </c>
      <c r="J154" s="3">
        <f t="shared" si="41"/>
        <v>1.0286072587578901</v>
      </c>
      <c r="K154" s="3">
        <f t="shared" si="41"/>
        <v>1.027583211632902</v>
      </c>
      <c r="L154" s="3">
        <f t="shared" si="41"/>
        <v>1.0265976947019608</v>
      </c>
      <c r="M154" s="3">
        <f t="shared" si="41"/>
        <v>1.0256517585160243</v>
      </c>
      <c r="N154" s="3">
        <f t="shared" si="41"/>
        <v>1.0247460390352712</v>
      </c>
      <c r="O154" s="3">
        <f t="shared" si="41"/>
        <v>1.023881074811601</v>
      </c>
      <c r="P154" s="3">
        <f t="shared" si="41"/>
        <v>1.0230575553145596</v>
      </c>
      <c r="Q154" s="3">
        <f t="shared" si="41"/>
        <v>1.0222766075179752</v>
      </c>
      <c r="R154" s="3">
        <f t="shared" si="41"/>
        <v>1.0215402399181011</v>
      </c>
      <c r="S154" s="3">
        <f t="shared" si="41"/>
        <v>1.0208521190757569</v>
      </c>
      <c r="T154" s="3">
        <f t="shared" si="41"/>
        <v>1.0202189760689275</v>
      </c>
      <c r="U154" s="3">
        <f t="shared" si="41"/>
        <v>1.0196592819544197</v>
      </c>
      <c r="V154" s="3">
        <f t="shared" si="41"/>
        <v>1.0191895547987455</v>
      </c>
      <c r="W154" s="3">
        <f t="shared" si="41"/>
        <v>1.018842280143365</v>
      </c>
      <c r="X154" s="3">
        <f t="shared" si="41"/>
        <v>1.0185166639137435</v>
      </c>
      <c r="Y154" s="3">
        <f t="shared" si="41"/>
        <v>1.0181242981163099</v>
      </c>
      <c r="Z154" s="3">
        <f t="shared" si="41"/>
        <v>1.0176929031149977</v>
      </c>
      <c r="AA154" s="3">
        <f t="shared" si="41"/>
        <v>1.0172397304538217</v>
      </c>
      <c r="AB154" s="3">
        <f t="shared" si="41"/>
        <v>1.0167757539922173</v>
      </c>
      <c r="AC154" s="3">
        <f t="shared" si="41"/>
        <v>1.0163081372162055</v>
      </c>
      <c r="AD154" s="3">
        <f t="shared" si="41"/>
        <v>1.0158416827159464</v>
      </c>
      <c r="AE154" s="3">
        <f t="shared" si="41"/>
        <v>1.0153796890635531</v>
      </c>
      <c r="AF154" s="3">
        <f t="shared" si="41"/>
        <v>1.0149244639483934</v>
      </c>
      <c r="AG154" s="3">
        <f t="shared" si="41"/>
        <v>1.0144776378062224</v>
      </c>
      <c r="AH154" s="3">
        <f t="shared" si="41"/>
        <v>1.0140403615032396</v>
      </c>
      <c r="AI154" s="3">
        <f t="shared" si="41"/>
        <v>1.0136134357864364</v>
      </c>
      <c r="AJ154" s="3">
        <f t="shared" si="41"/>
        <v>1.013197400439755</v>
      </c>
      <c r="AK154" s="3">
        <f t="shared" si="41"/>
        <v>1.0127925993543279</v>
      </c>
      <c r="AL154" s="3">
        <f t="shared" si="41"/>
        <v>1.0123992317105457</v>
      </c>
      <c r="AM154" s="3">
        <f t="shared" si="41"/>
        <v>1.0120173963905128</v>
      </c>
      <c r="AN154" s="3">
        <f t="shared" si="41"/>
        <v>1.0116471360667256</v>
      </c>
      <c r="AO154" s="3">
        <f t="shared" si="41"/>
        <v>1.0112884886361404</v>
      </c>
      <c r="AP154" s="3">
        <f t="shared" si="41"/>
        <v>1.0109415573361165</v>
      </c>
      <c r="AQ154" s="3">
        <f t="shared" si="41"/>
        <v>1.0106066181361248</v>
      </c>
      <c r="AR154" s="3">
        <f t="shared" si="41"/>
        <v>1.0102842963354848</v>
      </c>
      <c r="AS154" s="3">
        <f t="shared" si="41"/>
        <v>1.0099758680944251</v>
      </c>
      <c r="AT154" s="3">
        <f t="shared" si="41"/>
        <v>1.0096837851197142</v>
      </c>
      <c r="AU154" s="3">
        <f t="shared" si="41"/>
        <v>1.00941259652565</v>
      </c>
      <c r="AV154" s="3">
        <f t="shared" si="41"/>
        <v>1.0091705789742964</v>
      </c>
      <c r="AW154" s="3">
        <f t="shared" si="41"/>
        <v>1.0089726380574231</v>
      </c>
      <c r="AX154" s="3">
        <f t="shared" si="41"/>
        <v>1.0088455227144746</v>
      </c>
      <c r="AY154" s="3">
        <f t="shared" si="41"/>
        <v>1.0088373501159222</v>
      </c>
      <c r="AZ154" s="3">
        <f t="shared" si="41"/>
        <v>1.0014962209673313</v>
      </c>
      <c r="BA154" s="3">
        <f t="shared" si="41"/>
        <v>1.0096952764938012</v>
      </c>
      <c r="BB154" s="3">
        <f t="shared" si="41"/>
        <v>1.008860611208156</v>
      </c>
      <c r="BC154" s="3">
        <f t="shared" si="41"/>
        <v>1.0082209595815144</v>
      </c>
      <c r="BD154" s="3">
        <f t="shared" si="41"/>
        <v>1.0077155866238925</v>
      </c>
      <c r="BE154" s="3">
        <f t="shared" si="41"/>
        <v>1.0073041328718679</v>
      </c>
      <c r="BF154" s="3">
        <f t="shared" si="41"/>
        <v>1.0069593378682526</v>
      </c>
      <c r="BG154" s="3">
        <f t="shared" si="41"/>
        <v>1.006750154314153</v>
      </c>
      <c r="BH154" s="3">
        <f t="shared" si="41"/>
        <v>1.0065592653664102</v>
      </c>
      <c r="BI154" s="3">
        <f t="shared" si="41"/>
        <v>1.0060255347980467</v>
      </c>
    </row>
    <row r="155" spans="1:124" ht="21" customHeight="1" x14ac:dyDescent="0.35">
      <c r="A155" s="15" t="s">
        <v>241</v>
      </c>
      <c r="B155" s="3"/>
      <c r="C155" s="3">
        <f>+C154*C153</f>
        <v>1.0516203435154563</v>
      </c>
      <c r="D155" s="3">
        <f t="shared" ref="D155:BI155" si="42">+D154*D153</f>
        <v>1.050704374025788</v>
      </c>
      <c r="E155" s="3">
        <f t="shared" si="42"/>
        <v>1.0496365912414469</v>
      </c>
      <c r="F155" s="3">
        <f t="shared" si="42"/>
        <v>1.0485047959642952</v>
      </c>
      <c r="G155" s="3">
        <f t="shared" si="42"/>
        <v>1.0473579412352749</v>
      </c>
      <c r="H155" s="3">
        <f t="shared" si="42"/>
        <v>1.0462225618960681</v>
      </c>
      <c r="I155" s="3">
        <f t="shared" si="42"/>
        <v>1.0451128694456391</v>
      </c>
      <c r="J155" s="3">
        <f t="shared" si="42"/>
        <v>1.0440363676392583</v>
      </c>
      <c r="K155" s="3">
        <f t="shared" si="42"/>
        <v>1.0429969598073954</v>
      </c>
      <c r="L155" s="3">
        <f t="shared" si="42"/>
        <v>1.0419966601224901</v>
      </c>
      <c r="M155" s="3">
        <f t="shared" si="42"/>
        <v>1.0410365348937645</v>
      </c>
      <c r="N155" s="3">
        <f t="shared" si="42"/>
        <v>1.0401172296208001</v>
      </c>
      <c r="O155" s="3">
        <f t="shared" si="42"/>
        <v>1.0392392909337749</v>
      </c>
      <c r="P155" s="3">
        <f t="shared" si="42"/>
        <v>1.0384034186442779</v>
      </c>
      <c r="Q155" s="3">
        <f t="shared" si="42"/>
        <v>1.0376107566307446</v>
      </c>
      <c r="R155" s="3">
        <f t="shared" si="42"/>
        <v>1.0368633435168724</v>
      </c>
      <c r="S155" s="3">
        <f t="shared" si="42"/>
        <v>1.0361649008618932</v>
      </c>
      <c r="T155" s="3">
        <f t="shared" si="42"/>
        <v>1.0355222607099615</v>
      </c>
      <c r="U155" s="3">
        <f t="shared" si="42"/>
        <v>1.0349541711837358</v>
      </c>
      <c r="V155" s="3">
        <f t="shared" si="42"/>
        <v>1.0344773981207267</v>
      </c>
      <c r="W155" s="3">
        <f t="shared" si="42"/>
        <v>1.0341249143455153</v>
      </c>
      <c r="X155" s="3">
        <f t="shared" si="42"/>
        <v>1.0337944138724495</v>
      </c>
      <c r="Y155" s="3">
        <f t="shared" si="42"/>
        <v>1.0333961625880543</v>
      </c>
      <c r="Z155" s="3">
        <f t="shared" si="42"/>
        <v>1.0329582966617226</v>
      </c>
      <c r="AA155" s="3">
        <f t="shared" si="42"/>
        <v>1.0324983264106289</v>
      </c>
      <c r="AB155" s="3">
        <f t="shared" si="42"/>
        <v>1.0320273903021004</v>
      </c>
      <c r="AC155" s="3">
        <f t="shared" si="42"/>
        <v>1.0315527592744484</v>
      </c>
      <c r="AD155" s="3">
        <f t="shared" si="42"/>
        <v>1.0310793079566856</v>
      </c>
      <c r="AE155" s="3">
        <f t="shared" si="42"/>
        <v>1.0306103843995063</v>
      </c>
      <c r="AF155" s="3">
        <f t="shared" si="42"/>
        <v>1.0301483309076191</v>
      </c>
      <c r="AG155" s="3">
        <f t="shared" si="42"/>
        <v>1.0296948023733157</v>
      </c>
      <c r="AH155" s="3">
        <f t="shared" si="42"/>
        <v>1.0292509669257881</v>
      </c>
      <c r="AI155" s="3">
        <f t="shared" si="42"/>
        <v>1.0288176373232327</v>
      </c>
      <c r="AJ155" s="3">
        <f t="shared" si="42"/>
        <v>1.0283953614463512</v>
      </c>
      <c r="AK155" s="3">
        <f t="shared" si="42"/>
        <v>1.0279844883446427</v>
      </c>
      <c r="AL155" s="3">
        <f t="shared" si="42"/>
        <v>1.0275852201862037</v>
      </c>
      <c r="AM155" s="3">
        <f t="shared" si="42"/>
        <v>1.0271976573363704</v>
      </c>
      <c r="AN155" s="3">
        <f t="shared" si="42"/>
        <v>1.0268218431077265</v>
      </c>
      <c r="AO155" s="3">
        <f t="shared" si="42"/>
        <v>1.0264578159656823</v>
      </c>
      <c r="AP155" s="3">
        <f t="shared" si="42"/>
        <v>1.0261056806961582</v>
      </c>
      <c r="AQ155" s="3">
        <f t="shared" si="42"/>
        <v>1.0257657174081667</v>
      </c>
      <c r="AR155" s="3">
        <f t="shared" si="42"/>
        <v>1.025438560780517</v>
      </c>
      <c r="AS155" s="3">
        <f t="shared" si="42"/>
        <v>1.0251255061158413</v>
      </c>
      <c r="AT155" s="3">
        <f t="shared" si="42"/>
        <v>1.0248290418965098</v>
      </c>
      <c r="AU155" s="3">
        <f t="shared" si="42"/>
        <v>1.0245537854735347</v>
      </c>
      <c r="AV155" s="3">
        <f t="shared" si="42"/>
        <v>1.0243081376589107</v>
      </c>
      <c r="AW155" s="3">
        <f t="shared" si="42"/>
        <v>1.0241072276282843</v>
      </c>
      <c r="AX155" s="3">
        <f t="shared" si="42"/>
        <v>1.0239782055551916</v>
      </c>
      <c r="AY155" s="3">
        <f t="shared" si="42"/>
        <v>1.0239699103676609</v>
      </c>
      <c r="AZ155" s="3">
        <f t="shared" si="42"/>
        <v>1.0165186642818411</v>
      </c>
      <c r="BA155" s="3">
        <f t="shared" si="42"/>
        <v>1.0248407056412081</v>
      </c>
      <c r="BB155" s="3">
        <f t="shared" si="42"/>
        <v>1.0239935203762782</v>
      </c>
      <c r="BC155" s="3">
        <f t="shared" si="42"/>
        <v>1.023344273975237</v>
      </c>
      <c r="BD155" s="3">
        <f t="shared" si="42"/>
        <v>1.0228313204232509</v>
      </c>
      <c r="BE155" s="3">
        <f t="shared" si="42"/>
        <v>1.0224136948649458</v>
      </c>
      <c r="BF155" s="3">
        <f t="shared" si="42"/>
        <v>1.0220637279362763</v>
      </c>
      <c r="BG155" s="3">
        <f t="shared" si="42"/>
        <v>1.0218514066288653</v>
      </c>
      <c r="BH155" s="3">
        <f t="shared" si="42"/>
        <v>1.0216576543469063</v>
      </c>
      <c r="BI155" s="3">
        <f t="shared" si="42"/>
        <v>1.0211159178200173</v>
      </c>
    </row>
    <row r="156" spans="1:124" ht="21" customHeight="1" x14ac:dyDescent="0.35">
      <c r="A156" s="15" t="s">
        <v>4</v>
      </c>
      <c r="B156" s="3"/>
      <c r="C156" s="3">
        <f>+C155-1</f>
        <v>5.1620343515456302E-2</v>
      </c>
      <c r="D156" s="3">
        <f t="shared" ref="D156:BI156" si="43">+D155-1</f>
        <v>5.0704374025787979E-2</v>
      </c>
      <c r="E156" s="3">
        <f t="shared" si="43"/>
        <v>4.9636591241446926E-2</v>
      </c>
      <c r="F156" s="3">
        <f t="shared" si="43"/>
        <v>4.8504795964295244E-2</v>
      </c>
      <c r="G156" s="3">
        <f t="shared" si="43"/>
        <v>4.7357941235274925E-2</v>
      </c>
      <c r="H156" s="3">
        <f t="shared" si="43"/>
        <v>4.6222561896068104E-2</v>
      </c>
      <c r="I156" s="3">
        <f t="shared" si="43"/>
        <v>4.5112869445639081E-2</v>
      </c>
      <c r="J156" s="3">
        <f t="shared" si="43"/>
        <v>4.4036367639258334E-2</v>
      </c>
      <c r="K156" s="3">
        <f t="shared" si="43"/>
        <v>4.2996959807395374E-2</v>
      </c>
      <c r="L156" s="3">
        <f t="shared" si="43"/>
        <v>4.1996660122490148E-2</v>
      </c>
      <c r="M156" s="3">
        <f t="shared" si="43"/>
        <v>4.1036534893764465E-2</v>
      </c>
      <c r="N156" s="3">
        <f t="shared" si="43"/>
        <v>4.011722962080011E-2</v>
      </c>
      <c r="O156" s="3">
        <f t="shared" si="43"/>
        <v>3.9239290933774873E-2</v>
      </c>
      <c r="P156" s="3">
        <f t="shared" si="43"/>
        <v>3.8403418644277876E-2</v>
      </c>
      <c r="Q156" s="3">
        <f t="shared" si="43"/>
        <v>3.7610756630744646E-2</v>
      </c>
      <c r="R156" s="3">
        <f t="shared" si="43"/>
        <v>3.6863343516872371E-2</v>
      </c>
      <c r="S156" s="3">
        <f t="shared" si="43"/>
        <v>3.6164900861893168E-2</v>
      </c>
      <c r="T156" s="3">
        <f t="shared" si="43"/>
        <v>3.5522260709961451E-2</v>
      </c>
      <c r="U156" s="3">
        <f t="shared" si="43"/>
        <v>3.4954171183735783E-2</v>
      </c>
      <c r="V156" s="3">
        <f t="shared" si="43"/>
        <v>3.4477398120726699E-2</v>
      </c>
      <c r="W156" s="3">
        <f t="shared" si="43"/>
        <v>3.4124914345515345E-2</v>
      </c>
      <c r="X156" s="3">
        <f t="shared" si="43"/>
        <v>3.3794413872449525E-2</v>
      </c>
      <c r="Y156" s="3">
        <f t="shared" si="43"/>
        <v>3.3396162588054334E-2</v>
      </c>
      <c r="Z156" s="3">
        <f t="shared" si="43"/>
        <v>3.2958296661722564E-2</v>
      </c>
      <c r="AA156" s="3">
        <f t="shared" si="43"/>
        <v>3.2498326410628886E-2</v>
      </c>
      <c r="AB156" s="3">
        <f t="shared" si="43"/>
        <v>3.2027390302100445E-2</v>
      </c>
      <c r="AC156" s="3">
        <f t="shared" si="43"/>
        <v>3.155275927444845E-2</v>
      </c>
      <c r="AD156" s="3">
        <f t="shared" si="43"/>
        <v>3.1079307956685565E-2</v>
      </c>
      <c r="AE156" s="3">
        <f t="shared" si="43"/>
        <v>3.0610384399506252E-2</v>
      </c>
      <c r="AF156" s="3">
        <f t="shared" si="43"/>
        <v>3.0148330907619147E-2</v>
      </c>
      <c r="AG156" s="3">
        <f t="shared" si="43"/>
        <v>2.9694802373315676E-2</v>
      </c>
      <c r="AH156" s="3">
        <f t="shared" si="43"/>
        <v>2.9250966925788102E-2</v>
      </c>
      <c r="AI156" s="3">
        <f t="shared" si="43"/>
        <v>2.8817637323232725E-2</v>
      </c>
      <c r="AJ156" s="3">
        <f t="shared" si="43"/>
        <v>2.8395361446351242E-2</v>
      </c>
      <c r="AK156" s="3">
        <f t="shared" si="43"/>
        <v>2.7984488344642733E-2</v>
      </c>
      <c r="AL156" s="3">
        <f t="shared" si="43"/>
        <v>2.7585220186203685E-2</v>
      </c>
      <c r="AM156" s="3">
        <f t="shared" si="43"/>
        <v>2.7197657336370362E-2</v>
      </c>
      <c r="AN156" s="3">
        <f t="shared" si="43"/>
        <v>2.6821843107726506E-2</v>
      </c>
      <c r="AO156" s="3">
        <f t="shared" si="43"/>
        <v>2.6457815965682308E-2</v>
      </c>
      <c r="AP156" s="3">
        <f t="shared" si="43"/>
        <v>2.6105680696158151E-2</v>
      </c>
      <c r="AQ156" s="3">
        <f t="shared" si="43"/>
        <v>2.5765717408166688E-2</v>
      </c>
      <c r="AR156" s="3">
        <f t="shared" si="43"/>
        <v>2.5438560780516983E-2</v>
      </c>
      <c r="AS156" s="3">
        <f t="shared" si="43"/>
        <v>2.5125506115841301E-2</v>
      </c>
      <c r="AT156" s="3">
        <f t="shared" si="43"/>
        <v>2.4829041896509807E-2</v>
      </c>
      <c r="AU156" s="3">
        <f t="shared" si="43"/>
        <v>2.4553785473534706E-2</v>
      </c>
      <c r="AV156" s="3">
        <f t="shared" si="43"/>
        <v>2.4308137658910711E-2</v>
      </c>
      <c r="AW156" s="3">
        <f t="shared" si="43"/>
        <v>2.4107227628284322E-2</v>
      </c>
      <c r="AX156" s="3">
        <f t="shared" si="43"/>
        <v>2.397820555519159E-2</v>
      </c>
      <c r="AY156" s="3">
        <f t="shared" si="43"/>
        <v>2.396991036766094E-2</v>
      </c>
      <c r="AZ156" s="3">
        <f t="shared" si="43"/>
        <v>1.6518664281841122E-2</v>
      </c>
      <c r="BA156" s="3">
        <f t="shared" si="43"/>
        <v>2.4840705641208105E-2</v>
      </c>
      <c r="BB156" s="3">
        <f t="shared" si="43"/>
        <v>2.3993520376278221E-2</v>
      </c>
      <c r="BC156" s="3">
        <f t="shared" si="43"/>
        <v>2.3344273975236973E-2</v>
      </c>
      <c r="BD156" s="3">
        <f t="shared" si="43"/>
        <v>2.2831320423250867E-2</v>
      </c>
      <c r="BE156" s="3">
        <f t="shared" si="43"/>
        <v>2.2413694864945821E-2</v>
      </c>
      <c r="BF156" s="3">
        <f t="shared" si="43"/>
        <v>2.2063727936276312E-2</v>
      </c>
      <c r="BG156" s="3">
        <f t="shared" si="43"/>
        <v>2.1851406628865311E-2</v>
      </c>
      <c r="BH156" s="3">
        <f t="shared" si="43"/>
        <v>2.1657654346906252E-2</v>
      </c>
      <c r="BI156" s="3">
        <f t="shared" si="43"/>
        <v>2.1115917820017316E-2</v>
      </c>
    </row>
    <row r="157" spans="1:124" ht="21" customHeight="1" x14ac:dyDescent="0.35">
      <c r="A157" s="15" t="s">
        <v>242</v>
      </c>
      <c r="B157" s="3"/>
      <c r="C157" s="3">
        <f t="shared" ref="C157:BI157" si="44">+C152*C154*(1+B16)-1</f>
        <v>6.3822094273012109E-2</v>
      </c>
      <c r="D157" s="3">
        <f t="shared" si="44"/>
        <v>4.5564252318661458E-2</v>
      </c>
      <c r="E157" s="3">
        <f t="shared" si="44"/>
        <v>4.3100056622696004E-2</v>
      </c>
      <c r="F157" s="3">
        <f t="shared" si="44"/>
        <v>4.0765004032564001E-2</v>
      </c>
      <c r="G157" s="3">
        <f t="shared" si="44"/>
        <v>3.8581363135280045E-2</v>
      </c>
      <c r="H157" s="3">
        <f t="shared" si="44"/>
        <v>3.6552650182873236E-2</v>
      </c>
      <c r="I157" s="3">
        <f t="shared" si="44"/>
        <v>3.4673252976684443E-2</v>
      </c>
      <c r="J157" s="3">
        <f t="shared" si="44"/>
        <v>3.2933609194626623E-2</v>
      </c>
      <c r="K157" s="3">
        <f t="shared" si="44"/>
        <v>3.1322926960826836E-2</v>
      </c>
      <c r="L157" s="3">
        <f t="shared" si="44"/>
        <v>2.9830561182563331E-2</v>
      </c>
      <c r="M157" s="3">
        <f t="shared" si="44"/>
        <v>2.8446667278963389E-2</v>
      </c>
      <c r="N157" s="3">
        <f t="shared" si="44"/>
        <v>2.7162481938113991E-2</v>
      </c>
      <c r="O157" s="3">
        <f t="shared" si="44"/>
        <v>2.5970433893165223E-2</v>
      </c>
      <c r="P157" s="3">
        <f t="shared" si="44"/>
        <v>2.4864214251126393E-2</v>
      </c>
      <c r="Q157" s="3">
        <f t="shared" si="44"/>
        <v>2.3838909840169675E-2</v>
      </c>
      <c r="R157" s="3">
        <f t="shared" si="44"/>
        <v>2.2891315409980351E-2</v>
      </c>
      <c r="S157" s="3">
        <f t="shared" si="44"/>
        <v>2.2020596845963913E-2</v>
      </c>
      <c r="T157" s="3">
        <f t="shared" si="44"/>
        <v>2.1229600267643756E-2</v>
      </c>
      <c r="U157" s="3">
        <f t="shared" si="44"/>
        <v>2.0533449226977307E-2</v>
      </c>
      <c r="V157" s="3">
        <f t="shared" si="44"/>
        <v>1.9945763187313892E-2</v>
      </c>
      <c r="W157" s="3">
        <f t="shared" si="44"/>
        <v>1.9496530416471147E-2</v>
      </c>
      <c r="X157" s="3">
        <f t="shared" si="44"/>
        <v>1.9082718655906827E-2</v>
      </c>
      <c r="Y157" s="3">
        <f t="shared" si="44"/>
        <v>1.8614017121945992E-2</v>
      </c>
      <c r="Z157" s="3">
        <f t="shared" si="44"/>
        <v>1.8116566515619992E-2</v>
      </c>
      <c r="AA157" s="3">
        <f t="shared" si="44"/>
        <v>1.7606241822287982E-2</v>
      </c>
      <c r="AB157" s="3">
        <f t="shared" si="44"/>
        <v>1.7092820877699255E-2</v>
      </c>
      <c r="AC157" s="3">
        <f t="shared" si="44"/>
        <v>1.6582429816780486E-2</v>
      </c>
      <c r="AD157" s="3">
        <f t="shared" si="44"/>
        <v>1.607897243775458E-2</v>
      </c>
      <c r="AE157" s="3">
        <f t="shared" si="44"/>
        <v>1.5584969063393572E-2</v>
      </c>
      <c r="AF157" s="3">
        <f t="shared" si="44"/>
        <v>1.510205377125029E-2</v>
      </c>
      <c r="AG157" s="3">
        <f t="shared" si="44"/>
        <v>1.4631274096333247E-2</v>
      </c>
      <c r="AH157" s="3">
        <f t="shared" si="44"/>
        <v>1.4173276578711258E-2</v>
      </c>
      <c r="AI157" s="3">
        <f t="shared" si="44"/>
        <v>1.3728425666687194E-2</v>
      </c>
      <c r="AJ157" s="3">
        <f t="shared" si="44"/>
        <v>1.3296883722348385E-2</v>
      </c>
      <c r="AK157" s="3">
        <f t="shared" si="44"/>
        <v>1.2878668161083739E-2</v>
      </c>
      <c r="AL157" s="3">
        <f t="shared" si="44"/>
        <v>1.2473695764792625E-2</v>
      </c>
      <c r="AM157" s="3">
        <f t="shared" si="44"/>
        <v>1.2081821147811089E-2</v>
      </c>
      <c r="AN157" s="3">
        <f t="shared" si="44"/>
        <v>1.1702875699155957E-2</v>
      </c>
      <c r="AO157" s="3">
        <f t="shared" si="44"/>
        <v>1.1336714563627392E-2</v>
      </c>
      <c r="AP157" s="3">
        <f t="shared" si="44"/>
        <v>1.0983282905536962E-2</v>
      </c>
      <c r="AQ157" s="3">
        <f t="shared" si="44"/>
        <v>1.0642719968471992E-2</v>
      </c>
      <c r="AR157" s="3">
        <f t="shared" si="44"/>
        <v>1.0315532791639992E-2</v>
      </c>
      <c r="AS157" s="3">
        <f t="shared" si="44"/>
        <v>1.0002895249781929E-2</v>
      </c>
      <c r="AT157" s="3">
        <f t="shared" si="44"/>
        <v>9.7071705858673418E-3</v>
      </c>
      <c r="AU157" s="3">
        <f t="shared" si="44"/>
        <v>9.4328314126357338E-3</v>
      </c>
      <c r="AV157" s="3">
        <f t="shared" si="44"/>
        <v>9.1880882486794491E-3</v>
      </c>
      <c r="AW157" s="3">
        <f t="shared" si="44"/>
        <v>8.9877895193899437E-3</v>
      </c>
      <c r="AX157" s="3">
        <f t="shared" si="44"/>
        <v>8.8586347909469509E-3</v>
      </c>
      <c r="AY157" s="3">
        <f t="shared" si="44"/>
        <v>8.848698647376807E-3</v>
      </c>
      <c r="AZ157" s="3">
        <f t="shared" si="44"/>
        <v>1.5059717525292005E-3</v>
      </c>
      <c r="BA157" s="3">
        <f t="shared" si="44"/>
        <v>9.7037849820771349E-3</v>
      </c>
      <c r="BB157" s="3">
        <f t="shared" si="44"/>
        <v>8.8679692980684344E-3</v>
      </c>
      <c r="BC157" s="3">
        <f t="shared" si="44"/>
        <v>8.2273240409489468E-3</v>
      </c>
      <c r="BD157" s="3">
        <f t="shared" si="44"/>
        <v>7.7210923636914508E-3</v>
      </c>
      <c r="BE157" s="3">
        <f t="shared" si="44"/>
        <v>7.3088961972938016E-3</v>
      </c>
      <c r="BF157" s="3">
        <f t="shared" si="44"/>
        <v>6.9634591615508334E-3</v>
      </c>
      <c r="BG157" s="3">
        <f t="shared" si="44"/>
        <v>6.7537205927288291E-3</v>
      </c>
      <c r="BH157" s="3">
        <f t="shared" si="44"/>
        <v>6.5623514301884622E-3</v>
      </c>
      <c r="BI157" s="3">
        <f t="shared" si="44"/>
        <v>6.0282044002424318E-3</v>
      </c>
    </row>
    <row r="158" spans="1:124" ht="21" customHeight="1" x14ac:dyDescent="0.35">
      <c r="A158" s="15" t="s">
        <v>243</v>
      </c>
      <c r="B158" s="3"/>
      <c r="C158" s="3">
        <f t="shared" ref="C158:BI158" si="45">+C155*(1+B9)-1</f>
        <v>5.1620343515456302E-2</v>
      </c>
      <c r="D158" s="3">
        <f t="shared" si="45"/>
        <v>5.0704374025787979E-2</v>
      </c>
      <c r="E158" s="3">
        <f t="shared" si="45"/>
        <v>4.9636591241446926E-2</v>
      </c>
      <c r="F158" s="3">
        <f t="shared" si="45"/>
        <v>4.8504795964295244E-2</v>
      </c>
      <c r="G158" s="3">
        <f t="shared" si="45"/>
        <v>4.7357941235274925E-2</v>
      </c>
      <c r="H158" s="3">
        <f t="shared" si="45"/>
        <v>4.6222561896068104E-2</v>
      </c>
      <c r="I158" s="3">
        <f t="shared" si="45"/>
        <v>4.5112869445639081E-2</v>
      </c>
      <c r="J158" s="3">
        <f t="shared" si="45"/>
        <v>4.4036367639258334E-2</v>
      </c>
      <c r="K158" s="3">
        <f t="shared" si="45"/>
        <v>4.2996959807395374E-2</v>
      </c>
      <c r="L158" s="3">
        <f t="shared" si="45"/>
        <v>4.1996660122490148E-2</v>
      </c>
      <c r="M158" s="3">
        <f t="shared" si="45"/>
        <v>4.1036534893764465E-2</v>
      </c>
      <c r="N158" s="3">
        <f t="shared" si="45"/>
        <v>4.011722962080011E-2</v>
      </c>
      <c r="O158" s="3">
        <f t="shared" si="45"/>
        <v>3.9239290933774873E-2</v>
      </c>
      <c r="P158" s="3">
        <f t="shared" si="45"/>
        <v>3.8403418644277876E-2</v>
      </c>
      <c r="Q158" s="3">
        <f t="shared" si="45"/>
        <v>3.7610756630744646E-2</v>
      </c>
      <c r="R158" s="3">
        <f t="shared" si="45"/>
        <v>3.6863343516872371E-2</v>
      </c>
      <c r="S158" s="3">
        <f t="shared" si="45"/>
        <v>3.6164900861893168E-2</v>
      </c>
      <c r="T158" s="3">
        <f t="shared" si="45"/>
        <v>3.5522260709961451E-2</v>
      </c>
      <c r="U158" s="3">
        <f t="shared" si="45"/>
        <v>3.4954171183735783E-2</v>
      </c>
      <c r="V158" s="3">
        <f t="shared" si="45"/>
        <v>3.4477398120726699E-2</v>
      </c>
      <c r="W158" s="3">
        <f t="shared" si="45"/>
        <v>3.4124914345515345E-2</v>
      </c>
      <c r="X158" s="3">
        <f t="shared" si="45"/>
        <v>3.3794413872449525E-2</v>
      </c>
      <c r="Y158" s="3">
        <f t="shared" si="45"/>
        <v>3.3396162588054334E-2</v>
      </c>
      <c r="Z158" s="3">
        <f t="shared" si="45"/>
        <v>3.2958296661722564E-2</v>
      </c>
      <c r="AA158" s="3">
        <f t="shared" si="45"/>
        <v>3.2498326410628886E-2</v>
      </c>
      <c r="AB158" s="3">
        <f t="shared" si="45"/>
        <v>3.2027390302100445E-2</v>
      </c>
      <c r="AC158" s="3">
        <f t="shared" si="45"/>
        <v>3.155275927444845E-2</v>
      </c>
      <c r="AD158" s="3">
        <f t="shared" si="45"/>
        <v>3.1079307956685565E-2</v>
      </c>
      <c r="AE158" s="3">
        <f t="shared" si="45"/>
        <v>3.0610384399506252E-2</v>
      </c>
      <c r="AF158" s="3">
        <f t="shared" si="45"/>
        <v>3.0148330907619147E-2</v>
      </c>
      <c r="AG158" s="3">
        <f t="shared" si="45"/>
        <v>2.9694802373315676E-2</v>
      </c>
      <c r="AH158" s="3">
        <f t="shared" si="45"/>
        <v>2.9250966925788102E-2</v>
      </c>
      <c r="AI158" s="3">
        <f t="shared" si="45"/>
        <v>2.8817637323232725E-2</v>
      </c>
      <c r="AJ158" s="3">
        <f t="shared" si="45"/>
        <v>2.8395361446351242E-2</v>
      </c>
      <c r="AK158" s="3">
        <f t="shared" si="45"/>
        <v>2.7984488344642733E-2</v>
      </c>
      <c r="AL158" s="3">
        <f t="shared" si="45"/>
        <v>2.7585220186203685E-2</v>
      </c>
      <c r="AM158" s="3">
        <f t="shared" si="45"/>
        <v>2.7197657336370362E-2</v>
      </c>
      <c r="AN158" s="3">
        <f t="shared" si="45"/>
        <v>2.6821843107726506E-2</v>
      </c>
      <c r="AO158" s="3">
        <f t="shared" si="45"/>
        <v>2.6457815965682308E-2</v>
      </c>
      <c r="AP158" s="3">
        <f t="shared" si="45"/>
        <v>2.6105680696158151E-2</v>
      </c>
      <c r="AQ158" s="3">
        <f t="shared" si="45"/>
        <v>2.5765717408166688E-2</v>
      </c>
      <c r="AR158" s="3">
        <f t="shared" si="45"/>
        <v>2.5438560780516983E-2</v>
      </c>
      <c r="AS158" s="3">
        <f t="shared" si="45"/>
        <v>2.5125506115841301E-2</v>
      </c>
      <c r="AT158" s="3">
        <f t="shared" si="45"/>
        <v>2.4829041896509807E-2</v>
      </c>
      <c r="AU158" s="3">
        <f t="shared" si="45"/>
        <v>2.4553785473534706E-2</v>
      </c>
      <c r="AV158" s="3">
        <f t="shared" si="45"/>
        <v>2.4308137658910711E-2</v>
      </c>
      <c r="AW158" s="3">
        <f t="shared" si="45"/>
        <v>2.4107227628284322E-2</v>
      </c>
      <c r="AX158" s="3">
        <f t="shared" si="45"/>
        <v>2.397820555519159E-2</v>
      </c>
      <c r="AY158" s="3">
        <f t="shared" si="45"/>
        <v>2.396991036766094E-2</v>
      </c>
      <c r="AZ158" s="3">
        <f t="shared" si="45"/>
        <v>1.6518664281841122E-2</v>
      </c>
      <c r="BA158" s="3">
        <f t="shared" si="45"/>
        <v>2.4840705641208105E-2</v>
      </c>
      <c r="BB158" s="3">
        <f t="shared" si="45"/>
        <v>2.3993520376278221E-2</v>
      </c>
      <c r="BC158" s="3">
        <f t="shared" si="45"/>
        <v>2.3344273975236973E-2</v>
      </c>
      <c r="BD158" s="3">
        <f t="shared" si="45"/>
        <v>2.2831320423250867E-2</v>
      </c>
      <c r="BE158" s="3">
        <f t="shared" si="45"/>
        <v>2.2413694864945821E-2</v>
      </c>
      <c r="BF158" s="3">
        <f t="shared" si="45"/>
        <v>2.2063727936276312E-2</v>
      </c>
      <c r="BG158" s="3">
        <f t="shared" si="45"/>
        <v>2.1851406628865311E-2</v>
      </c>
      <c r="BH158" s="3">
        <f t="shared" si="45"/>
        <v>2.1657654346906252E-2</v>
      </c>
      <c r="BI158" s="3">
        <f t="shared" si="45"/>
        <v>2.1115917820017316E-2</v>
      </c>
    </row>
    <row r="159" spans="1:124" ht="21" customHeight="1" x14ac:dyDescent="0.35">
      <c r="A159" s="90" t="s">
        <v>245</v>
      </c>
      <c r="B159" s="51">
        <v>1</v>
      </c>
      <c r="C159" s="51">
        <f>+B159/(1+C156)^5</f>
        <v>0.77750842815035603</v>
      </c>
      <c r="D159" s="51">
        <f t="shared" ref="D159:BI159" si="46">+C159/(1+D156)^5</f>
        <v>0.60715895444917267</v>
      </c>
      <c r="E159" s="51">
        <f t="shared" si="46"/>
        <v>0.47654903399957682</v>
      </c>
      <c r="F159" s="51">
        <f t="shared" si="46"/>
        <v>0.37605856715374275</v>
      </c>
      <c r="G159" s="51">
        <f t="shared" si="46"/>
        <v>0.29838695821952826</v>
      </c>
      <c r="H159" s="51">
        <f t="shared" si="46"/>
        <v>0.23804520086318817</v>
      </c>
      <c r="I159" s="51">
        <f t="shared" si="46"/>
        <v>0.19091649473697445</v>
      </c>
      <c r="J159" s="51">
        <f t="shared" si="46"/>
        <v>0.15390946090634519</v>
      </c>
      <c r="K159" s="51">
        <f t="shared" si="46"/>
        <v>0.12469530573716661</v>
      </c>
      <c r="L159" s="51">
        <f t="shared" si="46"/>
        <v>0.10151225368762705</v>
      </c>
      <c r="M159" s="51">
        <f t="shared" si="46"/>
        <v>8.3021124901604015E-2</v>
      </c>
      <c r="N159" s="51">
        <f t="shared" si="46"/>
        <v>6.8198867173311278E-2</v>
      </c>
      <c r="O159" s="51">
        <f t="shared" si="46"/>
        <v>5.625995380220563E-2</v>
      </c>
      <c r="P159" s="51">
        <f t="shared" si="46"/>
        <v>4.659816608636274E-2</v>
      </c>
      <c r="Q159" s="51">
        <f t="shared" si="46"/>
        <v>3.8743290095012421E-2</v>
      </c>
      <c r="R159" s="51">
        <f t="shared" si="46"/>
        <v>3.2328748543389067E-2</v>
      </c>
      <c r="S159" s="51">
        <f t="shared" si="46"/>
        <v>2.7067273351658042E-2</v>
      </c>
      <c r="T159" s="51">
        <f t="shared" si="46"/>
        <v>2.2732505870740362E-2</v>
      </c>
      <c r="U159" s="51">
        <f t="shared" si="46"/>
        <v>1.9144398062032362E-2</v>
      </c>
      <c r="V159" s="51">
        <f t="shared" si="46"/>
        <v>1.6159826137316893E-2</v>
      </c>
      <c r="W159" s="51">
        <f t="shared" si="46"/>
        <v>1.36638056809691E-2</v>
      </c>
      <c r="X159" s="51">
        <f t="shared" si="46"/>
        <v>1.1571796070901639E-2</v>
      </c>
      <c r="Y159" s="51">
        <f t="shared" si="46"/>
        <v>9.8189839237922735E-3</v>
      </c>
      <c r="Z159" s="51">
        <f t="shared" si="46"/>
        <v>8.3493488666400648E-3</v>
      </c>
      <c r="AA159" s="51">
        <f t="shared" si="46"/>
        <v>7.1155066026733667E-3</v>
      </c>
      <c r="AB159" s="51">
        <f t="shared" si="46"/>
        <v>6.077846216917808E-3</v>
      </c>
      <c r="AC159" s="51">
        <f t="shared" si="46"/>
        <v>5.2034631324741317E-3</v>
      </c>
      <c r="AD159" s="51">
        <f t="shared" si="46"/>
        <v>4.4651096151023415E-3</v>
      </c>
      <c r="AE159" s="51">
        <f t="shared" si="46"/>
        <v>3.8402505014225202E-3</v>
      </c>
      <c r="AF159" s="51">
        <f t="shared" si="46"/>
        <v>3.310249575179025E-3</v>
      </c>
      <c r="AG159" s="51">
        <f t="shared" si="46"/>
        <v>2.8596845945147559E-3</v>
      </c>
      <c r="AH159" s="51">
        <f t="shared" si="46"/>
        <v>2.4757781026968719E-3</v>
      </c>
      <c r="AI159" s="51">
        <f t="shared" si="46"/>
        <v>2.1479279684200811E-3</v>
      </c>
      <c r="AJ159" s="51">
        <f t="shared" si="46"/>
        <v>1.8673218006169058E-3</v>
      </c>
      <c r="AK159" s="51">
        <f t="shared" si="46"/>
        <v>1.6266209451536351E-3</v>
      </c>
      <c r="AL159" s="51">
        <f t="shared" si="46"/>
        <v>1.4197017392929871E-3</v>
      </c>
      <c r="AM159" s="51">
        <f t="shared" si="46"/>
        <v>1.2414436548466871E-3</v>
      </c>
      <c r="AN159" s="51">
        <f t="shared" si="46"/>
        <v>1.0875557274463497E-3</v>
      </c>
      <c r="AO159" s="51">
        <f t="shared" si="46"/>
        <v>9.5443419334282124E-4</v>
      </c>
      <c r="AP159" s="51">
        <f t="shared" si="46"/>
        <v>8.3904553407708493E-4</v>
      </c>
      <c r="AQ159" s="51">
        <f t="shared" si="46"/>
        <v>7.3883018294225412E-4</v>
      </c>
      <c r="AR159" s="51">
        <f t="shared" si="46"/>
        <v>6.5162300089466048E-4</v>
      </c>
      <c r="AS159" s="51">
        <f t="shared" si="46"/>
        <v>5.7558730802470353E-4</v>
      </c>
      <c r="AT159" s="51">
        <f t="shared" si="46"/>
        <v>5.0915977818250229E-4</v>
      </c>
      <c r="AU159" s="51">
        <f t="shared" si="46"/>
        <v>4.5100387908627459E-4</v>
      </c>
      <c r="AV159" s="51">
        <f t="shared" si="46"/>
        <v>3.9996976444955652E-4</v>
      </c>
      <c r="AW159" s="51">
        <f t="shared" si="46"/>
        <v>3.5505857550810927E-4</v>
      </c>
      <c r="AX159" s="51">
        <f t="shared" si="46"/>
        <v>3.153889261850051E-4</v>
      </c>
      <c r="AY159" s="51">
        <f t="shared" si="46"/>
        <v>2.8016279771872661E-4</v>
      </c>
      <c r="AZ159" s="51">
        <f t="shared" si="46"/>
        <v>2.5812714624855795E-4</v>
      </c>
      <c r="BA159" s="51">
        <f t="shared" si="46"/>
        <v>2.2832414811060567E-4</v>
      </c>
      <c r="BB159" s="51">
        <f t="shared" si="46"/>
        <v>2.0279899728147544E-4</v>
      </c>
      <c r="BC159" s="51">
        <f t="shared" si="46"/>
        <v>1.8069951382023924E-4</v>
      </c>
      <c r="BD159" s="51">
        <f t="shared" si="46"/>
        <v>1.6141239925841918E-4</v>
      </c>
      <c r="BE159" s="51">
        <f t="shared" si="46"/>
        <v>1.4447862593194643E-4</v>
      </c>
      <c r="BF159" s="51">
        <f t="shared" si="46"/>
        <v>1.2954293226609943E-4</v>
      </c>
      <c r="BG159" s="51">
        <f t="shared" si="46"/>
        <v>1.1627195849096662E-4</v>
      </c>
      <c r="BH159" s="51">
        <f t="shared" si="46"/>
        <v>1.0445951911222071E-4</v>
      </c>
      <c r="BI159" s="51">
        <f t="shared" si="46"/>
        <v>9.4096352856889854E-5</v>
      </c>
      <c r="BJ159" s="51"/>
      <c r="BK159" s="51"/>
      <c r="BL159" s="51"/>
      <c r="BM159" s="51"/>
      <c r="BN159" s="51"/>
      <c r="BO159" s="51"/>
      <c r="BP159" s="51"/>
      <c r="BQ159" s="51"/>
      <c r="BR159" s="51"/>
      <c r="BS159" s="51"/>
      <c r="BT159" s="51"/>
      <c r="BU159" s="51"/>
      <c r="BV159" s="51"/>
      <c r="BW159" s="51"/>
      <c r="BX159" s="51"/>
      <c r="BY159" s="51"/>
      <c r="BZ159" s="51"/>
      <c r="CA159" s="51"/>
      <c r="CB159" s="51"/>
      <c r="CC159" s="51"/>
      <c r="CD159" s="51"/>
      <c r="CE159" s="51"/>
      <c r="CF159" s="51"/>
      <c r="CG159" s="51"/>
      <c r="CH159" s="51"/>
      <c r="CI159" s="51"/>
      <c r="CJ159" s="51"/>
      <c r="CK159" s="51"/>
      <c r="CL159" s="51"/>
      <c r="CM159" s="51"/>
      <c r="CN159" s="51"/>
      <c r="CO159" s="51"/>
      <c r="CP159" s="51"/>
      <c r="CQ159" s="51"/>
      <c r="CR159" s="51"/>
      <c r="CS159" s="51"/>
      <c r="CT159" s="51"/>
      <c r="CU159" s="51"/>
      <c r="CV159" s="51"/>
      <c r="CW159" s="51"/>
      <c r="CX159" s="51"/>
      <c r="CY159" s="51"/>
      <c r="CZ159" s="51"/>
      <c r="DA159" s="51"/>
      <c r="DB159" s="51"/>
      <c r="DC159" s="51"/>
      <c r="DD159" s="51"/>
      <c r="DE159" s="51"/>
      <c r="DF159" s="51"/>
      <c r="DG159" s="51"/>
      <c r="DH159" s="51"/>
      <c r="DI159" s="51"/>
      <c r="DJ159" s="51"/>
      <c r="DK159" s="51"/>
      <c r="DL159" s="51"/>
      <c r="DM159" s="51"/>
      <c r="DN159" s="51"/>
      <c r="DO159" s="51"/>
      <c r="DP159" s="51"/>
      <c r="DQ159" s="51"/>
      <c r="DR159" s="51"/>
      <c r="DS159" s="51"/>
      <c r="DT159" s="51"/>
    </row>
    <row r="160" spans="1:124" ht="21" customHeight="1" x14ac:dyDescent="0.35">
      <c r="A160" s="51"/>
      <c r="C160" s="51"/>
      <c r="D160" s="51"/>
      <c r="E160" s="51"/>
      <c r="F160" s="51"/>
      <c r="G160" s="51"/>
      <c r="H160" s="51"/>
      <c r="I160" s="51"/>
      <c r="J160" s="51"/>
      <c r="K160" s="51"/>
      <c r="L160" s="51"/>
      <c r="M160" s="51"/>
      <c r="N160" s="51"/>
      <c r="O160" s="51"/>
      <c r="P160" s="51"/>
      <c r="Q160" s="51"/>
      <c r="R160" s="51"/>
      <c r="S160" s="51"/>
      <c r="T160" s="51"/>
      <c r="U160" s="51"/>
      <c r="V160" s="51"/>
      <c r="W160" s="51"/>
      <c r="X160" s="51"/>
      <c r="Y160" s="51"/>
      <c r="Z160" s="51"/>
      <c r="AA160" s="51"/>
      <c r="AB160" s="51"/>
      <c r="AC160" s="51"/>
      <c r="AD160" s="51"/>
      <c r="AE160" s="51"/>
      <c r="AF160" s="51"/>
      <c r="AG160" s="51"/>
      <c r="AH160" s="51"/>
      <c r="AI160" s="51"/>
      <c r="AJ160" s="51"/>
      <c r="AK160" s="51"/>
      <c r="AL160" s="51"/>
      <c r="AM160" s="51"/>
      <c r="AN160" s="51"/>
      <c r="AO160" s="51"/>
      <c r="AP160" s="51"/>
      <c r="AQ160" s="51"/>
      <c r="AR160" s="51"/>
      <c r="AS160" s="51"/>
      <c r="AT160" s="51"/>
      <c r="AU160" s="51"/>
      <c r="AV160" s="51"/>
      <c r="AW160" s="51"/>
      <c r="AX160" s="51"/>
      <c r="AY160" s="51"/>
      <c r="AZ160" s="51"/>
      <c r="BA160" s="51"/>
      <c r="BB160" s="51"/>
      <c r="BC160" s="51"/>
      <c r="BD160" s="51"/>
      <c r="BE160" s="51"/>
      <c r="BF160" s="51"/>
      <c r="BG160" s="51"/>
      <c r="BH160" s="51"/>
      <c r="BI160" s="51"/>
      <c r="BJ160" s="51"/>
      <c r="BK160" s="51"/>
      <c r="BL160" s="51"/>
      <c r="BM160" s="51"/>
      <c r="BN160" s="51"/>
      <c r="BO160" s="51"/>
      <c r="BP160" s="51"/>
      <c r="BQ160" s="51"/>
      <c r="BR160" s="51"/>
      <c r="BS160" s="51"/>
      <c r="BT160" s="51"/>
      <c r="BU160" s="51"/>
      <c r="BV160" s="51"/>
      <c r="BW160" s="51"/>
      <c r="BX160" s="51"/>
      <c r="BY160" s="51"/>
      <c r="BZ160" s="51"/>
      <c r="CA160" s="51"/>
      <c r="CB160" s="51"/>
      <c r="CC160" s="51"/>
      <c r="CD160" s="51"/>
      <c r="CE160" s="51"/>
      <c r="CF160" s="51"/>
      <c r="CG160" s="51"/>
      <c r="CH160" s="51"/>
      <c r="CI160" s="51"/>
      <c r="CJ160" s="51"/>
      <c r="CK160" s="51"/>
      <c r="CL160" s="51"/>
      <c r="CM160" s="51"/>
      <c r="CN160" s="51"/>
      <c r="CO160" s="51"/>
      <c r="CP160" s="51"/>
      <c r="CQ160" s="51"/>
      <c r="CR160" s="51"/>
      <c r="CS160" s="51"/>
      <c r="CT160" s="51"/>
      <c r="CU160" s="51"/>
      <c r="CV160" s="51"/>
      <c r="CW160" s="51"/>
      <c r="CX160" s="51"/>
      <c r="CY160" s="51"/>
      <c r="CZ160" s="51"/>
      <c r="DA160" s="51"/>
      <c r="DB160" s="51"/>
      <c r="DC160" s="51"/>
      <c r="DD160" s="51"/>
      <c r="DE160" s="51"/>
      <c r="DF160" s="51"/>
      <c r="DG160" s="51"/>
      <c r="DH160" s="51"/>
      <c r="DI160" s="51"/>
      <c r="DJ160" s="51"/>
      <c r="DK160" s="51"/>
      <c r="DL160" s="51"/>
      <c r="DM160" s="51"/>
      <c r="DN160" s="51"/>
      <c r="DO160" s="51"/>
      <c r="DP160" s="51"/>
      <c r="DQ160" s="51"/>
      <c r="DR160" s="51"/>
      <c r="DS160" s="51"/>
      <c r="DT160" s="51"/>
    </row>
    <row r="161" spans="1:124" ht="21" customHeight="1" x14ac:dyDescent="0.35">
      <c r="A161" s="51"/>
      <c r="C161" s="51"/>
      <c r="D161" s="51"/>
      <c r="E161" s="51"/>
      <c r="F161" s="51"/>
      <c r="G161" s="51"/>
      <c r="H161" s="51"/>
      <c r="I161" s="51"/>
      <c r="J161" s="51"/>
      <c r="K161" s="51"/>
      <c r="L161" s="51"/>
      <c r="M161" s="51"/>
      <c r="N161" s="51"/>
      <c r="O161" s="51"/>
      <c r="P161" s="51"/>
      <c r="Q161" s="51"/>
      <c r="R161" s="51"/>
      <c r="S161" s="51"/>
      <c r="T161" s="51"/>
      <c r="U161" s="51"/>
      <c r="V161" s="51"/>
      <c r="W161" s="51"/>
      <c r="X161" s="51"/>
      <c r="Y161" s="51"/>
      <c r="Z161" s="51"/>
      <c r="AA161" s="51"/>
      <c r="AB161" s="51"/>
      <c r="AC161" s="51"/>
      <c r="AD161" s="51"/>
      <c r="AE161" s="51"/>
      <c r="AF161" s="51"/>
      <c r="AG161" s="51"/>
      <c r="AH161" s="51"/>
      <c r="AI161" s="51"/>
      <c r="AJ161" s="51"/>
      <c r="AK161" s="51"/>
      <c r="AL161" s="51"/>
      <c r="AM161" s="51"/>
      <c r="AN161" s="51"/>
      <c r="AO161" s="51"/>
      <c r="AP161" s="51"/>
      <c r="AQ161" s="51"/>
      <c r="AR161" s="51"/>
      <c r="AS161" s="51"/>
      <c r="AT161" s="51"/>
      <c r="AU161" s="51"/>
      <c r="AV161" s="51"/>
      <c r="AW161" s="51"/>
      <c r="AX161" s="51"/>
      <c r="AY161" s="51"/>
      <c r="AZ161" s="51"/>
      <c r="BA161" s="51"/>
      <c r="BB161" s="51"/>
      <c r="BC161" s="51"/>
      <c r="BD161" s="51"/>
      <c r="BE161" s="51"/>
      <c r="BF161" s="51"/>
      <c r="BG161" s="51"/>
      <c r="BH161" s="51"/>
      <c r="BI161" s="51"/>
      <c r="BJ161" s="51"/>
      <c r="BK161" s="51"/>
      <c r="BL161" s="51"/>
      <c r="BM161" s="51"/>
      <c r="BN161" s="51"/>
      <c r="BO161" s="51"/>
      <c r="BP161" s="51"/>
      <c r="BQ161" s="51"/>
      <c r="BR161" s="51"/>
      <c r="BS161" s="51"/>
      <c r="BT161" s="51"/>
      <c r="BU161" s="51"/>
      <c r="BV161" s="51"/>
      <c r="BW161" s="51"/>
      <c r="BX161" s="51"/>
      <c r="BY161" s="51"/>
      <c r="BZ161" s="51"/>
      <c r="CA161" s="51"/>
      <c r="CB161" s="51"/>
      <c r="CC161" s="51"/>
      <c r="CD161" s="51"/>
      <c r="CE161" s="51"/>
      <c r="CF161" s="51"/>
      <c r="CG161" s="51"/>
      <c r="CH161" s="51"/>
      <c r="CI161" s="51"/>
      <c r="CJ161" s="51"/>
      <c r="CK161" s="51"/>
      <c r="CL161" s="51"/>
      <c r="CM161" s="51"/>
      <c r="CN161" s="51"/>
      <c r="CO161" s="51"/>
      <c r="CP161" s="51"/>
      <c r="CQ161" s="51"/>
      <c r="CR161" s="51"/>
      <c r="CS161" s="51"/>
      <c r="CT161" s="51"/>
      <c r="CU161" s="51"/>
      <c r="CV161" s="51"/>
      <c r="CW161" s="51"/>
      <c r="CX161" s="51"/>
      <c r="CY161" s="51"/>
      <c r="CZ161" s="51"/>
      <c r="DA161" s="51"/>
      <c r="DB161" s="51"/>
      <c r="DC161" s="51"/>
      <c r="DD161" s="51"/>
      <c r="DE161" s="51"/>
      <c r="DF161" s="51"/>
      <c r="DG161" s="51"/>
      <c r="DH161" s="51"/>
      <c r="DI161" s="51"/>
      <c r="DJ161" s="51"/>
      <c r="DK161" s="51"/>
      <c r="DL161" s="51"/>
      <c r="DM161" s="51"/>
      <c r="DN161" s="51"/>
      <c r="DO161" s="51"/>
      <c r="DP161" s="51"/>
      <c r="DQ161" s="51"/>
      <c r="DR161" s="51"/>
      <c r="DS161" s="51"/>
      <c r="DT161" s="51"/>
    </row>
    <row r="162" spans="1:124" s="57" customFormat="1" ht="45.65" customHeight="1" thickBot="1" x14ac:dyDescent="0.4">
      <c r="A162" s="84" t="s">
        <v>61</v>
      </c>
      <c r="B162" s="57" t="s">
        <v>342</v>
      </c>
      <c r="D162" s="57" t="s">
        <v>343</v>
      </c>
      <c r="E162" s="57" t="s">
        <v>340</v>
      </c>
      <c r="F162" s="153" t="s">
        <v>341</v>
      </c>
      <c r="G162" s="153"/>
    </row>
    <row r="163" spans="1:124" ht="21" customHeight="1" thickTop="1" x14ac:dyDescent="0.35">
      <c r="A163" s="15" t="s">
        <v>61</v>
      </c>
      <c r="B163" s="3"/>
      <c r="F163" s="3" t="s">
        <v>251</v>
      </c>
      <c r="G163" s="3" t="s">
        <v>252</v>
      </c>
    </row>
    <row r="164" spans="1:124" ht="21" customHeight="1" x14ac:dyDescent="0.35">
      <c r="A164" s="15" t="s">
        <v>244</v>
      </c>
      <c r="B164" s="3">
        <f>+SUMPRODUCT(B159:T159*B124:T124)*5</f>
        <v>2258.656548734687</v>
      </c>
      <c r="D164" s="3">
        <f>+SUMPRODUCT(Base!B155:T155*B124:T124)*5</f>
        <v>2259.9408046650228</v>
      </c>
      <c r="E164" s="2">
        <v>2263.2194535643148</v>
      </c>
      <c r="F164" s="3">
        <f t="shared" ref="F164:F168" si="47">+D164-E164</f>
        <v>-3.2786488992919658</v>
      </c>
      <c r="G164" s="6">
        <f>+F164*1000</f>
        <v>-3278.6488992919658</v>
      </c>
    </row>
    <row r="165" spans="1:124" ht="21" customHeight="1" x14ac:dyDescent="0.35">
      <c r="A165" s="15" t="s">
        <v>64</v>
      </c>
      <c r="B165" s="3">
        <f>+SUMPRODUCT(B159:AN159*B124:AN124)*5</f>
        <v>2613.645730852566</v>
      </c>
      <c r="D165" s="3">
        <f>+SUMPRODUCT(Base!B155:AN155*B124:AN124)*5</f>
        <v>2642.0527256316327</v>
      </c>
      <c r="E165" s="2">
        <v>2628.3554239442537</v>
      </c>
      <c r="F165" s="3">
        <f t="shared" si="47"/>
        <v>13.697301687378967</v>
      </c>
      <c r="G165" s="6">
        <f>+F165*1000</f>
        <v>13697.301687378967</v>
      </c>
    </row>
    <row r="166" spans="1:124" ht="21" customHeight="1" x14ac:dyDescent="0.35">
      <c r="A166" s="15" t="s">
        <v>62</v>
      </c>
      <c r="B166" s="3">
        <f>+SUMPRODUCT(B159:BH159*B124:BH124)*5</f>
        <v>2668.5602716710127</v>
      </c>
      <c r="D166" s="3">
        <f>+SUMPRODUCT(Base!B155:BH155*B124:BH124)*5</f>
        <v>2709.7827254691924</v>
      </c>
      <c r="E166" s="2">
        <v>2687.7370386156094</v>
      </c>
      <c r="F166" s="3">
        <f t="shared" si="47"/>
        <v>22.045686853582993</v>
      </c>
      <c r="G166" s="6">
        <f>+F166*1000</f>
        <v>22045.686853582993</v>
      </c>
    </row>
    <row r="167" spans="1:124" ht="21" customHeight="1" x14ac:dyDescent="0.35">
      <c r="A167" s="15" t="s">
        <v>63</v>
      </c>
      <c r="B167" s="154">
        <f>+SUMPRODUCT(B159:DQ159*B124:DQ124)*5</f>
        <v>2669.5422356542413</v>
      </c>
      <c r="D167" s="154">
        <f>+SUMPRODUCT(Base!B155:DQ155*B124:DQ124)*5</f>
        <v>2710.9754486042516</v>
      </c>
      <c r="E167" s="2">
        <v>2688.7936628310235</v>
      </c>
      <c r="F167" s="154">
        <f t="shared" si="47"/>
        <v>22.181785773228057</v>
      </c>
      <c r="G167" s="6">
        <f>+F167*1000</f>
        <v>22181.785773228057</v>
      </c>
    </row>
    <row r="168" spans="1:124" ht="21" customHeight="1" x14ac:dyDescent="0.35">
      <c r="A168" s="15" t="s">
        <v>249</v>
      </c>
      <c r="B168" s="156">
        <f>+B130</f>
        <v>2717.599051440362</v>
      </c>
      <c r="D168" s="154">
        <f>+B130</f>
        <v>2717.599051440362</v>
      </c>
      <c r="E168" s="2">
        <v>2688.7871964352134</v>
      </c>
      <c r="F168" s="154">
        <f t="shared" si="47"/>
        <v>28.811855005148573</v>
      </c>
      <c r="G168" s="6">
        <f>+F168*1000</f>
        <v>28811.855005148573</v>
      </c>
    </row>
    <row r="169" spans="1:124" ht="21" customHeight="1" thickBot="1" x14ac:dyDescent="0.4">
      <c r="A169" s="84" t="s">
        <v>99</v>
      </c>
      <c r="B169" s="3"/>
    </row>
    <row r="170" spans="1:124" ht="21" customHeight="1" thickTop="1" x14ac:dyDescent="0.35">
      <c r="A170" s="15" t="s">
        <v>233</v>
      </c>
      <c r="B170" s="3">
        <f t="shared" ref="B170:AU170" si="48">+B118/B105</f>
        <v>2.124572737974987</v>
      </c>
      <c r="C170" s="3">
        <f t="shared" si="48"/>
        <v>2.1342111149715026</v>
      </c>
      <c r="D170" s="3">
        <f t="shared" si="48"/>
        <v>2.1482106032465316</v>
      </c>
      <c r="E170" s="3">
        <f t="shared" si="48"/>
        <v>2.16507461386536</v>
      </c>
      <c r="F170" s="3">
        <f t="shared" si="48"/>
        <v>2.1831955075454532</v>
      </c>
      <c r="G170" s="3">
        <f t="shared" si="48"/>
        <v>2.2016823285618523</v>
      </c>
      <c r="H170" s="3">
        <f t="shared" si="48"/>
        <v>2.2200466856139114</v>
      </c>
      <c r="I170" s="3">
        <f t="shared" si="48"/>
        <v>2.2380280863382347</v>
      </c>
      <c r="J170" s="3">
        <f t="shared" si="48"/>
        <v>2.2554962688230047</v>
      </c>
      <c r="K170" s="3">
        <f t="shared" si="48"/>
        <v>2.2723963935719418</v>
      </c>
      <c r="L170" s="3">
        <f t="shared" si="48"/>
        <v>2.2887181386608599</v>
      </c>
      <c r="M170" s="3">
        <f t="shared" si="48"/>
        <v>2.3044780167489707</v>
      </c>
      <c r="N170" s="3">
        <f t="shared" si="48"/>
        <v>2.3197087680854076</v>
      </c>
      <c r="O170" s="3">
        <f t="shared" si="48"/>
        <v>2.3344521204556643</v>
      </c>
      <c r="P170" s="3">
        <f t="shared" si="48"/>
        <v>2.348752387026225</v>
      </c>
      <c r="Q170" s="3">
        <f t="shared" si="48"/>
        <v>2.3626486819241506</v>
      </c>
      <c r="R170" s="3">
        <f t="shared" si="48"/>
        <v>2.3761630465691952</v>
      </c>
      <c r="S170" s="3">
        <f t="shared" si="48"/>
        <v>2.3892802872392664</v>
      </c>
      <c r="T170" s="3">
        <f t="shared" si="48"/>
        <v>2.4019122392088361</v>
      </c>
      <c r="U170" s="3">
        <f t="shared" si="48"/>
        <v>2.4138332779556944</v>
      </c>
      <c r="V170" s="3">
        <f t="shared" si="48"/>
        <v>2.4246990518224334</v>
      </c>
      <c r="W170" s="3">
        <f t="shared" si="48"/>
        <v>2.4336996127164623</v>
      </c>
      <c r="X170" s="3">
        <f t="shared" si="48"/>
        <v>2.4427737375104099</v>
      </c>
      <c r="Y170" s="3">
        <f t="shared" si="48"/>
        <v>2.4538725844453353</v>
      </c>
      <c r="Z170" s="3">
        <f t="shared" si="48"/>
        <v>2.4662594228138275</v>
      </c>
      <c r="AA170" s="3">
        <f t="shared" si="48"/>
        <v>2.4794514369094576</v>
      </c>
      <c r="AB170" s="3">
        <f t="shared" si="48"/>
        <v>2.4931221323321746</v>
      </c>
      <c r="AC170" s="3">
        <f t="shared" si="48"/>
        <v>2.5070438488021711</v>
      </c>
      <c r="AD170" s="3">
        <f t="shared" si="48"/>
        <v>2.5210534701637579</v>
      </c>
      <c r="AE170" s="3">
        <f t="shared" si="48"/>
        <v>2.5350316012285501</v>
      </c>
      <c r="AF170" s="3">
        <f t="shared" si="48"/>
        <v>2.5488896037334032</v>
      </c>
      <c r="AG170" s="3">
        <f t="shared" si="48"/>
        <v>2.5625612568528098</v>
      </c>
      <c r="AH170" s="3">
        <f t="shared" si="48"/>
        <v>2.5759971750219921</v>
      </c>
      <c r="AI170" s="3">
        <f t="shared" si="48"/>
        <v>2.5891608996253161</v>
      </c>
      <c r="AJ170" s="3">
        <f t="shared" si="48"/>
        <v>2.6020260301903266</v>
      </c>
      <c r="AK170" s="3">
        <f t="shared" si="48"/>
        <v>2.6145740120692835</v>
      </c>
      <c r="AL170" s="3">
        <f t="shared" si="48"/>
        <v>2.6267923333927383</v>
      </c>
      <c r="AM170" s="3">
        <f t="shared" si="48"/>
        <v>2.6386729460834228</v>
      </c>
      <c r="AN170" s="3">
        <f t="shared" si="48"/>
        <v>2.6502107344213583</v>
      </c>
      <c r="AO170" s="3">
        <f t="shared" si="48"/>
        <v>2.6614018116727904</v>
      </c>
      <c r="AP170" s="3">
        <f t="shared" si="48"/>
        <v>2.672241315810759</v>
      </c>
      <c r="AQ170" s="3">
        <f t="shared" si="48"/>
        <v>2.6827201618851872</v>
      </c>
      <c r="AR170" s="3">
        <f t="shared" si="48"/>
        <v>2.6928198189856993</v>
      </c>
      <c r="AS170" s="3">
        <f t="shared" si="48"/>
        <v>2.7025034822059593</v>
      </c>
      <c r="AT170" s="3">
        <f t="shared" si="48"/>
        <v>2.7117007686708803</v>
      </c>
      <c r="AU170" s="3">
        <f t="shared" si="48"/>
        <v>2.7202808567446599</v>
      </c>
    </row>
    <row r="171" spans="1:124" ht="21" customHeight="1" x14ac:dyDescent="0.35">
      <c r="A171" s="15" t="s">
        <v>261</v>
      </c>
      <c r="C171" s="3">
        <f>+C125/(C125+C124)</f>
        <v>8.729932237152023E-2</v>
      </c>
      <c r="D171" s="3">
        <f t="shared" ref="D171:AU171" si="49">+D125/(D125+D124)</f>
        <v>8.4186639134758448E-2</v>
      </c>
      <c r="E171" s="3">
        <f t="shared" si="49"/>
        <v>8.1180709804217349E-2</v>
      </c>
      <c r="F171" s="3">
        <f t="shared" si="49"/>
        <v>7.8129382501671313E-2</v>
      </c>
      <c r="G171" s="3">
        <f t="shared" si="49"/>
        <v>7.5151006594896277E-2</v>
      </c>
      <c r="H171" s="3">
        <f t="shared" si="49"/>
        <v>7.2304864592632676E-2</v>
      </c>
      <c r="I171" s="3">
        <f t="shared" si="49"/>
        <v>6.9617138377601834E-2</v>
      </c>
      <c r="J171" s="3">
        <f t="shared" si="49"/>
        <v>6.7095690238803352E-2</v>
      </c>
      <c r="K171" s="3">
        <f t="shared" si="49"/>
        <v>6.4738533685373342E-2</v>
      </c>
      <c r="L171" s="3">
        <f t="shared" si="49"/>
        <v>6.2538656029612991E-2</v>
      </c>
      <c r="M171" s="3">
        <f t="shared" si="49"/>
        <v>6.0486686093473206E-2</v>
      </c>
      <c r="N171" s="3">
        <f t="shared" si="49"/>
        <v>5.8572245733661842E-2</v>
      </c>
      <c r="O171" s="3">
        <f t="shared" si="49"/>
        <v>5.6784431910263805E-2</v>
      </c>
      <c r="P171" s="3">
        <f t="shared" si="49"/>
        <v>5.5111611738083911E-2</v>
      </c>
      <c r="Q171" s="3">
        <f t="shared" si="49"/>
        <v>5.3540490071414225E-2</v>
      </c>
      <c r="R171" s="3">
        <f t="shared" si="49"/>
        <v>5.2054153521310931E-2</v>
      </c>
      <c r="S171" s="3">
        <f t="shared" si="49"/>
        <v>5.0628417369758351E-2</v>
      </c>
      <c r="T171" s="3">
        <f t="shared" si="49"/>
        <v>4.9225164659672555E-2</v>
      </c>
      <c r="U171" s="3">
        <f t="shared" si="49"/>
        <v>4.7779289689677831E-2</v>
      </c>
      <c r="V171" s="3">
        <f t="shared" si="49"/>
        <v>4.6227305261816551E-2</v>
      </c>
      <c r="W171" s="3">
        <f t="shared" si="49"/>
        <v>4.4375548040326243E-2</v>
      </c>
      <c r="X171" s="3">
        <f t="shared" si="49"/>
        <v>4.3193439528992711E-2</v>
      </c>
      <c r="Y171" s="3">
        <f t="shared" si="49"/>
        <v>4.2747004701338319E-2</v>
      </c>
      <c r="Z171" s="3">
        <f t="shared" si="49"/>
        <v>4.2115665714509636E-2</v>
      </c>
      <c r="AA171" s="3">
        <f t="shared" si="49"/>
        <v>4.1373093862660922E-2</v>
      </c>
      <c r="AB171" s="3">
        <f t="shared" si="49"/>
        <v>4.0563753654644708E-2</v>
      </c>
      <c r="AC171" s="3">
        <f t="shared" si="49"/>
        <v>3.9715031957367586E-2</v>
      </c>
      <c r="AD171" s="3">
        <f t="shared" si="49"/>
        <v>3.8844241091745745E-2</v>
      </c>
      <c r="AE171" s="3">
        <f t="shared" si="49"/>
        <v>3.7962673907202434E-2</v>
      </c>
      <c r="AF171" s="3">
        <f t="shared" si="49"/>
        <v>3.7077958109121484E-2</v>
      </c>
      <c r="AG171" s="3">
        <f t="shared" si="49"/>
        <v>3.6195428599842046E-2</v>
      </c>
      <c r="AH171" s="3">
        <f t="shared" si="49"/>
        <v>3.5318933103420928E-2</v>
      </c>
      <c r="AI171" s="3">
        <f t="shared" si="49"/>
        <v>3.4451309698984356E-2</v>
      </c>
      <c r="AJ171" s="3">
        <f t="shared" si="49"/>
        <v>3.3594673134906973E-2</v>
      </c>
      <c r="AK171" s="3">
        <f t="shared" si="49"/>
        <v>3.2750586091695198E-2</v>
      </c>
      <c r="AL171" s="3">
        <f t="shared" si="49"/>
        <v>3.192015565522132E-2</v>
      </c>
      <c r="AM171" s="3">
        <f t="shared" si="49"/>
        <v>3.1104071633575373E-2</v>
      </c>
      <c r="AN171" s="3">
        <f t="shared" si="49"/>
        <v>3.0302585346517162E-2</v>
      </c>
      <c r="AO171" s="3">
        <f t="shared" si="49"/>
        <v>2.9515408786631541E-2</v>
      </c>
      <c r="AP171" s="3">
        <f t="shared" si="49"/>
        <v>2.8741488644196293E-2</v>
      </c>
      <c r="AQ171" s="3">
        <f t="shared" si="49"/>
        <v>2.7978568993299788E-2</v>
      </c>
      <c r="AR171" s="3">
        <f t="shared" si="49"/>
        <v>2.7222386948363118E-2</v>
      </c>
      <c r="AS171" s="3">
        <f t="shared" si="49"/>
        <v>2.6465224033000674E-2</v>
      </c>
      <c r="AT171" s="3">
        <f t="shared" si="49"/>
        <v>2.5693321862294716E-2</v>
      </c>
      <c r="AU171" s="3">
        <f t="shared" si="49"/>
        <v>2.4882291572336866E-2</v>
      </c>
    </row>
    <row r="172" spans="1:124" ht="21" customHeight="1" x14ac:dyDescent="0.35"/>
    <row r="173" spans="1:124" ht="21" customHeight="1" x14ac:dyDescent="0.35">
      <c r="B173" s="3"/>
    </row>
    <row r="174" spans="1:124" ht="21" customHeight="1" x14ac:dyDescent="0.35">
      <c r="B174" s="3"/>
    </row>
    <row r="175" spans="1:124" ht="21" customHeight="1" x14ac:dyDescent="0.35">
      <c r="B175" s="3"/>
    </row>
    <row r="176" spans="1:124" ht="21" customHeight="1" x14ac:dyDescent="0.35">
      <c r="B176" s="3"/>
    </row>
    <row r="177" spans="2:2" s="3" customFormat="1" ht="21" customHeight="1" x14ac:dyDescent="0.35">
      <c r="B177" s="51"/>
    </row>
    <row r="178" spans="2:2" s="3" customFormat="1" ht="21" customHeight="1" x14ac:dyDescent="0.35">
      <c r="B178" s="51"/>
    </row>
    <row r="179" spans="2:2" s="3" customFormat="1" ht="21" customHeight="1" x14ac:dyDescent="0.35">
      <c r="B179" s="51"/>
    </row>
    <row r="180" spans="2:2" s="3" customFormat="1" ht="21" customHeight="1" x14ac:dyDescent="0.35">
      <c r="B180" s="51"/>
    </row>
    <row r="181" spans="2:2" s="3" customFormat="1" ht="21" customHeight="1" x14ac:dyDescent="0.35">
      <c r="B181" s="51"/>
    </row>
    <row r="182" spans="2:2" s="3" customFormat="1" ht="21" customHeight="1" x14ac:dyDescent="0.35">
      <c r="B182" s="51"/>
    </row>
    <row r="183" spans="2:2" s="3" customFormat="1" ht="21" customHeight="1" x14ac:dyDescent="0.35">
      <c r="B183" s="51"/>
    </row>
    <row r="184" spans="2:2" s="3" customFormat="1" ht="21" customHeight="1" x14ac:dyDescent="0.35">
      <c r="B184" s="51"/>
    </row>
    <row r="185" spans="2:2" s="3" customFormat="1" ht="21" customHeight="1" x14ac:dyDescent="0.35">
      <c r="B185" s="51"/>
    </row>
    <row r="186" spans="2:2" s="3" customFormat="1" ht="21" customHeight="1" x14ac:dyDescent="0.35">
      <c r="B186" s="51"/>
    </row>
    <row r="187" spans="2:2" s="3" customFormat="1" ht="21" customHeight="1" x14ac:dyDescent="0.35">
      <c r="B187" s="51"/>
    </row>
    <row r="188" spans="2:2" s="3" customFormat="1" ht="21" customHeight="1" x14ac:dyDescent="0.35">
      <c r="B188" s="51"/>
    </row>
    <row r="189" spans="2:2" s="3" customFormat="1" ht="21" customHeight="1" x14ac:dyDescent="0.35">
      <c r="B189" s="51"/>
    </row>
    <row r="190" spans="2:2" s="3" customFormat="1" ht="21" customHeight="1" x14ac:dyDescent="0.35">
      <c r="B190" s="51"/>
    </row>
    <row r="191" spans="2:2" s="3" customFormat="1" ht="21" customHeight="1" x14ac:dyDescent="0.35">
      <c r="B191" s="51"/>
    </row>
    <row r="192" spans="2:2" s="3" customFormat="1" ht="21" customHeight="1" x14ac:dyDescent="0.35">
      <c r="B192" s="51"/>
    </row>
    <row r="193" spans="1:123" ht="21" customHeight="1" x14ac:dyDescent="0.35"/>
    <row r="194" spans="1:123" ht="21" customHeight="1" x14ac:dyDescent="0.35"/>
    <row r="195" spans="1:123" ht="21" customHeight="1" x14ac:dyDescent="0.35"/>
    <row r="196" spans="1:123" ht="21" customHeight="1" x14ac:dyDescent="0.35"/>
    <row r="197" spans="1:123" ht="21" customHeight="1" x14ac:dyDescent="0.35"/>
    <row r="198" spans="1:123" ht="21" customHeight="1" x14ac:dyDescent="0.35"/>
    <row r="199" spans="1:123" ht="21" customHeight="1" x14ac:dyDescent="0.35"/>
    <row r="200" spans="1:123" ht="21" customHeight="1" x14ac:dyDescent="0.35"/>
    <row r="201" spans="1:123" ht="21" customHeight="1" x14ac:dyDescent="0.35"/>
    <row r="202" spans="1:123" ht="21" customHeight="1" x14ac:dyDescent="0.35"/>
    <row r="203" spans="1:123" ht="21" customHeight="1" x14ac:dyDescent="0.35"/>
    <row r="204" spans="1:123" ht="21" customHeight="1" x14ac:dyDescent="0.35"/>
    <row r="205" spans="1:123" ht="21" customHeight="1" x14ac:dyDescent="0.35"/>
    <row r="206" spans="1:123" ht="21" customHeight="1" x14ac:dyDescent="0.35"/>
    <row r="207" spans="1:123" ht="21" customHeight="1" x14ac:dyDescent="0.35"/>
    <row r="208" spans="1:123" s="25" customFormat="1" ht="18" customHeight="1" thickBot="1" x14ac:dyDescent="0.4">
      <c r="A208" s="89" t="s">
        <v>119</v>
      </c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3"/>
      <c r="CE208" s="3"/>
      <c r="CF208" s="3"/>
      <c r="CG208" s="3"/>
      <c r="CH208" s="3"/>
      <c r="CI208" s="3"/>
      <c r="CJ208" s="3"/>
      <c r="CK208" s="3"/>
      <c r="CL208" s="3"/>
      <c r="CM208" s="3"/>
      <c r="CN208" s="3"/>
      <c r="CO208" s="3"/>
      <c r="CP208" s="3"/>
      <c r="CQ208" s="3"/>
      <c r="CR208" s="3"/>
      <c r="CS208" s="3"/>
      <c r="CT208" s="3"/>
      <c r="CU208" s="3"/>
      <c r="CV208" s="3"/>
      <c r="CW208" s="3"/>
      <c r="CX208" s="3"/>
      <c r="CY208" s="3"/>
      <c r="CZ208" s="3"/>
      <c r="DA208" s="3"/>
      <c r="DB208" s="3"/>
      <c r="DC208" s="3"/>
      <c r="DD208" s="3"/>
      <c r="DE208" s="3"/>
      <c r="DF208" s="3"/>
      <c r="DG208" s="3"/>
      <c r="DH208" s="3"/>
      <c r="DI208" s="3"/>
      <c r="DJ208" s="3"/>
      <c r="DK208" s="3"/>
      <c r="DL208" s="3"/>
      <c r="DM208" s="3"/>
      <c r="DN208" s="3"/>
      <c r="DO208" s="3"/>
      <c r="DP208" s="3"/>
      <c r="DQ208" s="3"/>
      <c r="DR208" s="3"/>
      <c r="DS208" s="3"/>
    </row>
    <row r="209" spans="1:124" s="22" customFormat="1" ht="18" customHeight="1" thickTop="1" x14ac:dyDescent="0.35">
      <c r="A209" s="20" t="s">
        <v>198</v>
      </c>
      <c r="B209" s="21">
        <v>1E-3</v>
      </c>
      <c r="C209" s="21">
        <v>1E-3</v>
      </c>
      <c r="D209" s="21">
        <v>1E-3</v>
      </c>
      <c r="E209" s="21">
        <v>1E-3</v>
      </c>
      <c r="F209" s="21">
        <v>1E-3</v>
      </c>
      <c r="G209" s="21">
        <v>1E-3</v>
      </c>
      <c r="H209" s="21">
        <v>1E-3</v>
      </c>
      <c r="I209" s="21">
        <v>1E-3</v>
      </c>
      <c r="J209" s="21">
        <v>1E-3</v>
      </c>
      <c r="K209" s="21">
        <v>1E-3</v>
      </c>
      <c r="L209" s="21">
        <v>1E-3</v>
      </c>
      <c r="M209" s="21">
        <v>1E-3</v>
      </c>
      <c r="N209" s="21">
        <v>1E-3</v>
      </c>
      <c r="O209" s="21">
        <v>1E-3</v>
      </c>
      <c r="P209" s="21">
        <v>1E-3</v>
      </c>
      <c r="Q209" s="21">
        <v>1E-3</v>
      </c>
      <c r="R209" s="21">
        <v>1E-3</v>
      </c>
      <c r="S209" s="21">
        <v>1E-3</v>
      </c>
      <c r="T209" s="21">
        <v>1E-3</v>
      </c>
      <c r="U209" s="21">
        <v>1E-3</v>
      </c>
      <c r="V209" s="21">
        <v>1E-3</v>
      </c>
      <c r="W209" s="21">
        <v>1E-3</v>
      </c>
      <c r="X209" s="21">
        <v>1E-3</v>
      </c>
      <c r="Y209" s="21">
        <v>1E-3</v>
      </c>
      <c r="Z209" s="21">
        <v>1E-3</v>
      </c>
      <c r="AA209" s="21">
        <v>1E-3</v>
      </c>
      <c r="AB209" s="21">
        <v>1E-3</v>
      </c>
      <c r="AC209" s="21">
        <v>1E-3</v>
      </c>
      <c r="AD209" s="21">
        <v>1E-3</v>
      </c>
      <c r="AE209" s="21">
        <v>1E-3</v>
      </c>
      <c r="AF209" s="21">
        <v>1E-3</v>
      </c>
      <c r="AG209" s="21">
        <v>1E-3</v>
      </c>
      <c r="AH209" s="21">
        <v>1E-3</v>
      </c>
      <c r="AI209" s="21">
        <v>1E-3</v>
      </c>
      <c r="AJ209" s="21">
        <v>1E-3</v>
      </c>
      <c r="AK209" s="21">
        <v>1E-3</v>
      </c>
      <c r="AL209" s="21">
        <v>1E-3</v>
      </c>
      <c r="AM209" s="21">
        <v>1E-3</v>
      </c>
      <c r="AN209" s="21">
        <v>1E-3</v>
      </c>
      <c r="AO209" s="21">
        <v>1E-3</v>
      </c>
      <c r="AP209" s="21">
        <v>1E-3</v>
      </c>
      <c r="AQ209" s="21">
        <v>1E-3</v>
      </c>
      <c r="AR209" s="21">
        <v>1E-3</v>
      </c>
      <c r="AS209" s="21">
        <v>1E-3</v>
      </c>
      <c r="AT209" s="21">
        <v>1E-3</v>
      </c>
      <c r="AU209" s="21">
        <v>1E-3</v>
      </c>
      <c r="AV209" s="21">
        <v>1E-3</v>
      </c>
      <c r="AW209" s="21">
        <v>1E-3</v>
      </c>
      <c r="AX209" s="21">
        <v>1E-3</v>
      </c>
      <c r="AY209" s="21">
        <v>1E-3</v>
      </c>
      <c r="AZ209" s="21">
        <v>1E-3</v>
      </c>
      <c r="BA209" s="21">
        <v>1E-3</v>
      </c>
      <c r="BB209" s="21">
        <v>1E-3</v>
      </c>
      <c r="BC209" s="21">
        <v>1E-3</v>
      </c>
      <c r="BD209" s="21">
        <v>1E-3</v>
      </c>
      <c r="BE209" s="21">
        <v>1E-3</v>
      </c>
      <c r="BF209" s="21">
        <v>1E-3</v>
      </c>
      <c r="BG209" s="21">
        <v>1E-3</v>
      </c>
      <c r="BH209" s="21">
        <v>1E-3</v>
      </c>
      <c r="BI209" s="21">
        <v>1E-3</v>
      </c>
      <c r="BJ209" s="21"/>
      <c r="BK209" s="21"/>
      <c r="BL209" s="21"/>
      <c r="BM209" s="21"/>
      <c r="BN209" s="21"/>
      <c r="BO209" s="21"/>
      <c r="BP209" s="21"/>
      <c r="BQ209" s="21"/>
      <c r="BR209" s="21"/>
      <c r="BS209" s="21"/>
      <c r="BT209" s="21"/>
      <c r="BU209" s="21"/>
      <c r="BV209" s="21"/>
      <c r="BW209" s="21"/>
      <c r="BX209" s="21"/>
      <c r="BY209" s="21"/>
      <c r="BZ209" s="21"/>
      <c r="CA209" s="21"/>
      <c r="CB209" s="21"/>
      <c r="CC209" s="21"/>
      <c r="CD209" s="21"/>
      <c r="CE209" s="21"/>
      <c r="CF209" s="21"/>
      <c r="CG209" s="21"/>
      <c r="CH209" s="21"/>
      <c r="CI209" s="21"/>
      <c r="CJ209" s="21"/>
      <c r="CK209" s="21"/>
      <c r="CL209" s="21"/>
      <c r="CM209" s="21"/>
      <c r="CN209" s="21"/>
      <c r="CO209" s="21"/>
      <c r="CP209" s="21"/>
      <c r="CQ209" s="21"/>
      <c r="CR209" s="21"/>
      <c r="CS209" s="21"/>
      <c r="CT209" s="21"/>
      <c r="CU209" s="21"/>
      <c r="CV209" s="21"/>
      <c r="CW209" s="21"/>
      <c r="CX209" s="21"/>
      <c r="CY209" s="21"/>
      <c r="CZ209" s="21"/>
      <c r="DA209" s="21"/>
      <c r="DB209" s="21"/>
      <c r="DC209" s="21"/>
      <c r="DD209" s="21"/>
      <c r="DE209" s="21"/>
      <c r="DF209" s="21"/>
      <c r="DG209" s="21"/>
      <c r="DH209" s="21"/>
      <c r="DI209" s="21"/>
      <c r="DJ209" s="21"/>
      <c r="DK209" s="21"/>
      <c r="DL209" s="21"/>
      <c r="DM209" s="21"/>
      <c r="DN209" s="21"/>
      <c r="DO209" s="21"/>
      <c r="DP209" s="21"/>
      <c r="DQ209" s="21"/>
      <c r="DR209" s="21"/>
      <c r="DS209" s="21"/>
      <c r="DT209" s="21"/>
    </row>
    <row r="210" spans="1:124" ht="18" customHeight="1" thickBot="1" x14ac:dyDescent="0.4">
      <c r="A210" s="89" t="s">
        <v>200</v>
      </c>
    </row>
    <row r="211" spans="1:124" s="22" customFormat="1" ht="18" customHeight="1" thickTop="1" x14ac:dyDescent="0.35">
      <c r="A211" s="20" t="s">
        <v>198</v>
      </c>
      <c r="B211" s="21">
        <v>1</v>
      </c>
      <c r="C211" s="21">
        <v>45.965855418031836</v>
      </c>
      <c r="D211" s="21">
        <v>52.885784424251824</v>
      </c>
      <c r="E211" s="21">
        <v>60.482621376901378</v>
      </c>
      <c r="F211" s="21">
        <v>68.665218038893585</v>
      </c>
      <c r="G211" s="21">
        <v>77.436213167367043</v>
      </c>
      <c r="H211" s="21">
        <v>86.819274290457599</v>
      </c>
      <c r="I211" s="21">
        <v>97.007845242953138</v>
      </c>
      <c r="J211" s="21">
        <v>108.12682434979411</v>
      </c>
      <c r="K211" s="21">
        <v>120.20402576864771</v>
      </c>
      <c r="L211" s="21">
        <v>133.29285806404164</v>
      </c>
      <c r="M211" s="21">
        <v>147.4641592947408</v>
      </c>
      <c r="N211" s="21">
        <v>162.80409495623982</v>
      </c>
      <c r="O211" s="21">
        <v>179.41372739879699</v>
      </c>
      <c r="P211" s="21">
        <v>197.40295077064025</v>
      </c>
      <c r="Q211" s="21">
        <v>216.8803867094727</v>
      </c>
      <c r="R211" s="21">
        <v>237.92799095042452</v>
      </c>
      <c r="S211" s="21">
        <v>260.57981244098761</v>
      </c>
      <c r="T211" s="21">
        <v>264.01915693948979</v>
      </c>
      <c r="U211" s="21">
        <v>260.5687288350781</v>
      </c>
      <c r="V211" s="21">
        <v>257.2045532284734</v>
      </c>
      <c r="W211" s="21">
        <v>253.92447437444153</v>
      </c>
      <c r="X211" s="21">
        <v>250.7263902738124</v>
      </c>
      <c r="Y211" s="21">
        <v>247.60825128783776</v>
      </c>
      <c r="Z211" s="21">
        <v>244.5680588676432</v>
      </c>
      <c r="AA211" s="21">
        <v>244.5680588676432</v>
      </c>
      <c r="AB211" s="21">
        <v>244.5680588676432</v>
      </c>
      <c r="AC211" s="21">
        <v>244.5680588676432</v>
      </c>
      <c r="AD211" s="21">
        <v>244.5680588676432</v>
      </c>
      <c r="AE211" s="21">
        <v>244.5680588676432</v>
      </c>
      <c r="AF211" s="21">
        <v>244.5680588676432</v>
      </c>
      <c r="AG211" s="21">
        <v>244.5680588676432</v>
      </c>
      <c r="AH211" s="21">
        <v>244.5680588676432</v>
      </c>
      <c r="AI211" s="21">
        <v>244.5680588676432</v>
      </c>
      <c r="AJ211" s="21">
        <v>244.5680588676432</v>
      </c>
      <c r="AK211" s="21">
        <v>244.5680588676432</v>
      </c>
      <c r="AL211" s="21">
        <v>244.5680588676432</v>
      </c>
      <c r="AM211" s="21">
        <v>244.5680588676432</v>
      </c>
      <c r="AN211" s="21">
        <v>244.5680588676432</v>
      </c>
      <c r="AO211" s="21">
        <v>244.5680588676432</v>
      </c>
      <c r="AP211" s="21">
        <v>244.5680588676432</v>
      </c>
      <c r="AQ211" s="21">
        <v>244.5680588676432</v>
      </c>
      <c r="AR211" s="21">
        <v>244.5680588676432</v>
      </c>
      <c r="AS211" s="21">
        <v>244.5680588676432</v>
      </c>
      <c r="AT211" s="21">
        <v>244.5680588676432</v>
      </c>
      <c r="AU211" s="21">
        <v>244.5680588676432</v>
      </c>
      <c r="AV211" s="21">
        <v>244.5680588676432</v>
      </c>
      <c r="AW211" s="21">
        <v>244.5680588676432</v>
      </c>
      <c r="AX211" s="21">
        <v>244.5680588676432</v>
      </c>
      <c r="AY211" s="21">
        <v>244.5680588676432</v>
      </c>
      <c r="AZ211" s="21">
        <v>244.5680588676432</v>
      </c>
      <c r="BA211" s="21">
        <v>244.5680588676432</v>
      </c>
      <c r="BB211" s="21">
        <v>244.5680588676432</v>
      </c>
      <c r="BC211" s="21">
        <v>244.5680588676432</v>
      </c>
      <c r="BD211" s="21">
        <v>244.5680588676432</v>
      </c>
      <c r="BE211" s="21">
        <v>244.5680588676432</v>
      </c>
      <c r="BF211" s="21">
        <v>244.5680588676432</v>
      </c>
      <c r="BG211" s="21">
        <v>244.5680588676432</v>
      </c>
      <c r="BH211" s="21">
        <v>244.5680588676432</v>
      </c>
      <c r="BI211" s="21">
        <v>244.5680588676432</v>
      </c>
      <c r="BJ211" s="21"/>
      <c r="BK211" s="21"/>
      <c r="BL211" s="21"/>
      <c r="BM211" s="21"/>
      <c r="BN211" s="21"/>
      <c r="BO211" s="21"/>
      <c r="BP211" s="21"/>
      <c r="BQ211" s="21"/>
      <c r="BR211" s="21"/>
      <c r="BS211" s="21"/>
      <c r="BT211" s="21"/>
      <c r="BU211" s="21"/>
      <c r="BV211" s="21"/>
      <c r="BW211" s="21"/>
      <c r="BX211" s="21"/>
      <c r="BY211" s="21"/>
      <c r="BZ211" s="21"/>
      <c r="CA211" s="21"/>
      <c r="CB211" s="21"/>
      <c r="CC211" s="21"/>
      <c r="CD211" s="21"/>
      <c r="CE211" s="21"/>
      <c r="CF211" s="21"/>
      <c r="CG211" s="21"/>
      <c r="CH211" s="21"/>
      <c r="CI211" s="21"/>
      <c r="CJ211" s="21"/>
      <c r="CK211" s="21"/>
      <c r="CL211" s="21"/>
      <c r="CM211" s="21"/>
      <c r="CN211" s="21"/>
      <c r="CO211" s="21"/>
      <c r="CP211" s="21"/>
      <c r="CQ211" s="21"/>
      <c r="CR211" s="21"/>
      <c r="CS211" s="21"/>
      <c r="CT211" s="21"/>
      <c r="CU211" s="21"/>
      <c r="CV211" s="21"/>
      <c r="CW211" s="21"/>
      <c r="CX211" s="21"/>
      <c r="CY211" s="21"/>
      <c r="CZ211" s="21"/>
      <c r="DA211" s="21"/>
      <c r="DB211" s="21"/>
      <c r="DC211" s="21"/>
      <c r="DD211" s="21"/>
      <c r="DE211" s="21"/>
      <c r="DF211" s="21"/>
      <c r="DG211" s="21"/>
      <c r="DH211" s="21"/>
      <c r="DI211" s="21"/>
      <c r="DJ211" s="21"/>
      <c r="DK211" s="21"/>
      <c r="DL211" s="21"/>
      <c r="DM211" s="21"/>
      <c r="DN211" s="21"/>
      <c r="DO211" s="21"/>
      <c r="DP211" s="21"/>
      <c r="DQ211" s="21"/>
      <c r="DR211" s="21"/>
      <c r="DS211" s="21"/>
      <c r="DT211" s="21"/>
    </row>
    <row r="212" spans="1:124" s="25" customFormat="1" ht="18" customHeight="1" thickBot="1" x14ac:dyDescent="0.4">
      <c r="A212" s="89" t="s">
        <v>199</v>
      </c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  <c r="CA212" s="3"/>
      <c r="CB212" s="3"/>
      <c r="CC212" s="3"/>
      <c r="CD212" s="3"/>
      <c r="CE212" s="3"/>
      <c r="CF212" s="3"/>
      <c r="CG212" s="3"/>
      <c r="CH212" s="3"/>
      <c r="CI212" s="3"/>
      <c r="CJ212" s="3"/>
      <c r="CK212" s="3"/>
      <c r="CL212" s="3"/>
      <c r="CM212" s="3"/>
      <c r="CN212" s="3"/>
      <c r="CO212" s="3"/>
      <c r="CP212" s="3"/>
      <c r="CQ212" s="3"/>
      <c r="CR212" s="3"/>
      <c r="CS212" s="3"/>
      <c r="CT212" s="3"/>
      <c r="CU212" s="3"/>
      <c r="CV212" s="3"/>
      <c r="CW212" s="3"/>
      <c r="CX212" s="3"/>
      <c r="CY212" s="3"/>
      <c r="CZ212" s="3"/>
      <c r="DA212" s="3"/>
      <c r="DB212" s="3"/>
      <c r="DC212" s="3"/>
      <c r="DD212" s="3"/>
      <c r="DE212" s="3"/>
      <c r="DF212" s="3"/>
      <c r="DG212" s="3"/>
      <c r="DH212" s="3"/>
      <c r="DI212" s="3"/>
      <c r="DJ212" s="3"/>
      <c r="DK212" s="3"/>
      <c r="DL212" s="3"/>
      <c r="DM212" s="3"/>
      <c r="DN212" s="3"/>
      <c r="DO212" s="3"/>
      <c r="DP212" s="3"/>
      <c r="DQ212" s="3"/>
      <c r="DR212" s="3"/>
      <c r="DS212" s="3"/>
      <c r="DT212" s="3"/>
    </row>
    <row r="213" spans="1:124" s="22" customFormat="1" ht="18" customHeight="1" thickTop="1" x14ac:dyDescent="0.35">
      <c r="A213" s="20" t="s">
        <v>198</v>
      </c>
      <c r="B213" s="21">
        <v>1</v>
      </c>
      <c r="C213" s="21">
        <v>35.155481751481716</v>
      </c>
      <c r="D213" s="21">
        <v>44.332282374749177</v>
      </c>
      <c r="E213" s="21">
        <v>55.52901374640512</v>
      </c>
      <c r="F213" s="21">
        <v>69.121567096942428</v>
      </c>
      <c r="G213" s="21">
        <v>85.567382136243751</v>
      </c>
      <c r="H213" s="21">
        <v>105.65996338931656</v>
      </c>
      <c r="I213" s="21">
        <v>130.45068993725823</v>
      </c>
      <c r="J213" s="21">
        <v>161.44727845162271</v>
      </c>
      <c r="K213" s="21">
        <v>200.16812854747508</v>
      </c>
      <c r="L213" s="21">
        <v>248.46508219287259</v>
      </c>
      <c r="M213" s="21">
        <v>291</v>
      </c>
      <c r="N213" s="21">
        <v>289</v>
      </c>
      <c r="O213" s="21">
        <v>297.85766994708598</v>
      </c>
      <c r="P213" s="21">
        <v>290.73542023432384</v>
      </c>
      <c r="Q213" s="21">
        <v>321.96493961973624</v>
      </c>
      <c r="R213" s="21">
        <v>285.95533933101092</v>
      </c>
      <c r="S213" s="21">
        <v>273.6138942404549</v>
      </c>
      <c r="T213" s="21">
        <v>305.71192638335839</v>
      </c>
      <c r="U213" s="21">
        <v>261.30466001826568</v>
      </c>
      <c r="V213" s="21">
        <v>204.04197460433676</v>
      </c>
      <c r="W213" s="21">
        <v>200.13987587411992</v>
      </c>
      <c r="X213" s="21">
        <v>216.98742013606164</v>
      </c>
      <c r="Y213" s="21">
        <v>216.98742013606164</v>
      </c>
      <c r="Z213" s="21">
        <v>300</v>
      </c>
      <c r="AA213" s="21">
        <v>209.66102603523055</v>
      </c>
      <c r="AB213" s="21">
        <v>212.25067459590824</v>
      </c>
      <c r="AC213" s="21">
        <v>213.56558978268362</v>
      </c>
      <c r="AD213" s="21">
        <v>213.56558978268362</v>
      </c>
      <c r="AE213" s="21">
        <v>213.56558978268362</v>
      </c>
      <c r="AF213" s="21">
        <v>213.56558978268362</v>
      </c>
      <c r="AG213" s="21">
        <v>213.56558978268362</v>
      </c>
      <c r="AH213" s="21">
        <v>213.56558978268362</v>
      </c>
      <c r="AI213" s="21">
        <v>213.56558978268362</v>
      </c>
      <c r="AJ213" s="21">
        <v>213.56558978268362</v>
      </c>
      <c r="AK213" s="21">
        <v>213.56558978268362</v>
      </c>
      <c r="AL213" s="21">
        <v>213.56558978268362</v>
      </c>
      <c r="AM213" s="21">
        <v>213.56558978268362</v>
      </c>
      <c r="AN213" s="21">
        <v>213.56558978268362</v>
      </c>
      <c r="AO213" s="21">
        <v>213.56558978268362</v>
      </c>
      <c r="AP213" s="21">
        <v>213.56558978268362</v>
      </c>
      <c r="AQ213" s="21">
        <v>213.56558978268362</v>
      </c>
      <c r="AR213" s="21">
        <v>213.56558978268362</v>
      </c>
      <c r="AS213" s="21">
        <v>213.56558978268362</v>
      </c>
      <c r="AT213" s="21">
        <v>213.56558978268362</v>
      </c>
      <c r="AU213" s="21">
        <v>213.56558978268362</v>
      </c>
      <c r="AV213" s="21">
        <v>213.56558978268362</v>
      </c>
      <c r="AW213" s="21">
        <v>213.56558978268362</v>
      </c>
      <c r="AX213" s="21">
        <v>301.30110664013489</v>
      </c>
      <c r="AY213" s="21">
        <v>200.41389669519512</v>
      </c>
      <c r="AZ213" s="21">
        <v>100.20694834759756</v>
      </c>
      <c r="BA213" s="21">
        <v>50.10347417379878</v>
      </c>
      <c r="BB213" s="21">
        <v>25.05173708689939</v>
      </c>
      <c r="BC213" s="21">
        <v>12.525868543449695</v>
      </c>
      <c r="BD213" s="21">
        <v>6.2629342717248475</v>
      </c>
      <c r="BE213" s="21">
        <v>3.1314671358624238</v>
      </c>
      <c r="BF213" s="21">
        <v>1.5657335679312119</v>
      </c>
      <c r="BG213" s="21">
        <v>0.78286678396560594</v>
      </c>
      <c r="BH213" s="21">
        <v>0.39143339198280297</v>
      </c>
      <c r="BI213" s="21">
        <v>0.19571669599140148</v>
      </c>
      <c r="BJ213" s="21"/>
      <c r="BK213" s="21"/>
      <c r="BL213" s="21"/>
      <c r="BM213" s="21"/>
      <c r="BN213" s="21"/>
      <c r="BO213" s="21"/>
      <c r="BP213" s="21"/>
      <c r="BQ213" s="21"/>
      <c r="BR213" s="21"/>
      <c r="BS213" s="21"/>
      <c r="BT213" s="21"/>
      <c r="BU213" s="21"/>
      <c r="BV213" s="21"/>
      <c r="BW213" s="21"/>
      <c r="BX213" s="21"/>
      <c r="BY213" s="21"/>
      <c r="BZ213" s="21"/>
      <c r="CA213" s="21"/>
      <c r="CB213" s="21"/>
      <c r="CC213" s="21"/>
      <c r="CD213" s="21"/>
      <c r="CE213" s="21"/>
      <c r="CF213" s="21"/>
      <c r="CG213" s="21"/>
      <c r="CH213" s="21"/>
      <c r="CI213" s="21"/>
      <c r="CJ213" s="21"/>
      <c r="CK213" s="21"/>
      <c r="CL213" s="21"/>
      <c r="CM213" s="21"/>
      <c r="CN213" s="21"/>
      <c r="CO213" s="21"/>
      <c r="CP213" s="21"/>
      <c r="CQ213" s="21"/>
      <c r="CR213" s="21"/>
      <c r="CS213" s="21"/>
      <c r="CT213" s="21"/>
      <c r="CU213" s="21"/>
      <c r="CV213" s="21"/>
      <c r="CW213" s="21"/>
      <c r="CX213" s="21"/>
      <c r="CY213" s="21"/>
      <c r="CZ213" s="21"/>
      <c r="DA213" s="21"/>
      <c r="DB213" s="21"/>
      <c r="DC213" s="21"/>
      <c r="DD213" s="21"/>
      <c r="DE213" s="21"/>
      <c r="DF213" s="21"/>
      <c r="DG213" s="21"/>
      <c r="DH213" s="21"/>
      <c r="DI213" s="21"/>
      <c r="DJ213" s="21"/>
      <c r="DK213" s="21"/>
      <c r="DL213" s="21"/>
      <c r="DM213" s="21"/>
      <c r="DN213" s="21"/>
      <c r="DO213" s="21"/>
      <c r="DP213" s="21"/>
      <c r="DQ213" s="21"/>
      <c r="DR213" s="21"/>
      <c r="DS213" s="21"/>
      <c r="DT213" s="21"/>
    </row>
    <row r="216" spans="1:124" ht="18" customHeight="1" thickBot="1" x14ac:dyDescent="0.4">
      <c r="A216" s="84" t="s">
        <v>99</v>
      </c>
      <c r="B216" s="3"/>
    </row>
    <row r="217" spans="1:124" ht="18" customHeight="1" thickTop="1" x14ac:dyDescent="0.35">
      <c r="A217" s="15" t="s">
        <v>233</v>
      </c>
      <c r="B217" s="3">
        <f t="shared" ref="B217:AU217" si="50">+B118/B105</f>
        <v>2.124572737974987</v>
      </c>
      <c r="C217" s="3">
        <f t="shared" si="50"/>
        <v>2.1342111149715026</v>
      </c>
      <c r="D217" s="3">
        <f t="shared" si="50"/>
        <v>2.1482106032465316</v>
      </c>
      <c r="E217" s="3">
        <f t="shared" si="50"/>
        <v>2.16507461386536</v>
      </c>
      <c r="F217" s="3">
        <f t="shared" si="50"/>
        <v>2.1831955075454532</v>
      </c>
      <c r="G217" s="3">
        <f t="shared" si="50"/>
        <v>2.2016823285618523</v>
      </c>
      <c r="H217" s="3">
        <f t="shared" si="50"/>
        <v>2.2200466856139114</v>
      </c>
      <c r="I217" s="3">
        <f t="shared" si="50"/>
        <v>2.2380280863382347</v>
      </c>
      <c r="J217" s="3">
        <f t="shared" si="50"/>
        <v>2.2554962688230047</v>
      </c>
      <c r="K217" s="3">
        <f t="shared" si="50"/>
        <v>2.2723963935719418</v>
      </c>
      <c r="L217" s="3">
        <f t="shared" si="50"/>
        <v>2.2887181386608599</v>
      </c>
      <c r="M217" s="3">
        <f t="shared" si="50"/>
        <v>2.3044780167489707</v>
      </c>
      <c r="N217" s="3">
        <f t="shared" si="50"/>
        <v>2.3197087680854076</v>
      </c>
      <c r="O217" s="3">
        <f t="shared" si="50"/>
        <v>2.3344521204556643</v>
      </c>
      <c r="P217" s="3">
        <f t="shared" si="50"/>
        <v>2.348752387026225</v>
      </c>
      <c r="Q217" s="3">
        <f t="shared" si="50"/>
        <v>2.3626486819241506</v>
      </c>
      <c r="R217" s="3">
        <f t="shared" si="50"/>
        <v>2.3761630465691952</v>
      </c>
      <c r="S217" s="3">
        <f t="shared" si="50"/>
        <v>2.3892802872392664</v>
      </c>
      <c r="T217" s="3">
        <f t="shared" si="50"/>
        <v>2.4019122392088361</v>
      </c>
      <c r="U217" s="3">
        <f t="shared" si="50"/>
        <v>2.4138332779556944</v>
      </c>
      <c r="V217" s="3">
        <f t="shared" si="50"/>
        <v>2.4246990518224334</v>
      </c>
      <c r="W217" s="3">
        <f t="shared" si="50"/>
        <v>2.4336996127164623</v>
      </c>
      <c r="X217" s="3">
        <f t="shared" si="50"/>
        <v>2.4427737375104099</v>
      </c>
      <c r="Y217" s="3">
        <f t="shared" si="50"/>
        <v>2.4538725844453353</v>
      </c>
      <c r="Z217" s="3">
        <f t="shared" si="50"/>
        <v>2.4662594228138275</v>
      </c>
      <c r="AA217" s="3">
        <f t="shared" si="50"/>
        <v>2.4794514369094576</v>
      </c>
      <c r="AB217" s="3">
        <f t="shared" si="50"/>
        <v>2.4931221323321746</v>
      </c>
      <c r="AC217" s="3">
        <f t="shared" si="50"/>
        <v>2.5070438488021711</v>
      </c>
      <c r="AD217" s="3">
        <f t="shared" si="50"/>
        <v>2.5210534701637579</v>
      </c>
      <c r="AE217" s="3">
        <f t="shared" si="50"/>
        <v>2.5350316012285501</v>
      </c>
      <c r="AF217" s="3">
        <f t="shared" si="50"/>
        <v>2.5488896037334032</v>
      </c>
      <c r="AG217" s="3">
        <f t="shared" si="50"/>
        <v>2.5625612568528098</v>
      </c>
      <c r="AH217" s="3">
        <f t="shared" si="50"/>
        <v>2.5759971750219921</v>
      </c>
      <c r="AI217" s="3">
        <f t="shared" si="50"/>
        <v>2.5891608996253161</v>
      </c>
      <c r="AJ217" s="3">
        <f t="shared" si="50"/>
        <v>2.6020260301903266</v>
      </c>
      <c r="AK217" s="3">
        <f t="shared" si="50"/>
        <v>2.6145740120692835</v>
      </c>
      <c r="AL217" s="3">
        <f t="shared" si="50"/>
        <v>2.6267923333927383</v>
      </c>
      <c r="AM217" s="3">
        <f t="shared" si="50"/>
        <v>2.6386729460834228</v>
      </c>
      <c r="AN217" s="3">
        <f t="shared" si="50"/>
        <v>2.6502107344213583</v>
      </c>
      <c r="AO217" s="3">
        <f t="shared" si="50"/>
        <v>2.6614018116727904</v>
      </c>
      <c r="AP217" s="3">
        <f t="shared" si="50"/>
        <v>2.672241315810759</v>
      </c>
      <c r="AQ217" s="3">
        <f t="shared" si="50"/>
        <v>2.6827201618851872</v>
      </c>
      <c r="AR217" s="3">
        <f t="shared" si="50"/>
        <v>2.6928198189856993</v>
      </c>
      <c r="AS217" s="3">
        <f t="shared" si="50"/>
        <v>2.7025034822059593</v>
      </c>
      <c r="AT217" s="3">
        <f t="shared" si="50"/>
        <v>2.7117007686708803</v>
      </c>
      <c r="AU217" s="3">
        <f t="shared" si="50"/>
        <v>2.7202808567446599</v>
      </c>
    </row>
    <row r="225" s="3" customFormat="1" ht="18" customHeight="1" x14ac:dyDescent="0.35"/>
    <row r="226" s="3" customFormat="1" ht="18" customHeight="1" x14ac:dyDescent="0.35"/>
    <row r="227" s="3" customFormat="1" ht="18" customHeight="1" x14ac:dyDescent="0.35"/>
    <row r="228" s="3" customFormat="1" ht="18" customHeight="1" x14ac:dyDescent="0.35"/>
    <row r="229" s="3" customFormat="1" ht="18" customHeight="1" x14ac:dyDescent="0.35"/>
    <row r="230" s="3" customFormat="1" ht="18" customHeight="1" x14ac:dyDescent="0.35"/>
    <row r="231" s="3" customFormat="1" ht="18" customHeight="1" x14ac:dyDescent="0.35"/>
    <row r="232" s="3" customFormat="1" ht="18" customHeight="1" x14ac:dyDescent="0.35"/>
    <row r="233" s="3" customFormat="1" ht="18" customHeight="1" x14ac:dyDescent="0.35"/>
    <row r="234" s="3" customFormat="1" ht="18" customHeight="1" x14ac:dyDescent="0.35"/>
    <row r="235" s="3" customFormat="1" ht="18" customHeight="1" x14ac:dyDescent="0.35"/>
    <row r="236" s="3" customFormat="1" ht="18" customHeight="1" x14ac:dyDescent="0.35"/>
    <row r="237" s="3" customFormat="1" ht="18" customHeight="1" x14ac:dyDescent="0.35"/>
    <row r="238" s="3" customFormat="1" ht="18" customHeight="1" x14ac:dyDescent="0.35"/>
    <row r="239" s="3" customFormat="1" ht="18" customHeight="1" x14ac:dyDescent="0.35"/>
    <row r="240" s="3" customFormat="1" ht="18" customHeight="1" x14ac:dyDescent="0.35"/>
    <row r="241" s="3" customFormat="1" ht="18" customHeight="1" x14ac:dyDescent="0.35"/>
    <row r="242" s="3" customFormat="1" ht="18" customHeight="1" x14ac:dyDescent="0.35"/>
    <row r="243" s="3" customFormat="1" ht="18" customHeight="1" x14ac:dyDescent="0.35"/>
    <row r="244" s="3" customFormat="1" ht="18" customHeight="1" x14ac:dyDescent="0.35"/>
    <row r="245" s="3" customFormat="1" ht="18" customHeight="1" x14ac:dyDescent="0.35"/>
    <row r="246" s="3" customFormat="1" ht="18" customHeight="1" x14ac:dyDescent="0.35"/>
    <row r="247" s="3" customFormat="1" ht="18" customHeight="1" x14ac:dyDescent="0.35"/>
    <row r="248" s="3" customFormat="1" ht="18" customHeight="1" x14ac:dyDescent="0.35"/>
    <row r="249" s="3" customFormat="1" ht="18" customHeight="1" x14ac:dyDescent="0.35"/>
    <row r="250" s="3" customFormat="1" ht="18" customHeight="1" x14ac:dyDescent="0.35"/>
    <row r="251" s="3" customFormat="1" ht="18" customHeight="1" x14ac:dyDescent="0.35"/>
    <row r="252" s="3" customFormat="1" ht="18" customHeight="1" x14ac:dyDescent="0.35"/>
    <row r="253" s="3" customFormat="1" ht="18" customHeight="1" x14ac:dyDescent="0.35"/>
    <row r="254" s="3" customFormat="1" ht="18" customHeight="1" x14ac:dyDescent="0.35"/>
    <row r="255" s="3" customFormat="1" ht="18" customHeight="1" x14ac:dyDescent="0.35"/>
    <row r="256" s="3" customFormat="1" ht="18" customHeight="1" x14ac:dyDescent="0.35"/>
    <row r="257" s="3" customFormat="1" ht="18" customHeight="1" x14ac:dyDescent="0.35"/>
    <row r="258" s="3" customFormat="1" ht="18" customHeight="1" x14ac:dyDescent="0.35"/>
    <row r="259" s="3" customFormat="1" ht="18" customHeight="1" x14ac:dyDescent="0.35"/>
    <row r="260" s="3" customFormat="1" ht="18" customHeight="1" x14ac:dyDescent="0.35"/>
    <row r="261" s="3" customFormat="1" ht="18" customHeight="1" x14ac:dyDescent="0.35"/>
    <row r="262" s="3" customFormat="1" ht="18" customHeight="1" x14ac:dyDescent="0.35"/>
    <row r="263" s="3" customFormat="1" ht="18" customHeight="1" x14ac:dyDescent="0.35"/>
    <row r="264" s="3" customFormat="1" ht="18" customHeight="1" x14ac:dyDescent="0.35"/>
    <row r="265" s="3" customFormat="1" ht="18" customHeight="1" x14ac:dyDescent="0.35"/>
    <row r="266" s="3" customFormat="1" ht="18" customHeight="1" x14ac:dyDescent="0.35"/>
    <row r="267" s="3" customFormat="1" ht="18" customHeight="1" x14ac:dyDescent="0.35"/>
    <row r="268" s="3" customFormat="1" ht="18" customHeight="1" x14ac:dyDescent="0.35"/>
    <row r="269" s="3" customFormat="1" ht="18" customHeight="1" x14ac:dyDescent="0.35"/>
    <row r="270" s="3" customFormat="1" ht="18" customHeight="1" x14ac:dyDescent="0.35"/>
    <row r="271" s="3" customFormat="1" ht="18" customHeight="1" x14ac:dyDescent="0.35"/>
    <row r="272" s="3" customFormat="1" ht="18" customHeight="1" x14ac:dyDescent="0.35"/>
    <row r="273" s="3" customFormat="1" ht="18" customHeight="1" x14ac:dyDescent="0.35"/>
    <row r="274" s="3" customFormat="1" ht="18" customHeight="1" x14ac:dyDescent="0.35"/>
    <row r="275" s="3" customFormat="1" ht="18" customHeight="1" x14ac:dyDescent="0.35"/>
    <row r="276" s="3" customFormat="1" ht="18" customHeight="1" x14ac:dyDescent="0.35"/>
    <row r="277" s="3" customFormat="1" ht="18" customHeight="1" x14ac:dyDescent="0.35"/>
    <row r="278" s="3" customFormat="1" ht="18" customHeight="1" x14ac:dyDescent="0.35"/>
    <row r="279" s="3" customFormat="1" ht="18" customHeight="1" x14ac:dyDescent="0.35"/>
    <row r="280" s="3" customFormat="1" ht="18" customHeight="1" x14ac:dyDescent="0.35"/>
    <row r="281" s="3" customFormat="1" ht="18" customHeight="1" x14ac:dyDescent="0.35"/>
    <row r="282" s="3" customFormat="1" ht="18" customHeight="1" x14ac:dyDescent="0.35"/>
    <row r="283" s="3" customFormat="1" ht="18" customHeight="1" x14ac:dyDescent="0.35"/>
    <row r="284" s="3" customFormat="1" ht="18" customHeight="1" x14ac:dyDescent="0.35"/>
    <row r="285" s="3" customFormat="1" ht="18" customHeight="1" x14ac:dyDescent="0.35"/>
    <row r="286" s="3" customFormat="1" ht="18" customHeight="1" x14ac:dyDescent="0.35"/>
    <row r="287" s="3" customFormat="1" ht="18" customHeight="1" x14ac:dyDescent="0.35"/>
    <row r="288" s="3" customFormat="1" ht="18" customHeight="1" x14ac:dyDescent="0.35"/>
    <row r="289" s="3" customFormat="1" ht="18" customHeight="1" x14ac:dyDescent="0.35"/>
    <row r="290" s="3" customFormat="1" ht="18" customHeight="1" x14ac:dyDescent="0.35"/>
    <row r="291" s="3" customFormat="1" ht="18" customHeight="1" x14ac:dyDescent="0.35"/>
    <row r="292" s="3" customFormat="1" ht="18" customHeight="1" x14ac:dyDescent="0.35"/>
    <row r="293" s="3" customFormat="1" ht="18" customHeight="1" x14ac:dyDescent="0.35"/>
    <row r="294" s="3" customFormat="1" ht="18" customHeight="1" x14ac:dyDescent="0.35"/>
    <row r="295" s="3" customFormat="1" ht="18" customHeight="1" x14ac:dyDescent="0.35"/>
    <row r="296" s="3" customFormat="1" ht="18" customHeight="1" x14ac:dyDescent="0.35"/>
    <row r="297" s="3" customFormat="1" ht="18" customHeight="1" x14ac:dyDescent="0.35"/>
    <row r="298" s="3" customFormat="1" ht="18" customHeight="1" x14ac:dyDescent="0.35"/>
    <row r="299" s="3" customFormat="1" ht="18" customHeight="1" x14ac:dyDescent="0.35"/>
    <row r="300" s="3" customFormat="1" ht="18" customHeight="1" x14ac:dyDescent="0.35"/>
    <row r="301" s="3" customFormat="1" ht="18" customHeight="1" x14ac:dyDescent="0.35"/>
    <row r="302" s="3" customFormat="1" ht="18" customHeight="1" x14ac:dyDescent="0.35"/>
    <row r="303" s="3" customFormat="1" ht="18" customHeight="1" x14ac:dyDescent="0.35"/>
    <row r="304" s="3" customFormat="1" ht="18" customHeight="1" x14ac:dyDescent="0.35"/>
    <row r="305" s="3" customFormat="1" ht="18" customHeight="1" x14ac:dyDescent="0.35"/>
    <row r="306" s="3" customFormat="1" ht="18" customHeight="1" x14ac:dyDescent="0.35"/>
    <row r="307" s="3" customFormat="1" ht="18" customHeight="1" x14ac:dyDescent="0.35"/>
    <row r="308" s="3" customFormat="1" ht="18" customHeight="1" x14ac:dyDescent="0.35"/>
    <row r="309" s="3" customFormat="1" ht="18" customHeight="1" x14ac:dyDescent="0.35"/>
    <row r="310" s="3" customFormat="1" ht="18" customHeight="1" x14ac:dyDescent="0.35"/>
    <row r="311" s="3" customFormat="1" ht="18" customHeight="1" x14ac:dyDescent="0.35"/>
    <row r="312" s="3" customFormat="1" ht="18" customHeight="1" x14ac:dyDescent="0.35"/>
    <row r="313" s="3" customFormat="1" ht="18" customHeight="1" x14ac:dyDescent="0.35"/>
    <row r="314" s="3" customFormat="1" ht="18" customHeight="1" x14ac:dyDescent="0.35"/>
    <row r="315" s="3" customFormat="1" ht="18" customHeight="1" x14ac:dyDescent="0.35"/>
    <row r="316" s="3" customFormat="1" ht="18" customHeight="1" x14ac:dyDescent="0.35"/>
    <row r="317" s="3" customFormat="1" ht="18" customHeight="1" x14ac:dyDescent="0.35"/>
    <row r="318" s="3" customFormat="1" ht="18" customHeight="1" x14ac:dyDescent="0.35"/>
    <row r="319" s="3" customFormat="1" ht="18" customHeight="1" x14ac:dyDescent="0.35"/>
    <row r="320" s="3" customFormat="1" ht="18" customHeight="1" x14ac:dyDescent="0.35"/>
    <row r="321" s="3" customFormat="1" ht="18" customHeight="1" x14ac:dyDescent="0.35"/>
    <row r="322" s="3" customFormat="1" ht="18" customHeight="1" x14ac:dyDescent="0.35"/>
    <row r="323" s="3" customFormat="1" ht="18" customHeight="1" x14ac:dyDescent="0.35"/>
    <row r="324" s="3" customFormat="1" ht="18" customHeight="1" x14ac:dyDescent="0.35"/>
    <row r="325" s="3" customFormat="1" ht="18" customHeight="1" x14ac:dyDescent="0.35"/>
    <row r="326" s="3" customFormat="1" ht="18" customHeight="1" x14ac:dyDescent="0.35"/>
    <row r="327" s="3" customFormat="1" ht="18" customHeight="1" x14ac:dyDescent="0.35"/>
    <row r="328" s="3" customFormat="1" ht="18" customHeight="1" x14ac:dyDescent="0.35"/>
    <row r="329" s="3" customFormat="1" ht="18" customHeight="1" x14ac:dyDescent="0.35"/>
    <row r="330" s="3" customFormat="1" ht="18" customHeight="1" x14ac:dyDescent="0.35"/>
    <row r="331" s="3" customFormat="1" ht="18" customHeight="1" x14ac:dyDescent="0.35"/>
    <row r="332" s="3" customFormat="1" ht="18" customHeight="1" x14ac:dyDescent="0.35"/>
    <row r="333" s="3" customFormat="1" ht="18" customHeight="1" x14ac:dyDescent="0.35"/>
    <row r="334" s="3" customFormat="1" ht="18" customHeight="1" x14ac:dyDescent="0.35"/>
    <row r="335" s="3" customFormat="1" ht="18" customHeight="1" x14ac:dyDescent="0.35"/>
    <row r="336" s="3" customFormat="1" ht="18" customHeight="1" x14ac:dyDescent="0.35"/>
    <row r="337" s="3" customFormat="1" ht="18" customHeight="1" x14ac:dyDescent="0.35"/>
    <row r="338" s="3" customFormat="1" ht="18" customHeight="1" x14ac:dyDescent="0.35"/>
    <row r="339" s="3" customFormat="1" ht="18" customHeight="1" x14ac:dyDescent="0.35"/>
    <row r="340" s="3" customFormat="1" ht="18" customHeight="1" x14ac:dyDescent="0.35"/>
    <row r="341" s="3" customFormat="1" ht="18" customHeight="1" x14ac:dyDescent="0.35"/>
    <row r="342" s="3" customFormat="1" ht="18" customHeight="1" x14ac:dyDescent="0.35"/>
    <row r="343" s="3" customFormat="1" ht="18" customHeight="1" x14ac:dyDescent="0.35"/>
    <row r="344" s="3" customFormat="1" ht="18" customHeight="1" x14ac:dyDescent="0.35"/>
    <row r="345" s="3" customFormat="1" ht="18" customHeight="1" x14ac:dyDescent="0.35"/>
    <row r="346" s="3" customFormat="1" ht="18" customHeight="1" x14ac:dyDescent="0.35"/>
    <row r="347" s="3" customFormat="1" ht="18" customHeight="1" x14ac:dyDescent="0.35"/>
    <row r="348" s="3" customFormat="1" ht="18" customHeight="1" x14ac:dyDescent="0.35"/>
    <row r="349" s="3" customFormat="1" ht="18" customHeight="1" x14ac:dyDescent="0.35"/>
    <row r="350" s="3" customFormat="1" ht="18" customHeight="1" x14ac:dyDescent="0.35"/>
    <row r="351" s="3" customFormat="1" ht="18" customHeight="1" x14ac:dyDescent="0.35"/>
    <row r="352" s="3" customFormat="1" ht="18" customHeight="1" x14ac:dyDescent="0.35"/>
    <row r="353" s="3" customFormat="1" ht="18" customHeight="1" x14ac:dyDescent="0.35"/>
    <row r="354" s="3" customFormat="1" ht="18" customHeight="1" x14ac:dyDescent="0.35"/>
    <row r="355" s="3" customFormat="1" ht="18" customHeight="1" x14ac:dyDescent="0.35"/>
    <row r="356" s="3" customFormat="1" ht="18" customHeight="1" x14ac:dyDescent="0.35"/>
    <row r="357" s="3" customFormat="1" ht="18" customHeight="1" x14ac:dyDescent="0.35"/>
    <row r="358" s="3" customFormat="1" ht="18" customHeight="1" x14ac:dyDescent="0.35"/>
    <row r="359" s="3" customFormat="1" ht="18" customHeight="1" x14ac:dyDescent="0.35"/>
    <row r="360" s="3" customFormat="1" ht="18" customHeight="1" x14ac:dyDescent="0.35"/>
    <row r="361" s="3" customFormat="1" ht="18" customHeight="1" x14ac:dyDescent="0.35"/>
    <row r="362" s="3" customFormat="1" ht="18" customHeight="1" x14ac:dyDescent="0.35"/>
    <row r="363" s="3" customFormat="1" ht="18" customHeight="1" x14ac:dyDescent="0.35"/>
    <row r="364" s="3" customFormat="1" ht="18" customHeight="1" x14ac:dyDescent="0.35"/>
    <row r="365" s="3" customFormat="1" ht="18" customHeight="1" x14ac:dyDescent="0.35"/>
    <row r="366" s="3" customFormat="1" ht="18" customHeight="1" x14ac:dyDescent="0.35"/>
    <row r="367" s="3" customFormat="1" ht="18" customHeight="1" x14ac:dyDescent="0.35"/>
    <row r="368" s="3" customFormat="1" ht="18" customHeight="1" x14ac:dyDescent="0.35"/>
    <row r="369" s="3" customFormat="1" ht="18" customHeight="1" x14ac:dyDescent="0.35"/>
    <row r="370" s="3" customFormat="1" ht="18" customHeight="1" x14ac:dyDescent="0.35"/>
    <row r="371" s="3" customFormat="1" ht="18" customHeight="1" x14ac:dyDescent="0.35"/>
    <row r="372" s="3" customFormat="1" ht="18" customHeight="1" x14ac:dyDescent="0.35"/>
    <row r="373" s="3" customFormat="1" ht="18" customHeight="1" x14ac:dyDescent="0.35"/>
    <row r="374" s="3" customFormat="1" ht="18" customHeight="1" x14ac:dyDescent="0.35"/>
    <row r="375" s="3" customFormat="1" ht="18" customHeight="1" x14ac:dyDescent="0.35"/>
    <row r="376" s="3" customFormat="1" ht="18" customHeight="1" x14ac:dyDescent="0.35"/>
    <row r="377" s="3" customFormat="1" ht="18" customHeight="1" x14ac:dyDescent="0.35"/>
    <row r="378" s="3" customFormat="1" ht="18" customHeight="1" x14ac:dyDescent="0.35"/>
    <row r="379" s="3" customFormat="1" ht="18" customHeight="1" x14ac:dyDescent="0.35"/>
    <row r="380" s="3" customFormat="1" ht="18" customHeight="1" x14ac:dyDescent="0.35"/>
    <row r="381" s="3" customFormat="1" ht="18" customHeight="1" x14ac:dyDescent="0.35"/>
    <row r="382" s="3" customFormat="1" ht="18" customHeight="1" x14ac:dyDescent="0.35"/>
    <row r="383" s="3" customFormat="1" ht="18" customHeight="1" x14ac:dyDescent="0.35"/>
    <row r="384" s="3" customFormat="1" ht="18" customHeight="1" x14ac:dyDescent="0.35"/>
    <row r="385" s="3" customFormat="1" ht="18" customHeight="1" x14ac:dyDescent="0.35"/>
    <row r="386" s="3" customFormat="1" ht="18" customHeight="1" x14ac:dyDescent="0.35"/>
    <row r="387" s="3" customFormat="1" ht="18" customHeight="1" x14ac:dyDescent="0.35"/>
    <row r="388" s="3" customFormat="1" ht="18" customHeight="1" x14ac:dyDescent="0.35"/>
    <row r="389" s="3" customFormat="1" ht="18" customHeight="1" x14ac:dyDescent="0.35"/>
    <row r="390" s="3" customFormat="1" ht="18" customHeight="1" x14ac:dyDescent="0.35"/>
    <row r="391" s="3" customFormat="1" ht="18" customHeight="1" x14ac:dyDescent="0.35"/>
    <row r="392" s="3" customFormat="1" ht="18" customHeight="1" x14ac:dyDescent="0.35"/>
    <row r="393" s="3" customFormat="1" ht="18" customHeight="1" x14ac:dyDescent="0.35"/>
    <row r="394" s="3" customFormat="1" ht="18" customHeight="1" x14ac:dyDescent="0.35"/>
    <row r="395" s="3" customFormat="1" ht="18" customHeight="1" x14ac:dyDescent="0.35"/>
    <row r="396" s="3" customFormat="1" ht="18" customHeight="1" x14ac:dyDescent="0.35"/>
    <row r="397" s="3" customFormat="1" ht="18" customHeight="1" x14ac:dyDescent="0.35"/>
    <row r="398" s="3" customFormat="1" ht="18" customHeight="1" x14ac:dyDescent="0.35"/>
    <row r="399" s="3" customFormat="1" ht="18" customHeight="1" x14ac:dyDescent="0.35"/>
    <row r="400" s="3" customFormat="1" ht="18" customHeight="1" x14ac:dyDescent="0.35"/>
    <row r="401" s="3" customFormat="1" ht="18" customHeight="1" x14ac:dyDescent="0.35"/>
    <row r="402" s="3" customFormat="1" ht="18" customHeight="1" x14ac:dyDescent="0.35"/>
    <row r="403" s="3" customFormat="1" ht="18" customHeight="1" x14ac:dyDescent="0.35"/>
    <row r="404" s="3" customFormat="1" ht="18" customHeight="1" x14ac:dyDescent="0.35"/>
    <row r="405" s="3" customFormat="1" ht="18" customHeight="1" x14ac:dyDescent="0.35"/>
    <row r="406" s="3" customFormat="1" ht="18" customHeight="1" x14ac:dyDescent="0.35"/>
    <row r="407" s="3" customFormat="1" ht="18" customHeight="1" x14ac:dyDescent="0.35"/>
    <row r="408" s="3" customFormat="1" ht="18" customHeight="1" x14ac:dyDescent="0.35"/>
    <row r="409" s="3" customFormat="1" ht="18" customHeight="1" x14ac:dyDescent="0.35"/>
    <row r="410" s="3" customFormat="1" ht="18" customHeight="1" x14ac:dyDescent="0.35"/>
    <row r="411" s="3" customFormat="1" ht="18" customHeight="1" x14ac:dyDescent="0.35"/>
    <row r="412" s="3" customFormat="1" ht="18" customHeight="1" x14ac:dyDescent="0.35"/>
    <row r="413" s="3" customFormat="1" ht="18" customHeight="1" x14ac:dyDescent="0.35"/>
    <row r="414" s="3" customFormat="1" ht="18" customHeight="1" x14ac:dyDescent="0.35"/>
    <row r="415" s="3" customFormat="1" ht="18" customHeight="1" x14ac:dyDescent="0.35"/>
    <row r="416" s="3" customFormat="1" ht="18" customHeight="1" x14ac:dyDescent="0.35"/>
    <row r="417" s="3" customFormat="1" ht="18" customHeight="1" x14ac:dyDescent="0.35"/>
    <row r="418" s="3" customFormat="1" ht="18" customHeight="1" x14ac:dyDescent="0.35"/>
    <row r="419" s="3" customFormat="1" ht="18" customHeight="1" x14ac:dyDescent="0.35"/>
    <row r="420" s="3" customFormat="1" ht="18" customHeight="1" x14ac:dyDescent="0.35"/>
    <row r="421" s="3" customFormat="1" ht="18" customHeight="1" x14ac:dyDescent="0.35"/>
    <row r="422" s="3" customFormat="1" ht="18" customHeight="1" x14ac:dyDescent="0.35"/>
    <row r="423" s="3" customFormat="1" ht="18" customHeight="1" x14ac:dyDescent="0.35"/>
    <row r="424" s="3" customFormat="1" ht="18" customHeight="1" x14ac:dyDescent="0.35"/>
    <row r="425" s="3" customFormat="1" ht="18" customHeight="1" x14ac:dyDescent="0.35"/>
    <row r="426" s="3" customFormat="1" ht="18" customHeight="1" x14ac:dyDescent="0.35"/>
    <row r="427" s="3" customFormat="1" ht="18" customHeight="1" x14ac:dyDescent="0.35"/>
    <row r="428" s="3" customFormat="1" ht="18" customHeight="1" x14ac:dyDescent="0.35"/>
    <row r="429" s="3" customFormat="1" ht="18" customHeight="1" x14ac:dyDescent="0.35"/>
    <row r="430" s="3" customFormat="1" ht="18" customHeight="1" x14ac:dyDescent="0.35"/>
    <row r="431" s="3" customFormat="1" ht="18" customHeight="1" x14ac:dyDescent="0.35"/>
    <row r="432" s="3" customFormat="1" ht="18" customHeight="1" x14ac:dyDescent="0.35"/>
    <row r="433" s="3" customFormat="1" ht="18" customHeight="1" x14ac:dyDescent="0.35"/>
    <row r="434" s="3" customFormat="1" ht="18" customHeight="1" x14ac:dyDescent="0.35"/>
    <row r="435" s="3" customFormat="1" ht="18" customHeight="1" x14ac:dyDescent="0.35"/>
    <row r="436" s="3" customFormat="1" ht="18" customHeight="1" x14ac:dyDescent="0.35"/>
    <row r="437" s="3" customFormat="1" ht="18" customHeight="1" x14ac:dyDescent="0.35"/>
    <row r="438" s="3" customFormat="1" ht="18" customHeight="1" x14ac:dyDescent="0.35"/>
    <row r="439" s="3" customFormat="1" ht="18" customHeight="1" x14ac:dyDescent="0.35"/>
    <row r="440" s="3" customFormat="1" ht="18" customHeight="1" x14ac:dyDescent="0.35"/>
    <row r="441" s="3" customFormat="1" ht="18" customHeight="1" x14ac:dyDescent="0.35"/>
    <row r="442" s="3" customFormat="1" ht="18" customHeight="1" x14ac:dyDescent="0.35"/>
    <row r="443" s="3" customFormat="1" ht="18" customHeight="1" x14ac:dyDescent="0.35"/>
    <row r="444" s="3" customFormat="1" ht="18" customHeight="1" x14ac:dyDescent="0.35"/>
    <row r="445" s="3" customFormat="1" ht="18" customHeight="1" x14ac:dyDescent="0.35"/>
    <row r="446" s="3" customFormat="1" ht="18" customHeight="1" x14ac:dyDescent="0.35"/>
    <row r="447" s="3" customFormat="1" ht="18" customHeight="1" x14ac:dyDescent="0.35"/>
    <row r="448" s="3" customFormat="1" ht="18" customHeight="1" x14ac:dyDescent="0.35"/>
    <row r="449" s="3" customFormat="1" ht="18" customHeight="1" x14ac:dyDescent="0.35"/>
    <row r="450" s="3" customFormat="1" ht="18" customHeight="1" x14ac:dyDescent="0.35"/>
    <row r="451" s="3" customFormat="1" ht="18" customHeight="1" x14ac:dyDescent="0.35"/>
    <row r="452" s="3" customFormat="1" ht="18" customHeight="1" x14ac:dyDescent="0.35"/>
    <row r="453" s="3" customFormat="1" ht="18" customHeight="1" x14ac:dyDescent="0.35"/>
    <row r="454" s="3" customFormat="1" ht="18" customHeight="1" x14ac:dyDescent="0.35"/>
    <row r="455" s="3" customFormat="1" ht="18" customHeight="1" x14ac:dyDescent="0.35"/>
    <row r="456" s="3" customFormat="1" ht="18" customHeight="1" x14ac:dyDescent="0.35"/>
    <row r="457" s="3" customFormat="1" ht="18" customHeight="1" x14ac:dyDescent="0.35"/>
    <row r="458" s="3" customFormat="1" ht="18" customHeight="1" x14ac:dyDescent="0.35"/>
    <row r="459" s="3" customFormat="1" ht="18" customHeight="1" x14ac:dyDescent="0.35"/>
    <row r="460" s="3" customFormat="1" ht="18" customHeight="1" x14ac:dyDescent="0.35"/>
    <row r="461" s="3" customFormat="1" ht="18" customHeight="1" x14ac:dyDescent="0.35"/>
    <row r="462" s="3" customFormat="1" ht="18" customHeight="1" x14ac:dyDescent="0.35"/>
    <row r="463" s="3" customFormat="1" ht="18" customHeight="1" x14ac:dyDescent="0.35"/>
    <row r="464" s="3" customFormat="1" ht="18" customHeight="1" x14ac:dyDescent="0.35"/>
    <row r="465" s="3" customFormat="1" ht="18" customHeight="1" x14ac:dyDescent="0.35"/>
    <row r="466" s="3" customFormat="1" ht="18" customHeight="1" x14ac:dyDescent="0.35"/>
    <row r="467" s="3" customFormat="1" ht="18" customHeight="1" x14ac:dyDescent="0.35"/>
    <row r="468" s="3" customFormat="1" ht="18" customHeight="1" x14ac:dyDescent="0.35"/>
    <row r="469" s="3" customFormat="1" ht="18" customHeight="1" x14ac:dyDescent="0.35"/>
    <row r="470" s="3" customFormat="1" ht="18" customHeight="1" x14ac:dyDescent="0.35"/>
    <row r="471" s="3" customFormat="1" ht="18" customHeight="1" x14ac:dyDescent="0.35"/>
    <row r="472" s="3" customFormat="1" ht="18" customHeight="1" x14ac:dyDescent="0.35"/>
    <row r="473" s="3" customFormat="1" ht="18" customHeight="1" x14ac:dyDescent="0.35"/>
    <row r="474" s="3" customFormat="1" ht="18" customHeight="1" x14ac:dyDescent="0.35"/>
    <row r="475" s="3" customFormat="1" ht="18" customHeight="1" x14ac:dyDescent="0.35"/>
    <row r="476" s="3" customFormat="1" ht="18" customHeight="1" x14ac:dyDescent="0.35"/>
    <row r="477" s="3" customFormat="1" ht="18" customHeight="1" x14ac:dyDescent="0.35"/>
    <row r="478" s="3" customFormat="1" ht="18" customHeight="1" x14ac:dyDescent="0.35"/>
    <row r="479" s="3" customFormat="1" ht="18" customHeight="1" x14ac:dyDescent="0.35"/>
    <row r="480" s="3" customFormat="1" ht="18" customHeight="1" x14ac:dyDescent="0.35"/>
    <row r="481" s="3" customFormat="1" ht="18" customHeight="1" x14ac:dyDescent="0.35"/>
    <row r="482" s="3" customFormat="1" ht="18" customHeight="1" x14ac:dyDescent="0.35"/>
    <row r="483" s="3" customFormat="1" ht="18" customHeight="1" x14ac:dyDescent="0.35"/>
    <row r="484" s="3" customFormat="1" ht="18" customHeight="1" x14ac:dyDescent="0.35"/>
    <row r="485" s="3" customFormat="1" ht="18" customHeight="1" x14ac:dyDescent="0.35"/>
    <row r="486" s="3" customFormat="1" ht="18" customHeight="1" x14ac:dyDescent="0.35"/>
    <row r="487" s="3" customFormat="1" ht="18" customHeight="1" x14ac:dyDescent="0.35"/>
    <row r="488" s="3" customFormat="1" ht="18" customHeight="1" x14ac:dyDescent="0.35"/>
    <row r="489" s="3" customFormat="1" ht="18" customHeight="1" x14ac:dyDescent="0.35"/>
    <row r="490" s="3" customFormat="1" ht="18" customHeight="1" x14ac:dyDescent="0.35"/>
    <row r="491" s="3" customFormat="1" ht="18" customHeight="1" x14ac:dyDescent="0.35"/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W491"/>
  <sheetViews>
    <sheetView zoomScale="115" zoomScaleNormal="115" workbookViewId="0">
      <pane xSplit="1" ySplit="2" topLeftCell="B131" activePane="bottomRight" state="frozen"/>
      <selection pane="topRight" activeCell="B1" sqref="B1"/>
      <selection pane="bottomLeft" activeCell="A3" sqref="A3"/>
      <selection pane="bottomRight" activeCell="A132" sqref="A132:XFD133"/>
    </sheetView>
  </sheetViews>
  <sheetFormatPr defaultColWidth="12.36328125" defaultRowHeight="14.5" x14ac:dyDescent="0.35"/>
  <cols>
    <col min="1" max="1" width="40.6328125" style="15" customWidth="1"/>
    <col min="2" max="2" width="18.08984375" style="51" bestFit="1" customWidth="1"/>
    <col min="3" max="15" width="16.54296875" style="3" bestFit="1" customWidth="1"/>
    <col min="16" max="124" width="17.90625" style="3" bestFit="1" customWidth="1"/>
    <col min="125" max="128" width="16" style="3" bestFit="1" customWidth="1"/>
    <col min="129" max="16384" width="12.36328125" style="3"/>
  </cols>
  <sheetData>
    <row r="1" spans="1:61" x14ac:dyDescent="0.35">
      <c r="A1" s="15" t="s">
        <v>197</v>
      </c>
      <c r="B1" s="51">
        <v>1</v>
      </c>
      <c r="C1" s="3">
        <v>2</v>
      </c>
      <c r="D1" s="3">
        <v>3</v>
      </c>
      <c r="E1" s="3">
        <v>4</v>
      </c>
      <c r="F1" s="3">
        <v>5</v>
      </c>
      <c r="G1" s="3">
        <v>6</v>
      </c>
      <c r="H1" s="3">
        <v>7</v>
      </c>
      <c r="I1" s="3">
        <v>8</v>
      </c>
      <c r="J1" s="3">
        <v>9</v>
      </c>
      <c r="K1" s="3">
        <v>10</v>
      </c>
      <c r="L1" s="3">
        <v>11</v>
      </c>
      <c r="M1" s="3">
        <v>12</v>
      </c>
      <c r="N1" s="3">
        <v>13</v>
      </c>
      <c r="O1" s="3">
        <v>14</v>
      </c>
      <c r="P1" s="3">
        <v>15</v>
      </c>
      <c r="Q1" s="3">
        <v>16</v>
      </c>
      <c r="R1" s="3">
        <v>17</v>
      </c>
      <c r="S1" s="3">
        <v>18</v>
      </c>
      <c r="T1" s="3">
        <v>19</v>
      </c>
      <c r="U1" s="3">
        <v>20</v>
      </c>
      <c r="V1" s="3">
        <v>21</v>
      </c>
      <c r="W1" s="3">
        <v>22</v>
      </c>
      <c r="X1" s="3">
        <v>23</v>
      </c>
      <c r="Y1" s="3">
        <v>24</v>
      </c>
      <c r="Z1" s="3">
        <v>25</v>
      </c>
      <c r="AA1" s="3">
        <v>26</v>
      </c>
      <c r="AB1" s="3">
        <v>27</v>
      </c>
      <c r="AC1" s="3">
        <v>28</v>
      </c>
      <c r="AD1" s="3">
        <v>29</v>
      </c>
      <c r="AE1" s="3">
        <v>30</v>
      </c>
      <c r="AF1" s="3">
        <v>31</v>
      </c>
      <c r="AG1" s="3">
        <v>32</v>
      </c>
      <c r="AH1" s="3">
        <v>33</v>
      </c>
      <c r="AI1" s="3">
        <v>34</v>
      </c>
      <c r="AJ1" s="3">
        <v>35</v>
      </c>
      <c r="AK1" s="3">
        <v>36</v>
      </c>
      <c r="AL1" s="3">
        <v>37</v>
      </c>
      <c r="AM1" s="3">
        <v>38</v>
      </c>
      <c r="AN1" s="3">
        <v>39</v>
      </c>
      <c r="AO1" s="3">
        <f>+AN1+1</f>
        <v>40</v>
      </c>
      <c r="AP1" s="3">
        <f t="shared" ref="AP1:BI1" si="0">+AO1+1</f>
        <v>41</v>
      </c>
      <c r="AQ1" s="3">
        <f t="shared" si="0"/>
        <v>42</v>
      </c>
      <c r="AR1" s="3">
        <f t="shared" si="0"/>
        <v>43</v>
      </c>
      <c r="AS1" s="3">
        <f t="shared" si="0"/>
        <v>44</v>
      </c>
      <c r="AT1" s="3">
        <f t="shared" si="0"/>
        <v>45</v>
      </c>
      <c r="AU1" s="3">
        <f t="shared" si="0"/>
        <v>46</v>
      </c>
      <c r="AV1" s="3">
        <f t="shared" si="0"/>
        <v>47</v>
      </c>
      <c r="AW1" s="3">
        <f t="shared" si="0"/>
        <v>48</v>
      </c>
      <c r="AX1" s="3">
        <f t="shared" si="0"/>
        <v>49</v>
      </c>
      <c r="AY1" s="3">
        <f t="shared" si="0"/>
        <v>50</v>
      </c>
      <c r="AZ1" s="3">
        <f t="shared" si="0"/>
        <v>51</v>
      </c>
      <c r="BA1" s="3">
        <f t="shared" si="0"/>
        <v>52</v>
      </c>
      <c r="BB1" s="3">
        <f t="shared" si="0"/>
        <v>53</v>
      </c>
      <c r="BC1" s="3">
        <f t="shared" si="0"/>
        <v>54</v>
      </c>
      <c r="BD1" s="3">
        <f t="shared" si="0"/>
        <v>55</v>
      </c>
      <c r="BE1" s="3">
        <f t="shared" si="0"/>
        <v>56</v>
      </c>
      <c r="BF1" s="3">
        <f t="shared" si="0"/>
        <v>57</v>
      </c>
      <c r="BG1" s="3">
        <f t="shared" si="0"/>
        <v>58</v>
      </c>
      <c r="BH1" s="3">
        <f t="shared" si="0"/>
        <v>59</v>
      </c>
      <c r="BI1" s="3">
        <f t="shared" si="0"/>
        <v>60</v>
      </c>
    </row>
    <row r="2" spans="1:61" x14ac:dyDescent="0.35">
      <c r="A2" s="80">
        <f>+MAX(B100:DV100)</f>
        <v>1.9972003764331847</v>
      </c>
      <c r="B2" s="51">
        <v>2010</v>
      </c>
      <c r="C2" s="3">
        <f>+B2+Parameters!$B$21</f>
        <v>2015</v>
      </c>
      <c r="D2" s="3">
        <f>+C2+Parameters!$B$21</f>
        <v>2020</v>
      </c>
      <c r="E2" s="3">
        <f>+D2+Parameters!$B$21</f>
        <v>2025</v>
      </c>
      <c r="F2" s="3">
        <f>+E2+Parameters!$B$21</f>
        <v>2030</v>
      </c>
      <c r="G2" s="3">
        <f>+F2+Parameters!$B$21</f>
        <v>2035</v>
      </c>
      <c r="H2" s="3">
        <f>+G2+Parameters!$B$21</f>
        <v>2040</v>
      </c>
      <c r="I2" s="3">
        <f>+H2+Parameters!$B$21</f>
        <v>2045</v>
      </c>
      <c r="J2" s="3">
        <f>+I2+Parameters!$B$21</f>
        <v>2050</v>
      </c>
      <c r="K2" s="3">
        <f>+J2+Parameters!$B$21</f>
        <v>2055</v>
      </c>
      <c r="L2" s="3">
        <f>+K2+Parameters!$B$21</f>
        <v>2060</v>
      </c>
      <c r="M2" s="3">
        <f>+L2+Parameters!$B$21</f>
        <v>2065</v>
      </c>
      <c r="N2" s="3">
        <f>+M2+Parameters!$B$21</f>
        <v>2070</v>
      </c>
      <c r="O2" s="3">
        <f>+N2+Parameters!$B$21</f>
        <v>2075</v>
      </c>
      <c r="P2" s="3">
        <f>+O2+Parameters!$B$21</f>
        <v>2080</v>
      </c>
      <c r="Q2" s="3">
        <f>+P2+Parameters!$B$21</f>
        <v>2085</v>
      </c>
      <c r="R2" s="3">
        <f>+Q2+Parameters!$B$21</f>
        <v>2090</v>
      </c>
      <c r="S2" s="3">
        <f>+R2+Parameters!$B$21</f>
        <v>2095</v>
      </c>
      <c r="T2" s="3">
        <f>+S2+Parameters!$B$21</f>
        <v>2100</v>
      </c>
      <c r="U2" s="3">
        <f>+T2+Parameters!$B$21</f>
        <v>2105</v>
      </c>
      <c r="V2" s="3">
        <f>+U2+Parameters!$B$21</f>
        <v>2110</v>
      </c>
      <c r="W2" s="3">
        <f>+V2+Parameters!$B$21</f>
        <v>2115</v>
      </c>
      <c r="X2" s="3">
        <f>+W2+Parameters!$B$21</f>
        <v>2120</v>
      </c>
      <c r="Y2" s="3">
        <f>+X2+Parameters!$B$21</f>
        <v>2125</v>
      </c>
      <c r="Z2" s="3">
        <f>+Y2+Parameters!$B$21</f>
        <v>2130</v>
      </c>
      <c r="AA2" s="3">
        <f>+Z2+Parameters!$B$21</f>
        <v>2135</v>
      </c>
      <c r="AB2" s="3">
        <f>+AA2+Parameters!$B$21</f>
        <v>2140</v>
      </c>
      <c r="AC2" s="3">
        <f>+AB2+Parameters!$B$21</f>
        <v>2145</v>
      </c>
      <c r="AD2" s="3">
        <f>+AC2+Parameters!$B$21</f>
        <v>2150</v>
      </c>
      <c r="AE2" s="3">
        <f>+AD2+Parameters!$B$21</f>
        <v>2155</v>
      </c>
      <c r="AF2" s="3">
        <f>+AE2+Parameters!$B$21</f>
        <v>2160</v>
      </c>
      <c r="AG2" s="3">
        <f>+AF2+Parameters!$B$21</f>
        <v>2165</v>
      </c>
      <c r="AH2" s="3">
        <f>+AG2+Parameters!$B$21</f>
        <v>2170</v>
      </c>
      <c r="AI2" s="3">
        <f>+AH2+Parameters!$B$21</f>
        <v>2175</v>
      </c>
      <c r="AJ2" s="3">
        <f>+AI2+Parameters!$B$21</f>
        <v>2180</v>
      </c>
      <c r="AK2" s="3">
        <f>+AJ2+Parameters!$B$21</f>
        <v>2185</v>
      </c>
      <c r="AL2" s="3">
        <f>+AK2+Parameters!$B$21</f>
        <v>2190</v>
      </c>
      <c r="AM2" s="3">
        <f>+AL2+Parameters!$B$21</f>
        <v>2195</v>
      </c>
      <c r="AN2" s="3">
        <f>+AM2+Parameters!$B$21</f>
        <v>2200</v>
      </c>
      <c r="AO2" s="3">
        <f>+AN2+Parameters!$B$21</f>
        <v>2205</v>
      </c>
      <c r="AP2" s="3">
        <f>+AO2+Parameters!$B$21</f>
        <v>2210</v>
      </c>
      <c r="AQ2" s="3">
        <f>+AP2+Parameters!$B$21</f>
        <v>2215</v>
      </c>
      <c r="AR2" s="3">
        <f>+AQ2+Parameters!$B$21</f>
        <v>2220</v>
      </c>
      <c r="AS2" s="3">
        <f>+AR2+Parameters!$B$21</f>
        <v>2225</v>
      </c>
      <c r="AT2" s="3">
        <f>+AS2+Parameters!$B$21</f>
        <v>2230</v>
      </c>
      <c r="AU2" s="3">
        <f>+AT2+Parameters!$B$21</f>
        <v>2235</v>
      </c>
      <c r="AV2" s="3">
        <f>+AU2+Parameters!$B$21</f>
        <v>2240</v>
      </c>
      <c r="AW2" s="3">
        <f>+AV2+Parameters!$B$21</f>
        <v>2245</v>
      </c>
      <c r="AX2" s="3">
        <f>+AW2+Parameters!$B$21</f>
        <v>2250</v>
      </c>
      <c r="AY2" s="3">
        <f>+AX2+Parameters!$B$21</f>
        <v>2255</v>
      </c>
      <c r="AZ2" s="3">
        <f>+AY2+Parameters!$B$21</f>
        <v>2260</v>
      </c>
      <c r="BA2" s="3">
        <f>+AZ2+Parameters!$B$21</f>
        <v>2265</v>
      </c>
      <c r="BB2" s="3">
        <f>+BA2+Parameters!$B$21</f>
        <v>2270</v>
      </c>
      <c r="BC2" s="3">
        <f>+BB2+Parameters!$B$21</f>
        <v>2275</v>
      </c>
      <c r="BD2" s="3">
        <f>+BC2+Parameters!$B$21</f>
        <v>2280</v>
      </c>
      <c r="BE2" s="3">
        <f>+BD2+Parameters!$B$21</f>
        <v>2285</v>
      </c>
      <c r="BF2" s="3">
        <f>+BE2+Parameters!$B$21</f>
        <v>2290</v>
      </c>
      <c r="BG2" s="3">
        <f>+BF2+Parameters!$B$21</f>
        <v>2295</v>
      </c>
      <c r="BH2" s="3">
        <f>+BG2+Parameters!$B$21</f>
        <v>2300</v>
      </c>
      <c r="BI2" s="3">
        <f>+BH2+Parameters!$B$21</f>
        <v>2305</v>
      </c>
    </row>
    <row r="3" spans="1:61" ht="45.5" thickBot="1" x14ac:dyDescent="0.4">
      <c r="A3" s="81" t="s">
        <v>201</v>
      </c>
    </row>
    <row r="4" spans="1:61" ht="35" thickTop="1" thickBot="1" x14ac:dyDescent="0.4">
      <c r="A4" s="82" t="s">
        <v>35</v>
      </c>
    </row>
    <row r="5" spans="1:61" ht="21" customHeight="1" thickTop="1" x14ac:dyDescent="0.35">
      <c r="A5" s="15" t="s">
        <v>51</v>
      </c>
      <c r="B5" s="51">
        <f>+Base!B5</f>
        <v>0.3</v>
      </c>
    </row>
    <row r="6" spans="1:61" ht="21" customHeight="1" x14ac:dyDescent="0.35">
      <c r="A6" s="15" t="s">
        <v>144</v>
      </c>
      <c r="B6" s="51">
        <f>+Base!B6</f>
        <v>0.1</v>
      </c>
    </row>
    <row r="7" spans="1:61" ht="22.25" hidden="1" customHeight="1" x14ac:dyDescent="0.35">
      <c r="A7" s="149" t="s">
        <v>167</v>
      </c>
      <c r="B7" s="150">
        <f>+Parameters!B22*Parameters!B23</f>
        <v>0</v>
      </c>
    </row>
    <row r="8" spans="1:61" ht="22.25" hidden="1" customHeight="1" x14ac:dyDescent="0.35">
      <c r="A8" s="149" t="s">
        <v>168</v>
      </c>
      <c r="B8" s="150">
        <f>1-Parameters!B24</f>
        <v>0.5</v>
      </c>
    </row>
    <row r="9" spans="1:61" ht="22.25" hidden="1" customHeight="1" x14ac:dyDescent="0.35">
      <c r="A9" s="149" t="s">
        <v>179</v>
      </c>
      <c r="B9" s="151">
        <f>+B7*B8</f>
        <v>0</v>
      </c>
    </row>
    <row r="10" spans="1:61" ht="22.25" hidden="1" customHeight="1" x14ac:dyDescent="0.35">
      <c r="A10" s="15" t="s">
        <v>315</v>
      </c>
      <c r="B10" s="51">
        <f>+B6+B9</f>
        <v>0.1</v>
      </c>
    </row>
    <row r="11" spans="1:61" ht="21" customHeight="1" x14ac:dyDescent="0.35">
      <c r="A11" s="15" t="s">
        <v>22</v>
      </c>
      <c r="B11" s="51">
        <f>+Base!B11</f>
        <v>66.95</v>
      </c>
    </row>
    <row r="12" spans="1:61" ht="21" customHeight="1" x14ac:dyDescent="0.35">
      <c r="A12" s="15" t="s">
        <v>13</v>
      </c>
      <c r="B12" s="51">
        <f>+Base!B12</f>
        <v>135</v>
      </c>
    </row>
    <row r="13" spans="1:61" ht="21" customHeight="1" x14ac:dyDescent="0.35">
      <c r="A13" s="15" t="s">
        <v>71</v>
      </c>
      <c r="B13" s="51">
        <f>+Base!B13</f>
        <v>3.7976214000000001</v>
      </c>
    </row>
    <row r="14" spans="1:61" ht="21" customHeight="1" thickBot="1" x14ac:dyDescent="0.4">
      <c r="A14" s="82" t="s">
        <v>52</v>
      </c>
    </row>
    <row r="15" spans="1:61" ht="35.4" customHeight="1" thickTop="1" x14ac:dyDescent="0.35">
      <c r="A15" s="15" t="s">
        <v>135</v>
      </c>
      <c r="B15" s="51">
        <f>+Base!B15</f>
        <v>1.4999999999999999E-2</v>
      </c>
      <c r="C15" s="3">
        <f>+B15</f>
        <v>1.4999999999999999E-2</v>
      </c>
      <c r="D15" s="3">
        <f t="shared" ref="D15:BI15" si="1">+C15</f>
        <v>1.4999999999999999E-2</v>
      </c>
      <c r="E15" s="3">
        <f t="shared" si="1"/>
        <v>1.4999999999999999E-2</v>
      </c>
      <c r="F15" s="3">
        <f t="shared" si="1"/>
        <v>1.4999999999999999E-2</v>
      </c>
      <c r="G15" s="3">
        <f t="shared" si="1"/>
        <v>1.4999999999999999E-2</v>
      </c>
      <c r="H15" s="3">
        <f t="shared" si="1"/>
        <v>1.4999999999999999E-2</v>
      </c>
      <c r="I15" s="3">
        <f t="shared" si="1"/>
        <v>1.4999999999999999E-2</v>
      </c>
      <c r="J15" s="3">
        <f t="shared" si="1"/>
        <v>1.4999999999999999E-2</v>
      </c>
      <c r="K15" s="3">
        <f t="shared" si="1"/>
        <v>1.4999999999999999E-2</v>
      </c>
      <c r="L15" s="3">
        <f t="shared" si="1"/>
        <v>1.4999999999999999E-2</v>
      </c>
      <c r="M15" s="3">
        <f t="shared" si="1"/>
        <v>1.4999999999999999E-2</v>
      </c>
      <c r="N15" s="3">
        <f t="shared" si="1"/>
        <v>1.4999999999999999E-2</v>
      </c>
      <c r="O15" s="3">
        <f t="shared" si="1"/>
        <v>1.4999999999999999E-2</v>
      </c>
      <c r="P15" s="3">
        <f t="shared" si="1"/>
        <v>1.4999999999999999E-2</v>
      </c>
      <c r="Q15" s="3">
        <f t="shared" si="1"/>
        <v>1.4999999999999999E-2</v>
      </c>
      <c r="R15" s="3">
        <f t="shared" si="1"/>
        <v>1.4999999999999999E-2</v>
      </c>
      <c r="S15" s="3">
        <f t="shared" si="1"/>
        <v>1.4999999999999999E-2</v>
      </c>
      <c r="T15" s="3">
        <f t="shared" si="1"/>
        <v>1.4999999999999999E-2</v>
      </c>
      <c r="U15" s="3">
        <f t="shared" si="1"/>
        <v>1.4999999999999999E-2</v>
      </c>
      <c r="V15" s="3">
        <f t="shared" si="1"/>
        <v>1.4999999999999999E-2</v>
      </c>
      <c r="W15" s="3">
        <f t="shared" si="1"/>
        <v>1.4999999999999999E-2</v>
      </c>
      <c r="X15" s="3">
        <f t="shared" si="1"/>
        <v>1.4999999999999999E-2</v>
      </c>
      <c r="Y15" s="3">
        <f t="shared" si="1"/>
        <v>1.4999999999999999E-2</v>
      </c>
      <c r="Z15" s="3">
        <f t="shared" si="1"/>
        <v>1.4999999999999999E-2</v>
      </c>
      <c r="AA15" s="3">
        <f t="shared" si="1"/>
        <v>1.4999999999999999E-2</v>
      </c>
      <c r="AB15" s="3">
        <f t="shared" si="1"/>
        <v>1.4999999999999999E-2</v>
      </c>
      <c r="AC15" s="3">
        <f t="shared" si="1"/>
        <v>1.4999999999999999E-2</v>
      </c>
      <c r="AD15" s="3">
        <f t="shared" si="1"/>
        <v>1.4999999999999999E-2</v>
      </c>
      <c r="AE15" s="3">
        <f t="shared" si="1"/>
        <v>1.4999999999999999E-2</v>
      </c>
      <c r="AF15" s="3">
        <f t="shared" si="1"/>
        <v>1.4999999999999999E-2</v>
      </c>
      <c r="AG15" s="3">
        <f t="shared" si="1"/>
        <v>1.4999999999999999E-2</v>
      </c>
      <c r="AH15" s="3">
        <f t="shared" si="1"/>
        <v>1.4999999999999999E-2</v>
      </c>
      <c r="AI15" s="3">
        <f t="shared" si="1"/>
        <v>1.4999999999999999E-2</v>
      </c>
      <c r="AJ15" s="3">
        <f t="shared" si="1"/>
        <v>1.4999999999999999E-2</v>
      </c>
      <c r="AK15" s="3">
        <f t="shared" si="1"/>
        <v>1.4999999999999999E-2</v>
      </c>
      <c r="AL15" s="3">
        <f t="shared" si="1"/>
        <v>1.4999999999999999E-2</v>
      </c>
      <c r="AM15" s="3">
        <f t="shared" si="1"/>
        <v>1.4999999999999999E-2</v>
      </c>
      <c r="AN15" s="3">
        <f t="shared" si="1"/>
        <v>1.4999999999999999E-2</v>
      </c>
      <c r="AO15" s="3">
        <f t="shared" si="1"/>
        <v>1.4999999999999999E-2</v>
      </c>
      <c r="AP15" s="3">
        <f t="shared" si="1"/>
        <v>1.4999999999999999E-2</v>
      </c>
      <c r="AQ15" s="3">
        <f t="shared" si="1"/>
        <v>1.4999999999999999E-2</v>
      </c>
      <c r="AR15" s="3">
        <f t="shared" si="1"/>
        <v>1.4999999999999999E-2</v>
      </c>
      <c r="AS15" s="3">
        <f t="shared" si="1"/>
        <v>1.4999999999999999E-2</v>
      </c>
      <c r="AT15" s="3">
        <f t="shared" si="1"/>
        <v>1.4999999999999999E-2</v>
      </c>
      <c r="AU15" s="3">
        <f t="shared" si="1"/>
        <v>1.4999999999999999E-2</v>
      </c>
      <c r="AV15" s="3">
        <f t="shared" si="1"/>
        <v>1.4999999999999999E-2</v>
      </c>
      <c r="AW15" s="3">
        <f t="shared" si="1"/>
        <v>1.4999999999999999E-2</v>
      </c>
      <c r="AX15" s="3">
        <f t="shared" si="1"/>
        <v>1.4999999999999999E-2</v>
      </c>
      <c r="AY15" s="3">
        <f t="shared" si="1"/>
        <v>1.4999999999999999E-2</v>
      </c>
      <c r="AZ15" s="3">
        <f t="shared" si="1"/>
        <v>1.4999999999999999E-2</v>
      </c>
      <c r="BA15" s="3">
        <f t="shared" si="1"/>
        <v>1.4999999999999999E-2</v>
      </c>
      <c r="BB15" s="3">
        <f t="shared" si="1"/>
        <v>1.4999999999999999E-2</v>
      </c>
      <c r="BC15" s="3">
        <f t="shared" si="1"/>
        <v>1.4999999999999999E-2</v>
      </c>
      <c r="BD15" s="3">
        <f t="shared" si="1"/>
        <v>1.4999999999999999E-2</v>
      </c>
      <c r="BE15" s="3">
        <f t="shared" si="1"/>
        <v>1.4999999999999999E-2</v>
      </c>
      <c r="BF15" s="3">
        <f t="shared" si="1"/>
        <v>1.4999999999999999E-2</v>
      </c>
      <c r="BG15" s="3">
        <f t="shared" si="1"/>
        <v>1.4999999999999999E-2</v>
      </c>
      <c r="BH15" s="3">
        <f t="shared" si="1"/>
        <v>1.4999999999999999E-2</v>
      </c>
      <c r="BI15" s="3">
        <f t="shared" si="1"/>
        <v>1.4999999999999999E-2</v>
      </c>
    </row>
    <row r="16" spans="1:61" ht="22.25" hidden="1" customHeight="1" x14ac:dyDescent="0.35">
      <c r="A16" s="15" t="s">
        <v>143</v>
      </c>
      <c r="B16" s="51">
        <f>+Base!B16</f>
        <v>1.4999999999999999E-2</v>
      </c>
    </row>
    <row r="17" spans="1:124" ht="21" hidden="1" customHeight="1" x14ac:dyDescent="0.35">
      <c r="A17" s="15" t="s">
        <v>169</v>
      </c>
      <c r="B17" s="51">
        <f>+Base!B17</f>
        <v>0</v>
      </c>
    </row>
    <row r="18" spans="1:124" ht="21" customHeight="1" x14ac:dyDescent="0.35">
      <c r="A18" s="15" t="s">
        <v>53</v>
      </c>
      <c r="B18" s="51">
        <f>+Base!B18</f>
        <v>1</v>
      </c>
      <c r="C18" s="3">
        <f t="shared" ref="C18:BI18" si="2">B18/(1+B15)^(C2-B2)</f>
        <v>0.92826032540563996</v>
      </c>
      <c r="D18" s="3">
        <f t="shared" si="2"/>
        <v>0.86166723172218462</v>
      </c>
      <c r="E18" s="3">
        <f t="shared" si="2"/>
        <v>0.79985150490981205</v>
      </c>
      <c r="F18" s="3">
        <f t="shared" si="2"/>
        <v>0.74247041822377302</v>
      </c>
      <c r="G18" s="3">
        <f t="shared" si="2"/>
        <v>0.68920583202446117</v>
      </c>
      <c r="H18" s="3">
        <f t="shared" si="2"/>
        <v>0.63976242990649113</v>
      </c>
      <c r="I18" s="3">
        <f t="shared" si="2"/>
        <v>0.59386608136730235</v>
      </c>
      <c r="J18" s="3">
        <f t="shared" si="2"/>
        <v>0.55126232193738434</v>
      </c>
      <c r="K18" s="3">
        <f t="shared" si="2"/>
        <v>0.51171494234546511</v>
      </c>
      <c r="L18" s="3">
        <f t="shared" si="2"/>
        <v>0.47500467889652975</v>
      </c>
      <c r="M18" s="3">
        <f t="shared" si="2"/>
        <v>0.44092799780169423</v>
      </c>
      <c r="N18" s="3">
        <f t="shared" si="2"/>
        <v>0.40929596671985802</v>
      </c>
      <c r="O18" s="3">
        <f t="shared" si="2"/>
        <v>0.3799332072545914</v>
      </c>
      <c r="P18" s="3">
        <f t="shared" si="2"/>
        <v>0.35267692259855549</v>
      </c>
      <c r="Q18" s="3">
        <f t="shared" si="2"/>
        <v>0.32737599493439484</v>
      </c>
      <c r="R18" s="3">
        <f t="shared" si="2"/>
        <v>0.30389014758779648</v>
      </c>
      <c r="S18" s="3">
        <f t="shared" si="2"/>
        <v>0.2820891672874159</v>
      </c>
      <c r="T18" s="3">
        <f t="shared" si="2"/>
        <v>0.2618521822196227</v>
      </c>
      <c r="U18" s="3">
        <f t="shared" si="2"/>
        <v>0.2430669918753639</v>
      </c>
      <c r="V18" s="3">
        <f t="shared" si="2"/>
        <v>0.22562944497359536</v>
      </c>
      <c r="W18" s="3">
        <f t="shared" si="2"/>
        <v>0.20944286201228357</v>
      </c>
      <c r="X18" s="3">
        <f t="shared" si="2"/>
        <v>0.19441749924541091</v>
      </c>
      <c r="Y18" s="3">
        <f t="shared" si="2"/>
        <v>0.18047005111409589</v>
      </c>
      <c r="Z18" s="3">
        <f t="shared" si="2"/>
        <v>0.16752318837314314</v>
      </c>
      <c r="AA18" s="3">
        <f t="shared" si="2"/>
        <v>0.15550512935224417</v>
      </c>
      <c r="AB18" s="3">
        <f t="shared" si="2"/>
        <v>0.14434924197476032</v>
      </c>
      <c r="AC18" s="3">
        <f t="shared" si="2"/>
        <v>0.13399367432754847</v>
      </c>
      <c r="AD18" s="3">
        <f t="shared" si="2"/>
        <v>0.12438101173358748</v>
      </c>
      <c r="AE18" s="3">
        <f t="shared" si="2"/>
        <v>0.11545795842610264</v>
      </c>
      <c r="AF18" s="3">
        <f t="shared" si="2"/>
        <v>0.10717504205928489</v>
      </c>
      <c r="AG18" s="3">
        <f t="shared" si="2"/>
        <v>9.9486339417314953E-2</v>
      </c>
      <c r="AH18" s="3">
        <f t="shared" si="2"/>
        <v>9.2349221800932732E-2</v>
      </c>
      <c r="AI18" s="3">
        <f t="shared" si="2"/>
        <v>8.5724118679891437E-2</v>
      </c>
      <c r="AJ18" s="3">
        <f t="shared" si="2"/>
        <v>7.9574298300907731E-2</v>
      </c>
      <c r="AK18" s="3">
        <f t="shared" si="2"/>
        <v>7.3865664034726081E-2</v>
      </c>
      <c r="AL18" s="3">
        <f t="shared" si="2"/>
        <v>6.8566565333178509E-2</v>
      </c>
      <c r="AM18" s="3">
        <f t="shared" si="2"/>
        <v>6.3647622248123356E-2</v>
      </c>
      <c r="AN18" s="3">
        <f t="shared" si="2"/>
        <v>5.9081562539338238E-2</v>
      </c>
      <c r="AO18" s="3">
        <f t="shared" si="2"/>
        <v>5.4843070468239781E-2</v>
      </c>
      <c r="AP18" s="3">
        <f t="shared" si="2"/>
        <v>5.0908646439092702E-2</v>
      </c>
      <c r="AQ18" s="3">
        <f t="shared" si="2"/>
        <v>4.7256476709512864E-2</v>
      </c>
      <c r="AR18" s="3">
        <f t="shared" si="2"/>
        <v>4.3866312447896461E-2</v>
      </c>
      <c r="AS18" s="3">
        <f t="shared" si="2"/>
        <v>4.0719357467229843E-2</v>
      </c>
      <c r="AT18" s="3">
        <f t="shared" si="2"/>
        <v>3.779816401283935E-2</v>
      </c>
      <c r="AU18" s="3">
        <f t="shared" si="2"/>
        <v>3.5086536026294003E-2</v>
      </c>
      <c r="AV18" s="3">
        <f t="shared" si="2"/>
        <v>3.2569439349124381E-2</v>
      </c>
      <c r="AW18" s="3">
        <f t="shared" si="2"/>
        <v>3.0232918368497452E-2</v>
      </c>
      <c r="AX18" s="3">
        <f t="shared" si="2"/>
        <v>2.8064018642703595E-2</v>
      </c>
      <c r="AY18" s="3">
        <f t="shared" si="2"/>
        <v>2.6050715077465987E-2</v>
      </c>
      <c r="AZ18" s="3">
        <f t="shared" si="2"/>
        <v>2.4181845254858191E-2</v>
      </c>
      <c r="BA18" s="3">
        <f t="shared" si="2"/>
        <v>2.2447047545183493E-2</v>
      </c>
      <c r="BB18" s="3">
        <f t="shared" si="2"/>
        <v>2.0836703658687901E-2</v>
      </c>
      <c r="BC18" s="3">
        <f t="shared" si="2"/>
        <v>1.9341885318594518E-2</v>
      </c>
      <c r="BD18" s="3">
        <f t="shared" si="2"/>
        <v>1.7954304759797118E-2</v>
      </c>
      <c r="BE18" s="3">
        <f t="shared" si="2"/>
        <v>1.6666268778761303E-2</v>
      </c>
      <c r="BF18" s="3">
        <f t="shared" si="2"/>
        <v>1.5470636079870826E-2</v>
      </c>
      <c r="BG18" s="3">
        <f t="shared" si="2"/>
        <v>1.4360777681733128E-2</v>
      </c>
      <c r="BH18" s="3">
        <f t="shared" si="2"/>
        <v>1.3330540163923646E-2</v>
      </c>
      <c r="BI18" s="3">
        <f t="shared" si="2"/>
        <v>1.2374211550396717E-2</v>
      </c>
    </row>
    <row r="19" spans="1:124" ht="21" customHeight="1" x14ac:dyDescent="0.35">
      <c r="A19" s="15" t="s">
        <v>58</v>
      </c>
      <c r="B19" s="51">
        <f>+Base!B19</f>
        <v>1.45</v>
      </c>
    </row>
    <row r="20" spans="1:124" ht="21" customHeight="1" thickBot="1" x14ac:dyDescent="0.4">
      <c r="A20" s="83" t="s">
        <v>15</v>
      </c>
    </row>
    <row r="21" spans="1:124" ht="21" customHeight="1" thickTop="1" x14ac:dyDescent="0.35">
      <c r="A21" s="15" t="s">
        <v>88</v>
      </c>
      <c r="B21" s="51">
        <f>+Base!B21</f>
        <v>3.7976214000000001</v>
      </c>
      <c r="C21" s="51">
        <f>+Base!C21</f>
        <v>4.1233674267100975</v>
      </c>
      <c r="D21" s="51">
        <f>+Base!D21</f>
        <v>4.4657337879870225</v>
      </c>
      <c r="E21" s="51">
        <f>+Base!E21</f>
        <v>4.8246876450561675</v>
      </c>
      <c r="F21" s="51">
        <f>+Base!F21</f>
        <v>5.2001407372762589</v>
      </c>
      <c r="G21" s="51">
        <f>+Base!G21</f>
        <v>5.5919503241395958</v>
      </c>
      <c r="H21" s="51">
        <f>+Base!H21</f>
        <v>5.9999204992367279</v>
      </c>
      <c r="I21" s="51">
        <f>+Base!I21</f>
        <v>6.4238038470291627</v>
      </c>
      <c r="J21" s="51">
        <f>+Base!J21</f>
        <v>6.8633034110325832</v>
      </c>
      <c r="K21" s="51">
        <f>+Base!K21</f>
        <v>7.3180749403940499</v>
      </c>
      <c r="L21" s="51">
        <f>+Base!L21</f>
        <v>7.7877293808181882</v>
      </c>
      <c r="M21" s="51">
        <f>+Base!M21</f>
        <v>8.2718355753199262</v>
      </c>
      <c r="N21" s="51">
        <f>+Base!N21</f>
        <v>8.7699231403093645</v>
      </c>
      <c r="O21" s="51">
        <f>+Base!O21</f>
        <v>9.2814854829978692</v>
      </c>
      <c r="P21" s="51">
        <f>+Base!P21</f>
        <v>9.805982927000942</v>
      </c>
      <c r="Q21" s="51">
        <f>+Base!Q21</f>
        <v>10.342845914248688</v>
      </c>
      <c r="R21" s="51">
        <f>+Base!R21</f>
        <v>10.891478252845129</v>
      </c>
      <c r="S21" s="51">
        <f>+Base!S21</f>
        <v>11.451260382290016</v>
      </c>
      <c r="T21" s="51">
        <f>+Base!T21</f>
        <v>12.021552629440624</v>
      </c>
      <c r="U21" s="51">
        <f>+Base!U21</f>
        <v>12.601698430697848</v>
      </c>
      <c r="V21" s="51">
        <f>+Base!V21</f>
        <v>13.191027498106218</v>
      </c>
      <c r="W21" s="51">
        <f>+Base!W21</f>
        <v>13.788858909319805</v>
      </c>
      <c r="X21" s="51">
        <f>+Base!X21</f>
        <v>14.394504103668551</v>
      </c>
      <c r="Y21" s="51">
        <f>+Base!Y21</f>
        <v>15.007269768829158</v>
      </c>
      <c r="Z21" s="51">
        <f>+Base!Z21</f>
        <v>15.626460604832571</v>
      </c>
      <c r="AA21" s="51">
        <f>+Base!AA21</f>
        <v>16.251381954301731</v>
      </c>
      <c r="AB21" s="51">
        <f>+Base!AB21</f>
        <v>16.881342289887851</v>
      </c>
      <c r="AC21" s="51">
        <f>+Base!AC21</f>
        <v>17.515655551844304</v>
      </c>
      <c r="AD21" s="51">
        <f>+Base!AD21</f>
        <v>18.153643330531068</v>
      </c>
      <c r="AE21" s="51">
        <f>+Base!AE21</f>
        <v>18.794636890369542</v>
      </c>
      <c r="AF21" s="51">
        <f>+Base!AF21</f>
        <v>19.437979033360847</v>
      </c>
      <c r="AG21" s="51">
        <f>+Base!AG21</f>
        <v>20.08302580173595</v>
      </c>
      <c r="AH21" s="51">
        <f>+Base!AH21</f>
        <v>20.729148020621849</v>
      </c>
      <c r="AI21" s="51">
        <f>+Base!AI21</f>
        <v>21.375732682784619</v>
      </c>
      <c r="AJ21" s="51">
        <f>+Base!AJ21</f>
        <v>22.022184178549967</v>
      </c>
      <c r="AK21" s="51">
        <f>+Base!AK21</f>
        <v>22.667925374908592</v>
      </c>
      <c r="AL21" s="51">
        <f>+Base!AL21</f>
        <v>23.312398548592238</v>
      </c>
      <c r="AM21" s="51">
        <f>+Base!AM21</f>
        <v>23.955066178562941</v>
      </c>
      <c r="AN21" s="51">
        <f>+Base!AN21</f>
        <v>24.595411603899361</v>
      </c>
      <c r="AO21" s="51">
        <f>+Base!AO21</f>
        <v>25.232939553497779</v>
      </c>
      <c r="AP21" s="51">
        <f>+Base!AP21</f>
        <v>25.867176554338993</v>
      </c>
      <c r="AQ21" s="51">
        <f>+Base!AQ21</f>
        <v>26.497671225314146</v>
      </c>
      <c r="AR21" s="51">
        <f>+Base!AR21</f>
        <v>27.123994463760443</v>
      </c>
      <c r="AS21" s="51">
        <f>+Base!AS21</f>
        <v>27.745739531939883</v>
      </c>
      <c r="AT21" s="51">
        <f>+Base!AT21</f>
        <v>28.362522050708495</v>
      </c>
      <c r="AU21" s="51">
        <f>+Base!AU21</f>
        <v>28.973979907577796</v>
      </c>
      <c r="AV21" s="51">
        <f>+Base!AV21</f>
        <v>29.579773086271572</v>
      </c>
      <c r="AW21" s="51">
        <f>+Base!AW21</f>
        <v>30.179583424736954</v>
      </c>
      <c r="AX21" s="51">
        <f>+Base!AX21</f>
        <v>30.773114308385264</v>
      </c>
      <c r="AY21" s="51">
        <f>+Base!AY21</f>
        <v>31.360090305122124</v>
      </c>
      <c r="AZ21" s="51">
        <f>+Base!AZ21</f>
        <v>31.94025674848292</v>
      </c>
      <c r="BA21" s="51">
        <f>+Base!BA21</f>
        <v>32.513379274924787</v>
      </c>
      <c r="BB21" s="51">
        <f>+Base!BB21</f>
        <v>33.07924332104443</v>
      </c>
      <c r="BC21" s="51">
        <f>+Base!BC21</f>
        <v>33.63765358619667</v>
      </c>
      <c r="BD21" s="51">
        <f>+Base!BD21</f>
        <v>34.188433465685904</v>
      </c>
      <c r="BE21" s="51">
        <f>+Base!BE21</f>
        <v>34.73142445939488</v>
      </c>
      <c r="BF21" s="51">
        <f>+Base!BF21</f>
        <v>35.266485560405712</v>
      </c>
      <c r="BG21" s="51">
        <f>+Base!BG21</f>
        <v>35.793492627859642</v>
      </c>
      <c r="BH21" s="51">
        <f>+Base!BH21</f>
        <v>36.312337747996835</v>
      </c>
      <c r="BI21" s="51">
        <f>+Base!BI21</f>
        <v>36.822928587018112</v>
      </c>
      <c r="BJ21" s="51"/>
      <c r="BK21" s="51"/>
      <c r="BL21" s="51"/>
      <c r="BM21" s="51"/>
      <c r="BN21" s="51"/>
      <c r="BO21" s="51"/>
      <c r="BP21" s="51"/>
      <c r="BQ21" s="51"/>
      <c r="BR21" s="51"/>
      <c r="BS21" s="51"/>
      <c r="BT21" s="51"/>
      <c r="BU21" s="51"/>
      <c r="BV21" s="51"/>
      <c r="BW21" s="51"/>
      <c r="BX21" s="51"/>
      <c r="BY21" s="51"/>
      <c r="BZ21" s="51"/>
      <c r="CA21" s="51"/>
      <c r="CB21" s="51"/>
      <c r="CC21" s="51"/>
      <c r="CD21" s="51"/>
      <c r="CE21" s="51"/>
      <c r="CF21" s="51"/>
      <c r="CG21" s="51"/>
      <c r="CH21" s="51"/>
      <c r="CI21" s="51"/>
      <c r="CJ21" s="51"/>
      <c r="CK21" s="51"/>
      <c r="CL21" s="51"/>
      <c r="CM21" s="51"/>
      <c r="CN21" s="51"/>
      <c r="CO21" s="51"/>
      <c r="CP21" s="51"/>
      <c r="CQ21" s="51"/>
      <c r="CR21" s="51"/>
      <c r="CS21" s="51"/>
      <c r="CT21" s="51"/>
      <c r="CU21" s="51"/>
      <c r="CV21" s="51"/>
      <c r="CW21" s="51"/>
      <c r="CX21" s="51"/>
      <c r="CY21" s="51"/>
      <c r="CZ21" s="51"/>
      <c r="DA21" s="51"/>
      <c r="DB21" s="51"/>
      <c r="DC21" s="51"/>
      <c r="DD21" s="51"/>
      <c r="DE21" s="51"/>
      <c r="DF21" s="51"/>
      <c r="DG21" s="51"/>
      <c r="DH21" s="51"/>
      <c r="DI21" s="51"/>
      <c r="DJ21" s="51"/>
      <c r="DK21" s="51"/>
      <c r="DL21" s="51"/>
      <c r="DM21" s="51"/>
      <c r="DN21" s="51"/>
      <c r="DO21" s="51"/>
      <c r="DP21" s="51"/>
      <c r="DQ21" s="51"/>
      <c r="DR21" s="51"/>
      <c r="DS21" s="51"/>
      <c r="DT21" s="51"/>
    </row>
    <row r="22" spans="1:124" ht="21" customHeight="1" x14ac:dyDescent="0.35">
      <c r="A22" s="15" t="s">
        <v>89</v>
      </c>
      <c r="B22" s="51">
        <f>+Base!B22</f>
        <v>3.7976214000000001</v>
      </c>
    </row>
    <row r="23" spans="1:124" ht="21" customHeight="1" x14ac:dyDescent="0.35">
      <c r="A23" s="15" t="s">
        <v>145</v>
      </c>
      <c r="B23" s="3"/>
      <c r="C23" s="51">
        <f>+Base!C23</f>
        <v>7.9000000000000001E-2</v>
      </c>
      <c r="D23" s="51">
        <f>+Base!D23</f>
        <v>7.666519715033214E-2</v>
      </c>
      <c r="E23" s="51">
        <f>+Base!E23</f>
        <v>7.4399398153155646E-2</v>
      </c>
      <c r="F23" s="51">
        <f>+Base!F23</f>
        <v>7.2200563636427031E-2</v>
      </c>
      <c r="G23" s="51">
        <f>+Base!G23</f>
        <v>7.0066714500655436E-2</v>
      </c>
      <c r="H23" s="51">
        <f>+Base!H23</f>
        <v>6.7995930137579569E-2</v>
      </c>
      <c r="I23" s="51">
        <f>+Base!I23</f>
        <v>6.5986346701490492E-2</v>
      </c>
      <c r="J23" s="51">
        <f>+Base!J23</f>
        <v>6.4036155431644787E-2</v>
      </c>
      <c r="K23" s="51">
        <f>+Base!K23</f>
        <v>6.2143601024257727E-2</v>
      </c>
      <c r="L23" s="51">
        <f>+Base!L23</f>
        <v>6.0306980052611397E-2</v>
      </c>
      <c r="M23" s="51">
        <f>+Base!M23</f>
        <v>5.8524639433855712E-2</v>
      </c>
      <c r="N23" s="51">
        <f>+Base!N23</f>
        <v>5.6794974941122171E-2</v>
      </c>
      <c r="O23" s="51">
        <f>+Base!O23</f>
        <v>5.5116429759611452E-2</v>
      </c>
      <c r="P23" s="51">
        <f>+Base!P23</f>
        <v>5.3487493085355005E-2</v>
      </c>
      <c r="Q23" s="51">
        <f>+Base!Q23</f>
        <v>5.1906698765389482E-2</v>
      </c>
      <c r="R23" s="51">
        <f>+Base!R23</f>
        <v>5.0372623978120097E-2</v>
      </c>
      <c r="S23" s="51">
        <f>+Base!S23</f>
        <v>4.8883887952685126E-2</v>
      </c>
      <c r="T23" s="51">
        <f>+Base!T23</f>
        <v>4.7439150726169006E-2</v>
      </c>
      <c r="U23" s="51">
        <f>+Base!U23</f>
        <v>4.6037111937545179E-2</v>
      </c>
      <c r="V23" s="51">
        <f>+Base!V23</f>
        <v>4.4676509657263427E-2</v>
      </c>
      <c r="W23" s="51">
        <f>+Base!W23</f>
        <v>4.3356119251428085E-2</v>
      </c>
      <c r="X23" s="51">
        <f>+Base!X23</f>
        <v>4.207475227954488E-2</v>
      </c>
      <c r="Y23" s="51">
        <f>+Base!Y23</f>
        <v>4.0831255424844247E-2</v>
      </c>
      <c r="Z23" s="51">
        <f>+Base!Z23</f>
        <v>3.9624509456218392E-2</v>
      </c>
      <c r="AA23" s="51">
        <f>+Base!AA23</f>
        <v>3.8453428220837763E-2</v>
      </c>
      <c r="AB23" s="51">
        <f>+Base!AB23</f>
        <v>3.7316957666540161E-2</v>
      </c>
      <c r="AC23" s="51">
        <f>+Base!AC23</f>
        <v>3.6214074893112659E-2</v>
      </c>
      <c r="AD23" s="51">
        <f>+Base!AD23</f>
        <v>3.514378723161235E-2</v>
      </c>
      <c r="AE23" s="51">
        <f>+Base!AE23</f>
        <v>3.4105131350897301E-2</v>
      </c>
      <c r="AF23" s="51">
        <f>+Base!AF23</f>
        <v>3.3097172390563478E-2</v>
      </c>
      <c r="AG23" s="51">
        <f>+Base!AG23</f>
        <v>3.2119003119507335E-2</v>
      </c>
      <c r="AH23" s="51">
        <f>+Base!AH23</f>
        <v>3.116974311935649E-2</v>
      </c>
      <c r="AI23" s="51">
        <f>+Base!AI23</f>
        <v>3.0248537992033853E-2</v>
      </c>
      <c r="AJ23" s="51">
        <f>+Base!AJ23</f>
        <v>2.9354558590741611E-2</v>
      </c>
      <c r="AK23" s="51">
        <f>+Base!AK23</f>
        <v>2.8487000273673187E-2</v>
      </c>
      <c r="AL23" s="51">
        <f>+Base!AL23</f>
        <v>2.7645082179781271E-2</v>
      </c>
      <c r="AM23" s="51">
        <f>+Base!AM23</f>
        <v>2.6828046525950191E-2</v>
      </c>
      <c r="AN23" s="51">
        <f>+Base!AN23</f>
        <v>2.603515792493994E-2</v>
      </c>
      <c r="AO23" s="51">
        <f>+Base!AO23</f>
        <v>2.5265702723488014E-2</v>
      </c>
      <c r="AP23" s="51">
        <f>+Base!AP23</f>
        <v>2.4518988359973317E-2</v>
      </c>
      <c r="AQ23" s="51">
        <f>+Base!AQ23</f>
        <v>2.379434274106397E-2</v>
      </c>
      <c r="AR23" s="51">
        <f>+Base!AR23</f>
        <v>2.3091113636787893E-2</v>
      </c>
      <c r="AS23" s="51">
        <f>+Base!AS23</f>
        <v>2.2408668093481861E-2</v>
      </c>
      <c r="AT23" s="51">
        <f>+Base!AT23</f>
        <v>2.1746391864090435E-2</v>
      </c>
      <c r="AU23" s="51">
        <f>+Base!AU23</f>
        <v>2.1103688855302182E-2</v>
      </c>
      <c r="AV23" s="51">
        <f>+Base!AV23</f>
        <v>2.0479980591025435E-2</v>
      </c>
      <c r="AW23" s="51">
        <f>+Base!AW23</f>
        <v>1.9874705691720763E-2</v>
      </c>
      <c r="AX23" s="51">
        <f>+Base!AX23</f>
        <v>1.9287319369121533E-2</v>
      </c>
      <c r="AY23" s="51">
        <f>+Base!AY23</f>
        <v>1.8717292935887621E-2</v>
      </c>
      <c r="AZ23" s="51">
        <f>+Base!AZ23</f>
        <v>1.8164113329751184E-2</v>
      </c>
      <c r="BA23" s="51">
        <f>+Base!BA23</f>
        <v>1.7627282651725956E-2</v>
      </c>
      <c r="BB23" s="51">
        <f>+Base!BB23</f>
        <v>1.7106317717964559E-2</v>
      </c>
      <c r="BC23" s="51">
        <f>+Base!BC23</f>
        <v>1.6600749624860411E-2</v>
      </c>
      <c r="BD23" s="51">
        <f>+Base!BD23</f>
        <v>1.6110123327002866E-2</v>
      </c>
      <c r="BE23" s="51">
        <f>+Base!BE23</f>
        <v>1.5633997227605563E-2</v>
      </c>
      <c r="BF23" s="51">
        <f>+Base!BF23</f>
        <v>1.5171942781039578E-2</v>
      </c>
      <c r="BG23" s="51">
        <f>+Base!BG23</f>
        <v>1.4723544107113387E-2</v>
      </c>
      <c r="BH23" s="51">
        <f>+Base!BH23</f>
        <v>1.4288397616752647E-2</v>
      </c>
      <c r="BI23" s="51">
        <f>+Base!BI23</f>
        <v>1.3866111648742753E-2</v>
      </c>
    </row>
    <row r="24" spans="1:124" ht="21" customHeight="1" thickBot="1" x14ac:dyDescent="0.4">
      <c r="A24" s="82" t="s">
        <v>50</v>
      </c>
    </row>
    <row r="25" spans="1:124" ht="21" customHeight="1" thickTop="1" x14ac:dyDescent="0.35">
      <c r="A25" s="15" t="s">
        <v>81</v>
      </c>
      <c r="B25" s="51">
        <f>+Base!B25</f>
        <v>0</v>
      </c>
    </row>
    <row r="26" spans="1:124" ht="21" customHeight="1" x14ac:dyDescent="0.35">
      <c r="A26" s="15" t="s">
        <v>82</v>
      </c>
      <c r="B26" s="51">
        <f>+Base!B26</f>
        <v>2.6637500000000003E-3</v>
      </c>
    </row>
    <row r="27" spans="1:124" ht="21" customHeight="1" x14ac:dyDescent="0.35">
      <c r="A27" s="15" t="s">
        <v>20</v>
      </c>
      <c r="B27" s="51">
        <f>+Base!B27</f>
        <v>2</v>
      </c>
    </row>
    <row r="28" spans="1:124" ht="21" customHeight="1" x14ac:dyDescent="0.35">
      <c r="A28" s="15" t="str">
        <f>+Parameters!A18</f>
        <v>Threshold for catastrophic damages</v>
      </c>
      <c r="B28" s="51">
        <f>+Base!B28</f>
        <v>4</v>
      </c>
    </row>
    <row r="29" spans="1:124" ht="21" customHeight="1" x14ac:dyDescent="0.35">
      <c r="A29" s="15" t="str">
        <f>+Parameters!A19</f>
        <v>Exponent for catastrophic damages</v>
      </c>
      <c r="B29" s="51">
        <f>+Base!B29</f>
        <v>3</v>
      </c>
    </row>
    <row r="30" spans="1:124" ht="21" customHeight="1" x14ac:dyDescent="0.35">
      <c r="A30" s="15" t="str">
        <f>+Parameters!A17</f>
        <v>Damage rate at threshold for catastrophic damages</v>
      </c>
      <c r="B30" s="51">
        <f>+Base!B30</f>
        <v>0</v>
      </c>
    </row>
    <row r="31" spans="1:124" ht="21" customHeight="1" thickBot="1" x14ac:dyDescent="0.4">
      <c r="A31" s="82" t="s">
        <v>49</v>
      </c>
    </row>
    <row r="32" spans="1:124" ht="21" customHeight="1" thickTop="1" x14ac:dyDescent="0.35">
      <c r="A32" s="15" t="s">
        <v>36</v>
      </c>
      <c r="B32" s="3">
        <f>+B34*B41/$B39/1000</f>
        <v>6.0074995839112348E-2</v>
      </c>
      <c r="C32" s="3">
        <f t="shared" ref="C32:BI32" si="3">+C34*C41/$B39/1000</f>
        <v>5.5716476125948579E-2</v>
      </c>
      <c r="D32" s="3">
        <f t="shared" si="3"/>
        <v>5.1687067072907732E-2</v>
      </c>
      <c r="E32" s="3">
        <f t="shared" si="3"/>
        <v>4.7960969508636458E-2</v>
      </c>
      <c r="F32" s="3">
        <f t="shared" si="3"/>
        <v>4.4514479113862096E-2</v>
      </c>
      <c r="G32" s="3">
        <f t="shared" si="3"/>
        <v>4.1325810583862081E-2</v>
      </c>
      <c r="H32" s="3">
        <f t="shared" si="3"/>
        <v>3.8374937020832646E-2</v>
      </c>
      <c r="I32" s="3">
        <f t="shared" si="3"/>
        <v>3.5643443197204687E-2</v>
      </c>
      <c r="J32" s="3">
        <f t="shared" si="3"/>
        <v>3.311439145569213E-2</v>
      </c>
      <c r="K32" s="3">
        <f t="shared" si="3"/>
        <v>3.0772199124832176E-2</v>
      </c>
      <c r="L32" s="3">
        <f t="shared" si="3"/>
        <v>2.8602526431127418E-2</v>
      </c>
      <c r="M32" s="3">
        <f t="shared" si="3"/>
        <v>2.6592173981650903E-2</v>
      </c>
      <c r="N32" s="3">
        <f t="shared" si="3"/>
        <v>2.4728988975051856E-2</v>
      </c>
      <c r="O32" s="3">
        <f t="shared" si="3"/>
        <v>2.3001779375133119E-2</v>
      </c>
      <c r="P32" s="3">
        <f t="shared" si="3"/>
        <v>2.1400235350313459E-2</v>
      </c>
      <c r="Q32" s="3">
        <f t="shared" si="3"/>
        <v>1.9914857345015261E-2</v>
      </c>
      <c r="R32" s="3">
        <f t="shared" si="3"/>
        <v>1.8536890205941146E-2</v>
      </c>
      <c r="S32" s="3">
        <f t="shared" si="3"/>
        <v>1.7258262837874048E-2</v>
      </c>
      <c r="T32" s="3">
        <f t="shared" si="3"/>
        <v>1.6071532910550385E-2</v>
      </c>
      <c r="U32" s="3">
        <f t="shared" si="3"/>
        <v>1.4969836180765512E-2</v>
      </c>
      <c r="V32" s="3">
        <f t="shared" si="3"/>
        <v>1.3946840032579743E-2</v>
      </c>
      <c r="W32" s="3">
        <f t="shared" si="3"/>
        <v>1.2996700873668398E-2</v>
      </c>
      <c r="X32" s="3">
        <f t="shared" si="3"/>
        <v>1.2114025057832123E-2</v>
      </c>
      <c r="Y32" s="3">
        <f t="shared" si="3"/>
        <v>1.1293833032752996E-2</v>
      </c>
      <c r="Z32" s="3">
        <f t="shared" si="3"/>
        <v>1.0531526438518842E-2</v>
      </c>
      <c r="AA32" s="3">
        <f t="shared" si="3"/>
        <v>9.8228579064871049E-3</v>
      </c>
      <c r="AB32" s="3">
        <f t="shared" si="3"/>
        <v>9.163903329942269E-3</v>
      </c>
      <c r="AC32" s="3">
        <f t="shared" si="3"/>
        <v>8.5510363979175111E-3</v>
      </c>
      <c r="AD32" s="3">
        <f t="shared" si="3"/>
        <v>7.9809052016832499E-3</v>
      </c>
      <c r="AE32" s="3">
        <f t="shared" si="3"/>
        <v>7.4504107399169621E-3</v>
      </c>
      <c r="AF32" s="3">
        <f t="shared" si="3"/>
        <v>6.9566871636085629E-3</v>
      </c>
      <c r="AG32" s="3">
        <f t="shared" si="3"/>
        <v>6.497083615458683E-3</v>
      </c>
      <c r="AH32" s="3">
        <f t="shared" si="3"/>
        <v>6.0691475310152209E-3</v>
      </c>
      <c r="AI32" s="3">
        <f t="shared" si="3"/>
        <v>5.6706092801773935E-3</v>
      </c>
      <c r="AJ32" s="3">
        <f t="shared" si="3"/>
        <v>5.299368038076303E-3</v>
      </c>
      <c r="AK32" s="3">
        <f t="shared" si="3"/>
        <v>4.9534787838078796E-3</v>
      </c>
      <c r="AL32" s="3">
        <f t="shared" si="3"/>
        <v>4.631140334130277E-3</v>
      </c>
      <c r="AM32" s="3">
        <f t="shared" si="3"/>
        <v>4.3306843271184161E-3</v>
      </c>
      <c r="AN32" s="3">
        <f t="shared" si="3"/>
        <v>4.0505650779612068E-3</v>
      </c>
      <c r="AO32" s="3">
        <f t="shared" si="3"/>
        <v>3.7893502356536506E-3</v>
      </c>
      <c r="AP32" s="3">
        <f t="shared" si="3"/>
        <v>3.5457121753327409E-3</v>
      </c>
      <c r="AQ32" s="3">
        <f t="shared" si="3"/>
        <v>3.3184200664834141E-3</v>
      </c>
      <c r="AR32" s="3">
        <f t="shared" si="3"/>
        <v>3.1063325622451266E-3</v>
      </c>
      <c r="AS32" s="3">
        <f t="shared" si="3"/>
        <v>2.9083910596229097E-3</v>
      </c>
      <c r="AT32" s="3">
        <f t="shared" si="3"/>
        <v>2.7236134845870928E-3</v>
      </c>
      <c r="AU32" s="3">
        <f t="shared" si="3"/>
        <v>2.5510885598679588E-3</v>
      </c>
      <c r="AV32" s="3">
        <f t="shared" si="3"/>
        <v>2.3899705167470639E-3</v>
      </c>
      <c r="AW32" s="3">
        <f t="shared" si="3"/>
        <v>2.2394742153443556E-3</v>
      </c>
      <c r="AX32" s="3">
        <f t="shared" si="3"/>
        <v>2.0988706408258074E-3</v>
      </c>
      <c r="AY32" s="3">
        <f t="shared" si="3"/>
        <v>1.9674827456336989E-3</v>
      </c>
      <c r="AZ32" s="3">
        <f t="shared" si="3"/>
        <v>1.8446816102926501E-3</v>
      </c>
      <c r="BA32" s="3">
        <f t="shared" si="3"/>
        <v>1.7298828975886378E-3</v>
      </c>
      <c r="BB32" s="3">
        <f t="shared" si="3"/>
        <v>1.6225435769735177E-3</v>
      </c>
      <c r="BC32" s="3">
        <f t="shared" si="3"/>
        <v>1.5221588979303421E-3</v>
      </c>
      <c r="BD32" s="3">
        <f t="shared" si="3"/>
        <v>1.4282595927598738E-3</v>
      </c>
      <c r="BE32" s="3">
        <f t="shared" si="3"/>
        <v>1.3404092908297566E-3</v>
      </c>
      <c r="BF32" s="3">
        <f t="shared" si="3"/>
        <v>1.2582021277771501E-3</v>
      </c>
      <c r="BG32" s="3">
        <f t="shared" si="3"/>
        <v>1.1812605344845683E-3</v>
      </c>
      <c r="BH32" s="3">
        <f t="shared" si="3"/>
        <v>1.1092331918674599E-3</v>
      </c>
      <c r="BI32" s="3">
        <f t="shared" si="3"/>
        <v>1.041793138630097E-3</v>
      </c>
    </row>
    <row r="33" spans="1:124" ht="21" customHeight="1" x14ac:dyDescent="0.35">
      <c r="A33" s="15" t="s">
        <v>207</v>
      </c>
      <c r="B33" s="51">
        <f>+Base!B33</f>
        <v>344</v>
      </c>
    </row>
    <row r="34" spans="1:124" ht="21" customHeight="1" x14ac:dyDescent="0.35">
      <c r="A34" s="15" t="s">
        <v>155</v>
      </c>
      <c r="B34" s="51">
        <f>+B33</f>
        <v>344</v>
      </c>
      <c r="C34" s="3">
        <f>+B34*(1-$B$36)</f>
        <v>335.4</v>
      </c>
      <c r="D34" s="3">
        <f>+C34*(1-$B$36)</f>
        <v>327.01499999999999</v>
      </c>
      <c r="E34" s="3">
        <f>+D34*(1-$B$36)</f>
        <v>318.83962499999996</v>
      </c>
      <c r="F34" s="3">
        <f>+E34*(1-$B$36)</f>
        <v>310.86863437499994</v>
      </c>
      <c r="G34" s="3">
        <f>+F34*(1-$B$36)</f>
        <v>303.09691851562496</v>
      </c>
      <c r="H34" s="3">
        <f t="shared" ref="H34:BI34" si="4">+G34*(1-$B$36)</f>
        <v>295.51949555273433</v>
      </c>
      <c r="I34" s="3">
        <f t="shared" si="4"/>
        <v>288.13150816391595</v>
      </c>
      <c r="J34" s="3">
        <f t="shared" si="4"/>
        <v>280.92822045981802</v>
      </c>
      <c r="K34" s="3">
        <f t="shared" si="4"/>
        <v>273.90501494832256</v>
      </c>
      <c r="L34" s="3">
        <f t="shared" si="4"/>
        <v>267.05738957461449</v>
      </c>
      <c r="M34" s="3">
        <f t="shared" si="4"/>
        <v>260.3809548352491</v>
      </c>
      <c r="N34" s="3">
        <f t="shared" si="4"/>
        <v>253.87143096436787</v>
      </c>
      <c r="O34" s="3">
        <f t="shared" si="4"/>
        <v>247.52464519025867</v>
      </c>
      <c r="P34" s="3">
        <f t="shared" si="4"/>
        <v>241.33652906050219</v>
      </c>
      <c r="Q34" s="3">
        <f t="shared" si="4"/>
        <v>235.30311583398964</v>
      </c>
      <c r="R34" s="3">
        <f t="shared" si="4"/>
        <v>229.42053793813989</v>
      </c>
      <c r="S34" s="3">
        <f t="shared" si="4"/>
        <v>223.68502448968638</v>
      </c>
      <c r="T34" s="3">
        <f t="shared" si="4"/>
        <v>218.09289887744421</v>
      </c>
      <c r="U34" s="3">
        <f t="shared" si="4"/>
        <v>212.64057640550811</v>
      </c>
      <c r="V34" s="3">
        <f t="shared" si="4"/>
        <v>207.3245619953704</v>
      </c>
      <c r="W34" s="3">
        <f t="shared" si="4"/>
        <v>202.14144794548614</v>
      </c>
      <c r="X34" s="3">
        <f t="shared" si="4"/>
        <v>197.08791174684899</v>
      </c>
      <c r="Y34" s="3">
        <f t="shared" si="4"/>
        <v>192.16071395317775</v>
      </c>
      <c r="Z34" s="3">
        <f t="shared" si="4"/>
        <v>187.35669610434829</v>
      </c>
      <c r="AA34" s="3">
        <f t="shared" si="4"/>
        <v>182.67277870173959</v>
      </c>
      <c r="AB34" s="3">
        <f t="shared" si="4"/>
        <v>178.10595923419609</v>
      </c>
      <c r="AC34" s="3">
        <f t="shared" si="4"/>
        <v>173.65331025334117</v>
      </c>
      <c r="AD34" s="3">
        <f t="shared" si="4"/>
        <v>169.31197749700763</v>
      </c>
      <c r="AE34" s="3">
        <f t="shared" si="4"/>
        <v>165.07917805958243</v>
      </c>
      <c r="AF34" s="3">
        <f t="shared" si="4"/>
        <v>160.95219860809286</v>
      </c>
      <c r="AG34" s="3">
        <f t="shared" si="4"/>
        <v>156.92839364289054</v>
      </c>
      <c r="AH34" s="3">
        <f t="shared" si="4"/>
        <v>153.00518380181828</v>
      </c>
      <c r="AI34" s="3">
        <f t="shared" si="4"/>
        <v>149.18005420677281</v>
      </c>
      <c r="AJ34" s="3">
        <f t="shared" si="4"/>
        <v>145.45055285160348</v>
      </c>
      <c r="AK34" s="3">
        <f t="shared" si="4"/>
        <v>141.81428903031338</v>
      </c>
      <c r="AL34" s="3">
        <f t="shared" si="4"/>
        <v>138.26893180455554</v>
      </c>
      <c r="AM34" s="3">
        <f t="shared" si="4"/>
        <v>134.81220850944163</v>
      </c>
      <c r="AN34" s="3">
        <f t="shared" si="4"/>
        <v>131.44190329670559</v>
      </c>
      <c r="AO34" s="3">
        <f t="shared" si="4"/>
        <v>128.15585571428795</v>
      </c>
      <c r="AP34" s="3">
        <f t="shared" si="4"/>
        <v>124.95195932143075</v>
      </c>
      <c r="AQ34" s="3">
        <f t="shared" si="4"/>
        <v>121.82816033839498</v>
      </c>
      <c r="AR34" s="3">
        <f t="shared" si="4"/>
        <v>118.7824563299351</v>
      </c>
      <c r="AS34" s="3">
        <f t="shared" si="4"/>
        <v>115.81289492168672</v>
      </c>
      <c r="AT34" s="3">
        <f t="shared" si="4"/>
        <v>112.91757254864454</v>
      </c>
      <c r="AU34" s="3">
        <f t="shared" si="4"/>
        <v>110.09463323492842</v>
      </c>
      <c r="AV34" s="3">
        <f t="shared" si="4"/>
        <v>107.34226740405521</v>
      </c>
      <c r="AW34" s="3">
        <f t="shared" si="4"/>
        <v>104.65871071895383</v>
      </c>
      <c r="AX34" s="3">
        <f t="shared" si="4"/>
        <v>102.04224295097998</v>
      </c>
      <c r="AY34" s="3">
        <f t="shared" si="4"/>
        <v>99.491186877205479</v>
      </c>
      <c r="AZ34" s="3">
        <f t="shared" si="4"/>
        <v>97.00390720527534</v>
      </c>
      <c r="BA34" s="3">
        <f t="shared" si="4"/>
        <v>94.578809525143456</v>
      </c>
      <c r="BB34" s="3">
        <f t="shared" si="4"/>
        <v>92.214339287014866</v>
      </c>
      <c r="BC34" s="3">
        <f t="shared" si="4"/>
        <v>89.908980804839487</v>
      </c>
      <c r="BD34" s="3">
        <f t="shared" si="4"/>
        <v>87.661256284718505</v>
      </c>
      <c r="BE34" s="3">
        <f t="shared" si="4"/>
        <v>85.469724877600541</v>
      </c>
      <c r="BF34" s="3">
        <f t="shared" si="4"/>
        <v>83.332981755660526</v>
      </c>
      <c r="BG34" s="3">
        <f t="shared" si="4"/>
        <v>81.249657211769005</v>
      </c>
      <c r="BH34" s="3">
        <f t="shared" si="4"/>
        <v>79.218415781474775</v>
      </c>
      <c r="BI34" s="3">
        <f t="shared" si="4"/>
        <v>77.237955386937898</v>
      </c>
    </row>
    <row r="35" spans="1:124" ht="21" customHeight="1" x14ac:dyDescent="0.35">
      <c r="A35" s="15" t="s">
        <v>208</v>
      </c>
      <c r="B35" s="51">
        <f>+Base!B35</f>
        <v>0</v>
      </c>
      <c r="D35" s="3">
        <f>+D34/C34</f>
        <v>0.97499999999999998</v>
      </c>
      <c r="E35" s="3">
        <f t="shared" ref="E35:AC35" si="5">+E34/D34</f>
        <v>0.97499999999999987</v>
      </c>
      <c r="F35" s="3">
        <f t="shared" si="5"/>
        <v>0.97499999999999998</v>
      </c>
      <c r="G35" s="3">
        <f t="shared" si="5"/>
        <v>0.97500000000000009</v>
      </c>
      <c r="H35" s="3">
        <f t="shared" si="5"/>
        <v>0.97499999999999998</v>
      </c>
      <c r="I35" s="3">
        <f t="shared" si="5"/>
        <v>0.97499999999999998</v>
      </c>
      <c r="J35" s="3">
        <f t="shared" si="5"/>
        <v>0.97499999999999987</v>
      </c>
      <c r="K35" s="3">
        <f t="shared" si="5"/>
        <v>0.97499999999999998</v>
      </c>
      <c r="L35" s="3">
        <f t="shared" si="5"/>
        <v>0.97499999999999998</v>
      </c>
      <c r="M35" s="3">
        <f t="shared" si="5"/>
        <v>0.97499999999999987</v>
      </c>
      <c r="N35" s="3">
        <f t="shared" si="5"/>
        <v>0.97499999999999998</v>
      </c>
      <c r="O35" s="3">
        <f t="shared" si="5"/>
        <v>0.97499999999999998</v>
      </c>
      <c r="P35" s="3">
        <f t="shared" si="5"/>
        <v>0.97499999999999998</v>
      </c>
      <c r="Q35" s="3">
        <f t="shared" si="5"/>
        <v>0.97499999999999998</v>
      </c>
      <c r="R35" s="3">
        <f t="shared" si="5"/>
        <v>0.97499999999999998</v>
      </c>
      <c r="S35" s="3">
        <f t="shared" si="5"/>
        <v>0.97499999999999998</v>
      </c>
      <c r="T35" s="3">
        <f t="shared" si="5"/>
        <v>0.97499999999999998</v>
      </c>
      <c r="U35" s="3">
        <f t="shared" si="5"/>
        <v>0.97499999999999998</v>
      </c>
      <c r="V35" s="3">
        <f t="shared" si="5"/>
        <v>0.97499999999999998</v>
      </c>
      <c r="W35" s="3">
        <f t="shared" si="5"/>
        <v>0.97499999999999998</v>
      </c>
      <c r="X35" s="3">
        <f t="shared" si="5"/>
        <v>0.97499999999999998</v>
      </c>
      <c r="Y35" s="3">
        <f t="shared" si="5"/>
        <v>0.97499999999999987</v>
      </c>
      <c r="Z35" s="3">
        <f t="shared" si="5"/>
        <v>0.97499999999999987</v>
      </c>
      <c r="AA35" s="3">
        <f t="shared" si="5"/>
        <v>0.97500000000000009</v>
      </c>
      <c r="AB35" s="3">
        <f t="shared" si="5"/>
        <v>0.97499999999999998</v>
      </c>
      <c r="AC35" s="3">
        <f t="shared" si="5"/>
        <v>0.97499999999999987</v>
      </c>
    </row>
    <row r="36" spans="1:124" ht="21" customHeight="1" x14ac:dyDescent="0.35">
      <c r="A36" s="15" t="s">
        <v>209</v>
      </c>
      <c r="B36" s="51">
        <f>+Base!B36</f>
        <v>2.5000000000000001E-2</v>
      </c>
    </row>
    <row r="37" spans="1:124" ht="21" customHeight="1" x14ac:dyDescent="0.35">
      <c r="A37" s="15" t="s">
        <v>43</v>
      </c>
      <c r="B37" s="51">
        <f>+Base!B37</f>
        <v>1</v>
      </c>
    </row>
    <row r="38" spans="1:124" ht="28.25" customHeight="1" x14ac:dyDescent="0.35">
      <c r="A38" s="15" t="s">
        <v>161</v>
      </c>
      <c r="B38" s="51">
        <f>+Base!B38</f>
        <v>2250</v>
      </c>
    </row>
    <row r="39" spans="1:124" ht="21" customHeight="1" x14ac:dyDescent="0.35">
      <c r="A39" s="15" t="s">
        <v>37</v>
      </c>
      <c r="B39" s="51">
        <f>+Base!B39</f>
        <v>2.8</v>
      </c>
    </row>
    <row r="40" spans="1:124" ht="21" customHeight="1" thickBot="1" x14ac:dyDescent="0.4">
      <c r="A40" s="82" t="s">
        <v>38</v>
      </c>
    </row>
    <row r="41" spans="1:124" ht="24" customHeight="1" thickTop="1" x14ac:dyDescent="0.35">
      <c r="A41" s="15" t="s">
        <v>210</v>
      </c>
      <c r="B41" s="51">
        <f>+B42</f>
        <v>0.48898252427184469</v>
      </c>
      <c r="C41" s="3">
        <f t="shared" ref="C41:BI41" si="6">+B41*EXP(C43*(C2-B2))</f>
        <v>0.46513456515401325</v>
      </c>
      <c r="D41" s="3">
        <f t="shared" si="6"/>
        <v>0.44256008991679779</v>
      </c>
      <c r="E41" s="3">
        <f t="shared" si="6"/>
        <v>0.42118577521279577</v>
      </c>
      <c r="F41" s="3">
        <f t="shared" si="6"/>
        <v>0.40094280263881599</v>
      </c>
      <c r="G41" s="3">
        <f t="shared" si="6"/>
        <v>0.38176656563022343</v>
      </c>
      <c r="H41" s="3">
        <f t="shared" si="6"/>
        <v>0.36359639643184688</v>
      </c>
      <c r="I41" s="3">
        <f t="shared" si="6"/>
        <v>0.3463753117045314</v>
      </c>
      <c r="J41" s="3">
        <f t="shared" si="6"/>
        <v>0.33004977543436226</v>
      </c>
      <c r="K41" s="3">
        <f t="shared" si="6"/>
        <v>0.31456947791111545</v>
      </c>
      <c r="L41" s="3">
        <f t="shared" si="6"/>
        <v>0.29988712963428726</v>
      </c>
      <c r="M41" s="3">
        <f t="shared" si="6"/>
        <v>0.28595826908974353</v>
      </c>
      <c r="N41" s="3">
        <f t="shared" si="6"/>
        <v>0.27274108341817926</v>
      </c>
      <c r="O41" s="3">
        <f t="shared" si="6"/>
        <v>0.26019624106871514</v>
      </c>
      <c r="P41" s="3">
        <f t="shared" si="6"/>
        <v>0.24828673559755968</v>
      </c>
      <c r="Q41" s="3">
        <f t="shared" si="6"/>
        <v>0.23697773983317538</v>
      </c>
      <c r="R41" s="3">
        <f t="shared" si="6"/>
        <v>0.22623646968620664</v>
      </c>
      <c r="S41" s="3">
        <f t="shared" si="6"/>
        <v>0.21603205693493088</v>
      </c>
      <c r="T41" s="3">
        <f t="shared" si="6"/>
        <v>0.20633543036551905</v>
      </c>
      <c r="U41" s="3">
        <f t="shared" si="6"/>
        <v>0.19711920469125327</v>
      </c>
      <c r="V41" s="3">
        <f t="shared" si="6"/>
        <v>0.18835757671633377</v>
      </c>
      <c r="W41" s="3">
        <f t="shared" si="6"/>
        <v>0.1800262282482781</v>
      </c>
      <c r="X41" s="3">
        <f t="shared" si="6"/>
        <v>0.17210223529841748</v>
      </c>
      <c r="Y41" s="3">
        <f t="shared" si="6"/>
        <v>0.16456398314284804</v>
      </c>
      <c r="Z41" s="3">
        <f t="shared" si="6"/>
        <v>0.15739108684660658</v>
      </c>
      <c r="AA41" s="3">
        <f t="shared" si="6"/>
        <v>0.15056431688199842</v>
      </c>
      <c r="AB41" s="3">
        <f t="shared" si="6"/>
        <v>0.14406552949808246</v>
      </c>
      <c r="AC41" s="3">
        <f t="shared" si="6"/>
        <v>0.13787760152247575</v>
      </c>
      <c r="AD41" s="3">
        <f t="shared" si="6"/>
        <v>0.13198436929902402</v>
      </c>
      <c r="AE41" s="3">
        <f t="shared" si="6"/>
        <v>0.12637057148562994</v>
      </c>
      <c r="AF41" s="3">
        <f t="shared" si="6"/>
        <v>0.12102179545576312</v>
      </c>
      <c r="AG41" s="3">
        <f t="shared" si="6"/>
        <v>0.11592442706500916</v>
      </c>
      <c r="AH41" s="3">
        <f t="shared" si="6"/>
        <v>0.11106560356055512</v>
      </c>
      <c r="AI41" s="3">
        <f t="shared" si="6"/>
        <v>0.10643316942685391</v>
      </c>
      <c r="AJ41" s="3">
        <f t="shared" si="6"/>
        <v>0.10201563497494859</v>
      </c>
      <c r="AK41" s="3">
        <f t="shared" si="6"/>
        <v>9.7802137496154212E-2</v>
      </c>
      <c r="AL41" s="3">
        <f t="shared" si="6"/>
        <v>9.3782404813064046E-2</v>
      </c>
      <c r="AM41" s="3">
        <f t="shared" si="6"/>
        <v>8.9946721072241179E-2</v>
      </c>
      <c r="AN41" s="3">
        <f t="shared" si="6"/>
        <v>8.628589463353914E-2</v>
      </c>
      <c r="AO41" s="3">
        <f t="shared" si="6"/>
        <v>8.2791227920826896E-2</v>
      </c>
      <c r="AP41" s="3">
        <f t="shared" si="6"/>
        <v>7.9454489108030366E-2</v>
      </c>
      <c r="AQ41" s="3">
        <f t="shared" si="6"/>
        <v>7.6267885522894624E-2</v>
      </c>
      <c r="AR41" s="3">
        <f t="shared" si="6"/>
        <v>7.3224038658766005E-2</v>
      </c>
      <c r="AS41" s="3">
        <f t="shared" si="6"/>
        <v>7.031596069203537E-2</v>
      </c>
      <c r="AT41" s="3">
        <f t="shared" si="6"/>
        <v>6.7537032409712414E-2</v>
      </c>
      <c r="AU41" s="3">
        <f t="shared" si="6"/>
        <v>6.4880982457954123E-2</v>
      </c>
      <c r="AV41" s="3">
        <f t="shared" si="6"/>
        <v>6.2341867828282604E-2</v>
      </c>
      <c r="AW41" s="3">
        <f t="shared" si="6"/>
        <v>5.991405550372976E-2</v>
      </c>
      <c r="AX41" s="3">
        <f t="shared" si="6"/>
        <v>5.7592205192269555E-2</v>
      </c>
      <c r="AY41" s="3">
        <f t="shared" si="6"/>
        <v>5.5371253079668684E-2</v>
      </c>
      <c r="AZ41" s="3">
        <f t="shared" si="6"/>
        <v>5.3246396538329618E-2</v>
      </c>
      <c r="BA41" s="3">
        <f t="shared" si="6"/>
        <v>5.1213079732839228E-2</v>
      </c>
      <c r="BB41" s="3">
        <f t="shared" si="6"/>
        <v>4.9266980066793017E-2</v>
      </c>
      <c r="BC41" s="3">
        <f t="shared" si="6"/>
        <v>4.7403995419059923E-2</v>
      </c>
      <c r="BD41" s="3">
        <f t="shared" si="6"/>
        <v>4.5620232121003627E-2</v>
      </c>
      <c r="BE41" s="3">
        <f t="shared" si="6"/>
        <v>4.3911993629301163E-2</v>
      </c>
      <c r="BF41" s="3">
        <f t="shared" si="6"/>
        <v>4.22757698519136E-2</v>
      </c>
      <c r="BG41" s="3">
        <f t="shared" si="6"/>
        <v>4.0708227087482361E-2</v>
      </c>
      <c r="BH41" s="3">
        <f t="shared" si="6"/>
        <v>3.9206198540960864E-2</v>
      </c>
      <c r="BI41" s="3">
        <f t="shared" si="6"/>
        <v>3.776667538065856E-2</v>
      </c>
    </row>
    <row r="42" spans="1:124" ht="21" customHeight="1" x14ac:dyDescent="0.35">
      <c r="A42" s="15" t="s">
        <v>211</v>
      </c>
      <c r="B42" s="51">
        <f>+Base!B42</f>
        <v>0.48898252427184469</v>
      </c>
      <c r="C42" s="51"/>
    </row>
    <row r="43" spans="1:124" ht="21" customHeight="1" x14ac:dyDescent="0.35">
      <c r="A43" s="15" t="s">
        <v>212</v>
      </c>
      <c r="B43" s="3"/>
      <c r="C43" s="3">
        <f>+Parameters!B15</f>
        <v>-0.01</v>
      </c>
      <c r="D43" s="3">
        <f>+C43*(1+Parameters!$B$57)^5</f>
        <v>-9.9500999000499898E-3</v>
      </c>
      <c r="E43" s="3">
        <f>+D43*(1+Parameters!$B$57)^5</f>
        <v>-9.9004488020974814E-3</v>
      </c>
      <c r="F43" s="3">
        <f>+E43*(1+Parameters!$B$57)^5</f>
        <v>-9.8510454636200201E-3</v>
      </c>
      <c r="G43" s="3">
        <f>+F43*(1+Parameters!$B$57)^5</f>
        <v>-9.8018886482953479E-3</v>
      </c>
      <c r="H43" s="3">
        <f>+G43*(1+Parameters!$B$57)^5</f>
        <v>-9.7529771259704679E-3</v>
      </c>
      <c r="I43" s="3">
        <f>+H43*(1+Parameters!$B$57)^5</f>
        <v>-9.7043096726308585E-3</v>
      </c>
      <c r="J43" s="3">
        <f>+I43*(1+Parameters!$B$57)^5</f>
        <v>-9.6558850703698466E-3</v>
      </c>
      <c r="K43" s="3">
        <f>+J43*(1+Parameters!$B$57)^5</f>
        <v>-9.6077021073581199E-3</v>
      </c>
      <c r="L43" s="3">
        <f>+K43*(1+Parameters!$B$57)^5</f>
        <v>-9.559759577813411E-3</v>
      </c>
      <c r="M43" s="3">
        <f>+L43*(1+Parameters!$B$57)^5</f>
        <v>-9.5120562819703148E-3</v>
      </c>
      <c r="N43" s="3">
        <f>+M43*(1+Parameters!$B$57)^5</f>
        <v>-9.4645910260502709E-3</v>
      </c>
      <c r="O43" s="3">
        <f>+N43*(1+Parameters!$B$57)^5</f>
        <v>-9.4173626222316831E-3</v>
      </c>
      <c r="P43" s="3">
        <f>+O43*(1+Parameters!$B$57)^5</f>
        <v>-9.3703698886201982E-3</v>
      </c>
      <c r="Q43" s="3">
        <f>+P43*(1+Parameters!$B$57)^5</f>
        <v>-9.3236116492191271E-3</v>
      </c>
      <c r="R43" s="3">
        <f>+Q43*(1+Parameters!$B$57)^5</f>
        <v>-9.2770867339000158E-3</v>
      </c>
      <c r="S43" s="3">
        <f>+R43*(1+Parameters!$B$57)^5</f>
        <v>-9.2307939783733643E-3</v>
      </c>
      <c r="T43" s="3">
        <f>+S43*(1+Parameters!$B$57)^5</f>
        <v>-9.1847322241594854E-3</v>
      </c>
      <c r="U43" s="3">
        <f>+T43*(1+Parameters!$B$57)^5</f>
        <v>-9.1389003185595227E-3</v>
      </c>
      <c r="V43" s="3">
        <f>+U43*(1+Parameters!$B$57)^5</f>
        <v>-9.0932971146265931E-3</v>
      </c>
      <c r="W43" s="3">
        <f>+V43*(1+Parameters!$B$57)^5</f>
        <v>-9.0479214711370933E-3</v>
      </c>
      <c r="X43" s="3">
        <f>+W43*(1+Parameters!$B$57)^5</f>
        <v>-9.0027722525621353E-3</v>
      </c>
      <c r="Y43" s="3">
        <f>+X43*(1+Parameters!$B$57)^5</f>
        <v>-8.9578483290391319E-3</v>
      </c>
      <c r="Z43" s="3">
        <f>+Y43*(1+Parameters!$B$57)^5</f>
        <v>-8.9131485763435242E-3</v>
      </c>
      <c r="AA43" s="3">
        <f>+Z43*(1+Parameters!$B$57)^5</f>
        <v>-8.8686718758606408E-3</v>
      </c>
      <c r="AB43" s="3">
        <f>+AA43*(1+Parameters!$B$57)^5</f>
        <v>-8.8244171145577116E-3</v>
      </c>
      <c r="AC43" s="3">
        <f>+AB43*(1+Parameters!$B$57)^5</f>
        <v>-8.7803831849560116E-3</v>
      </c>
      <c r="AD43" s="3">
        <f>+AC43*(1+Parameters!$B$57)^5</f>
        <v>-8.7365689851031433E-3</v>
      </c>
      <c r="AE43" s="3">
        <f>+AD43*(1+Parameters!$B$57)^5</f>
        <v>-8.6929734185454636E-3</v>
      </c>
      <c r="AF43" s="3">
        <f>+AE43*(1+Parameters!$B$57)^5</f>
        <v>-8.6495953943006437E-3</v>
      </c>
      <c r="AG43" s="3">
        <f>+AF43*(1+Parameters!$B$57)^5</f>
        <v>-8.6064338268303682E-3</v>
      </c>
      <c r="AH43" s="3">
        <f>+AG43*(1+Parameters!$B$57)^5</f>
        <v>-8.5634876360131708E-3</v>
      </c>
      <c r="AI43" s="3">
        <f>+AH43*(1+Parameters!$B$57)^5</f>
        <v>-8.5207557471173971E-3</v>
      </c>
      <c r="AJ43" s="3">
        <f>+AI43*(1+Parameters!$B$57)^5</f>
        <v>-8.4782370907743199E-3</v>
      </c>
      <c r="AK43" s="3">
        <f>+AJ43*(1+Parameters!$B$57)^5</f>
        <v>-8.4359306029513671E-3</v>
      </c>
      <c r="AL43" s="3">
        <f>+AK43*(1+Parameters!$B$57)^5</f>
        <v>-8.3938352249255058E-3</v>
      </c>
      <c r="AM43" s="3">
        <f>+AL43*(1+Parameters!$B$57)^5</f>
        <v>-8.3519499032567359E-3</v>
      </c>
      <c r="AN43" s="3">
        <f>+AM43*(1+Parameters!$B$57)^5</f>
        <v>-8.3102735897617377E-3</v>
      </c>
      <c r="AO43" s="3">
        <f>+AN43*(1+Parameters!$B$57)^5</f>
        <v>-8.2688052414876343E-3</v>
      </c>
      <c r="AP43" s="3">
        <f>+AO43*(1+Parameters!$B$57)^5</f>
        <v>-8.2275438206858946E-3</v>
      </c>
      <c r="AQ43" s="3">
        <f>+AP43*(1+Parameters!$B$57)^5</f>
        <v>-8.1864882947863642E-3</v>
      </c>
      <c r="AR43" s="3">
        <f>+AQ43*(1+Parameters!$B$57)^5</f>
        <v>-8.1456376363714215E-3</v>
      </c>
      <c r="AS43" s="3">
        <f>+AR43*(1+Parameters!$B$57)^5</f>
        <v>-8.1049908231502713E-3</v>
      </c>
      <c r="AT43" s="3">
        <f>+AS43*(1+Parameters!$B$57)^5</f>
        <v>-8.0645468379333604E-3</v>
      </c>
      <c r="AU43" s="3">
        <f>+AT43*(1+Parameters!$B$57)^5</f>
        <v>-8.0243046686069193E-3</v>
      </c>
      <c r="AV43" s="3">
        <f>+AU43*(1+Parameters!$B$57)^5</f>
        <v>-7.9842633081076385E-3</v>
      </c>
      <c r="AW43" s="3">
        <f>+AV43*(1+Parameters!$B$57)^5</f>
        <v>-7.9444217543974613E-3</v>
      </c>
      <c r="AX43" s="3">
        <f>+AW43*(1+Parameters!$B$57)^5</f>
        <v>-7.9047790104385153E-3</v>
      </c>
      <c r="AY43" s="3">
        <f>+AX43*(1+Parameters!$B$57)^5</f>
        <v>-7.8653340841681532E-3</v>
      </c>
      <c r="AZ43" s="3">
        <f>+AY43*(1+Parameters!$B$57)^5</f>
        <v>-7.8260859884741324E-3</v>
      </c>
      <c r="BA43" s="3">
        <f>+AZ43*(1+Parameters!$B$57)^5</f>
        <v>-7.7870337411699089E-3</v>
      </c>
      <c r="BB43" s="3">
        <f>+BA43*(1+Parameters!$B$57)^5</f>
        <v>-7.748176364970061E-3</v>
      </c>
      <c r="BC43" s="3">
        <f>+BB43*(1+Parameters!$B$57)^5</f>
        <v>-7.70951288746583E-3</v>
      </c>
      <c r="BD43" s="3">
        <f>+BC43*(1+Parameters!$B$57)^5</f>
        <v>-7.6710423411007868E-3</v>
      </c>
      <c r="BE43" s="3">
        <f>+BD43*(1+Parameters!$B$57)^5</f>
        <v>-7.6327637631466178E-3</v>
      </c>
      <c r="BF43" s="3">
        <f>+BE43*(1+Parameters!$B$57)^5</f>
        <v>-7.5946761956790345E-3</v>
      </c>
      <c r="BG43" s="3">
        <f>+BF43*(1+Parameters!$B$57)^5</f>
        <v>-7.5567786855537996E-3</v>
      </c>
      <c r="BH43" s="3">
        <f>+BG43*(1+Parameters!$B$57)^5</f>
        <v>-7.5190702843828758E-3</v>
      </c>
      <c r="BI43" s="3">
        <f>+BH43*(1+Parameters!$B$57)^5</f>
        <v>-7.4815500485106903E-3</v>
      </c>
    </row>
    <row r="44" spans="1:124" ht="21" customHeight="1" x14ac:dyDescent="0.35">
      <c r="A44" s="15" t="s">
        <v>164</v>
      </c>
      <c r="B44" s="51">
        <f>+B45</f>
        <v>1.53972</v>
      </c>
      <c r="C44" s="3">
        <f>+B44*(1-Parameters!$C$55)</f>
        <v>1.231776</v>
      </c>
      <c r="D44" s="3">
        <f>+C44*(1-Parameters!$C$55)</f>
        <v>0.98542079999999999</v>
      </c>
      <c r="E44" s="3">
        <f>+D44*(1-Parameters!$C$55)</f>
        <v>0.78833664000000003</v>
      </c>
      <c r="F44" s="3">
        <f>+E44*(1-Parameters!$C$55)</f>
        <v>0.63066931200000009</v>
      </c>
      <c r="G44" s="3">
        <f>+F44*(1-Parameters!$C$55)</f>
        <v>0.50453544960000007</v>
      </c>
      <c r="H44" s="3">
        <f>+G44*(1-Parameters!$C$55)</f>
        <v>0.4036283596800001</v>
      </c>
      <c r="I44" s="3">
        <f>+H44*(1-Parameters!$C$55)</f>
        <v>0.32290268774400011</v>
      </c>
      <c r="J44" s="3">
        <f>+I44*(1-Parameters!$C$55)</f>
        <v>0.25832215019520011</v>
      </c>
      <c r="K44" s="3">
        <f>+J44*(1-Parameters!$C$55)</f>
        <v>0.2066577201561601</v>
      </c>
      <c r="L44" s="3">
        <f>+K44*(1-Parameters!$C$55)</f>
        <v>0.16532617612492809</v>
      </c>
      <c r="M44" s="3">
        <f>+L44*(1-Parameters!$C$55)</f>
        <v>0.13226094089994248</v>
      </c>
      <c r="N44" s="3">
        <f>+M44*(1-Parameters!$C$55)</f>
        <v>0.10580875271995399</v>
      </c>
      <c r="O44" s="3">
        <f>+N44*(1-Parameters!$C$55)</f>
        <v>8.4647002175963201E-2</v>
      </c>
      <c r="P44" s="3">
        <f>+O44*(1-Parameters!$C$55)</f>
        <v>6.7717601740770558E-2</v>
      </c>
      <c r="Q44" s="3">
        <f>+P44*(1-Parameters!$C$55)</f>
        <v>5.4174081392616452E-2</v>
      </c>
      <c r="R44" s="3">
        <f>+Q44*(1-Parameters!$C$55)</f>
        <v>4.3339265114093167E-2</v>
      </c>
      <c r="S44" s="3">
        <f>+R44*(1-Parameters!$C$55)</f>
        <v>3.4671412091274535E-2</v>
      </c>
      <c r="T44" s="3">
        <f>+S44*(1-Parameters!$C$55)</f>
        <v>2.7737129673019629E-2</v>
      </c>
      <c r="U44" s="3">
        <f>+T44*(1-Parameters!$C$55)</f>
        <v>2.2189703738415705E-2</v>
      </c>
      <c r="V44" s="3">
        <f>+U44*(1-Parameters!$C$55)</f>
        <v>1.7751762990732566E-2</v>
      </c>
      <c r="W44" s="3">
        <f>+V44*(1-Parameters!$C$55)</f>
        <v>1.4201410392586053E-2</v>
      </c>
      <c r="X44" s="3">
        <f>+W44*(1-Parameters!$C$55)</f>
        <v>1.1361128314068844E-2</v>
      </c>
      <c r="Y44" s="3">
        <f>+X44*(1-Parameters!$C$55)</f>
        <v>9.0889026512550753E-3</v>
      </c>
      <c r="Z44" s="3">
        <f>+Y44*(1-Parameters!$C$55)</f>
        <v>7.2711221210040606E-3</v>
      </c>
      <c r="AA44" s="3">
        <f>+Z44*(1-Parameters!$C$55)</f>
        <v>5.8168976968032485E-3</v>
      </c>
      <c r="AB44" s="3">
        <f>+AA44*(1-Parameters!$C$55)</f>
        <v>4.6535181574425986E-3</v>
      </c>
      <c r="AC44" s="3">
        <f>+AB44*(1-Parameters!$C$55)</f>
        <v>3.722814525954079E-3</v>
      </c>
      <c r="AD44" s="3">
        <f>+AC44*(1-Parameters!$C$55)</f>
        <v>2.9782516207632632E-3</v>
      </c>
      <c r="AE44" s="3">
        <f>+AD44*(1-Parameters!$C$55)</f>
        <v>2.3826012966106109E-3</v>
      </c>
      <c r="AF44" s="3">
        <f>+AE44*(1-Parameters!$C$55)</f>
        <v>1.9060810372884887E-3</v>
      </c>
      <c r="AG44" s="3">
        <f>+AF44*(1-Parameters!$C$55)</f>
        <v>1.524864829830791E-3</v>
      </c>
      <c r="AH44" s="3">
        <f>+AG44*(1-Parameters!$C$55)</f>
        <v>1.2198918638646329E-3</v>
      </c>
      <c r="AI44" s="3">
        <f>+AH44*(1-Parameters!$C$55)</f>
        <v>9.7591349109170638E-4</v>
      </c>
      <c r="AJ44" s="3">
        <f>+AI44*(1-Parameters!$C$55)</f>
        <v>7.8073079287336515E-4</v>
      </c>
      <c r="AK44" s="3">
        <f>+AJ44*(1-Parameters!$C$55)</f>
        <v>6.2458463429869221E-4</v>
      </c>
      <c r="AL44" s="3">
        <f>+AK44*(1-Parameters!$C$55)</f>
        <v>4.9966770743895374E-4</v>
      </c>
      <c r="AM44" s="3">
        <f>+AL44*(1-Parameters!$C$55)</f>
        <v>3.9973416595116303E-4</v>
      </c>
      <c r="AN44" s="3">
        <f>+AM44*(1-Parameters!$C$55)</f>
        <v>3.1978733276093044E-4</v>
      </c>
      <c r="AO44" s="3">
        <f>+AN44*(1-Parameters!$C$55)</f>
        <v>2.5582986620874439E-4</v>
      </c>
      <c r="AP44" s="3">
        <f>+AO44*(1-Parameters!$C$55)</f>
        <v>2.0466389296699552E-4</v>
      </c>
      <c r="AQ44" s="3">
        <f>+AP44*(1-Parameters!$C$55)</f>
        <v>1.6373111437359642E-4</v>
      </c>
      <c r="AR44" s="3">
        <f>+AQ44*(1-Parameters!$C$55)</f>
        <v>1.3098489149887714E-4</v>
      </c>
      <c r="AS44" s="3">
        <f>+AR44*(1-Parameters!$C$55)</f>
        <v>1.0478791319910172E-4</v>
      </c>
      <c r="AT44" s="3">
        <f>+AS44*(1-Parameters!$C$55)</f>
        <v>8.3830330559281379E-5</v>
      </c>
      <c r="AU44" s="3">
        <f>+AT44*(1-Parameters!$C$55)</f>
        <v>6.7064264447425106E-5</v>
      </c>
      <c r="AV44" s="3">
        <f>+AU44*(1-Parameters!$C$55)</f>
        <v>5.365141155794009E-5</v>
      </c>
      <c r="AW44" s="3">
        <f>+AV44*(1-Parameters!$C$55)</f>
        <v>4.2921129246352076E-5</v>
      </c>
      <c r="AX44" s="3">
        <f>+AW44*(1-Parameters!$C$55)</f>
        <v>3.4336903397081661E-5</v>
      </c>
      <c r="AY44" s="3">
        <f>+AX44*(1-Parameters!$C$55)</f>
        <v>2.7469522717665329E-5</v>
      </c>
      <c r="AZ44" s="3">
        <f>+AY44*(1-Parameters!$C$55)</f>
        <v>2.1975618174132264E-5</v>
      </c>
      <c r="BA44" s="3">
        <f>+AZ44*(1-Parameters!$C$55)</f>
        <v>1.7580494539305812E-5</v>
      </c>
      <c r="BB44" s="3">
        <f>+BA44*(1-Parameters!$C$55)</f>
        <v>1.4064395631444651E-5</v>
      </c>
      <c r="BC44" s="3">
        <f>+BB44*(1-Parameters!$C$55)</f>
        <v>1.1251516505155721E-5</v>
      </c>
      <c r="BD44" s="3">
        <f>+BC44*(1-Parameters!$C$55)</f>
        <v>9.0012132041245777E-6</v>
      </c>
      <c r="BE44" s="3">
        <f>+BD44*(1-Parameters!$C$55)</f>
        <v>7.2009705632996627E-6</v>
      </c>
      <c r="BF44" s="3">
        <f>+BE44*(1-Parameters!$C$55)</f>
        <v>5.7607764506397308E-6</v>
      </c>
      <c r="BG44" s="3">
        <f>+BF44*(1-Parameters!$C$55)</f>
        <v>4.6086211605117848E-6</v>
      </c>
      <c r="BH44" s="3">
        <f>+BG44*(1-Parameters!$C$55)</f>
        <v>3.6868969284094279E-6</v>
      </c>
      <c r="BI44" s="3">
        <f>+BH44*(1-Parameters!$C$55)</f>
        <v>2.9495175427275426E-6</v>
      </c>
    </row>
    <row r="45" spans="1:124" ht="22.25" customHeight="1" x14ac:dyDescent="0.35">
      <c r="A45" s="15" t="s">
        <v>213</v>
      </c>
      <c r="B45" s="51">
        <f>+Base!B45</f>
        <v>1.53972</v>
      </c>
    </row>
    <row r="46" spans="1:124" ht="21" customHeight="1" thickBot="1" x14ac:dyDescent="0.4">
      <c r="A46" s="83" t="s">
        <v>3</v>
      </c>
      <c r="B46" s="56"/>
    </row>
    <row r="47" spans="1:124" ht="21" customHeight="1" thickTop="1" x14ac:dyDescent="0.35">
      <c r="A47" s="15" t="str">
        <f>+IF(Parameters!B27=1,"Copenhagen",IF(Parameters!B27=2,"Copenhagen rich",IF(Parameters!B27=3,"Realistically optimistic","All immediate")))</f>
        <v>All immediate</v>
      </c>
      <c r="B47" s="57">
        <v>1</v>
      </c>
      <c r="C47" s="57">
        <f>+IF(Parameters!$B$27=1,Parameters!C45,IF(Parameters!$B$27=2,Parameters!C46,IF(Parameters!$B$27=3,Parameters!C47,Parameters!C48)))</f>
        <v>1</v>
      </c>
      <c r="D47" s="57">
        <f>+IF(Parameters!$B$27=1,Parameters!D45,IF(Parameters!$B$27=2,Parameters!D46,IF(Parameters!$B$27=3,Parameters!D47,Parameters!D48)))</f>
        <v>1</v>
      </c>
      <c r="E47" s="57">
        <f>+IF(Parameters!$B$27=1,Parameters!E45,IF(Parameters!$B$27=2,Parameters!E46,IF(Parameters!$B$27=3,Parameters!E47,Parameters!E48)))</f>
        <v>1</v>
      </c>
      <c r="F47" s="57">
        <f>+IF(Parameters!$B$27=1,Parameters!F45,IF(Parameters!$B$27=2,Parameters!F46,IF(Parameters!$B$27=3,Parameters!F47,Parameters!F48)))</f>
        <v>1</v>
      </c>
      <c r="G47" s="57">
        <f>+IF(Parameters!$B$27=1,Parameters!G45,IF(Parameters!$B$27=2,Parameters!G46,IF(Parameters!$B$27=3,Parameters!G47,Parameters!G48)))</f>
        <v>1</v>
      </c>
      <c r="H47" s="57">
        <f>+IF(Parameters!$B$27=1,Parameters!H45,IF(Parameters!$B$27=2,Parameters!H46,IF(Parameters!$B$27=3,Parameters!H47,Parameters!H48)))</f>
        <v>1</v>
      </c>
      <c r="I47" s="57">
        <f>+IF(Parameters!$B$27=1,Parameters!I45,IF(Parameters!$B$27=2,Parameters!I46,IF(Parameters!$B$27=3,Parameters!I47,Parameters!I48)))</f>
        <v>1</v>
      </c>
      <c r="J47" s="57">
        <f>+IF(Parameters!$B$27=1,Parameters!J45,IF(Parameters!$B$27=2,Parameters!J46,IF(Parameters!$B$27=3,Parameters!J47,Parameters!J48)))</f>
        <v>1</v>
      </c>
      <c r="K47" s="57">
        <f>+IF(Parameters!$B$27=1,Parameters!K45,IF(Parameters!$B$27=2,Parameters!K46,IF(Parameters!$B$27=3,Parameters!K47,Parameters!K48)))</f>
        <v>1</v>
      </c>
      <c r="L47" s="57">
        <f>+IF(Parameters!$B$27=1,Parameters!L45,IF(Parameters!$B$27=2,Parameters!L46,IF(Parameters!$B$27=3,Parameters!L47,Parameters!L48)))</f>
        <v>1</v>
      </c>
      <c r="M47" s="57">
        <f>+IF(Parameters!$B$27=1,Parameters!M45,IF(Parameters!$B$27=2,Parameters!M46,IF(Parameters!$B$27=3,Parameters!M47,Parameters!M48)))</f>
        <v>1</v>
      </c>
      <c r="N47" s="57">
        <f>+IF(Parameters!$B$27=1,Parameters!N45,IF(Parameters!$B$27=2,Parameters!N46,IF(Parameters!$B$27=3,Parameters!N47,Parameters!N48)))</f>
        <v>1</v>
      </c>
      <c r="O47" s="57">
        <f>+IF(Parameters!$B$27=1,Parameters!O45,IF(Parameters!$B$27=2,Parameters!O46,IF(Parameters!$B$27=3,Parameters!O47,Parameters!O48)))</f>
        <v>1</v>
      </c>
      <c r="P47" s="57">
        <f>+IF(Parameters!$B$27=1,Parameters!P45,IF(Parameters!$B$27=2,Parameters!P46,IF(Parameters!$B$27=3,Parameters!P47,Parameters!P48)))</f>
        <v>1</v>
      </c>
      <c r="Q47" s="57">
        <f>+IF(Parameters!$B$27=1,Parameters!Q45,IF(Parameters!$B$27=2,Parameters!Q46,IF(Parameters!$B$27=3,Parameters!Q47,Parameters!Q48)))</f>
        <v>1</v>
      </c>
      <c r="R47" s="57">
        <f>+IF(Parameters!$B$27=1,Parameters!R45,IF(Parameters!$B$27=2,Parameters!R46,IF(Parameters!$B$27=3,Parameters!R47,Parameters!R48)))</f>
        <v>1</v>
      </c>
      <c r="S47" s="57">
        <f>+IF(Parameters!$B$27=1,Parameters!S45,IF(Parameters!$B$27=2,Parameters!S46,IF(Parameters!$B$27=3,Parameters!S47,Parameters!S48)))</f>
        <v>1</v>
      </c>
      <c r="T47" s="57">
        <f>+IF(Parameters!$B$27=1,Parameters!T45,IF(Parameters!$B$27=2,Parameters!T46,IF(Parameters!$B$27=3,Parameters!T47,Parameters!T48)))</f>
        <v>1</v>
      </c>
      <c r="U47" s="57">
        <f>+IF(Parameters!$B$27=1,Parameters!U45,IF(Parameters!$B$27=2,Parameters!U46,IF(Parameters!$B$27=3,Parameters!U47,Parameters!U48)))</f>
        <v>1</v>
      </c>
      <c r="V47" s="57">
        <f>+IF(Parameters!$B$27=1,Parameters!V45,IF(Parameters!$B$27=2,Parameters!V46,IF(Parameters!$B$27=3,Parameters!V47,Parameters!V48)))</f>
        <v>1</v>
      </c>
      <c r="W47" s="57">
        <f>+IF(Parameters!$B$27=1,Parameters!W45,IF(Parameters!$B$27=2,Parameters!W46,IF(Parameters!$B$27=3,Parameters!W47,Parameters!W48)))</f>
        <v>1</v>
      </c>
      <c r="X47" s="57">
        <f>+IF(Parameters!$B$27=1,Parameters!X45,IF(Parameters!$B$27=2,Parameters!X46,IF(Parameters!$B$27=3,Parameters!X47,Parameters!X48)))</f>
        <v>1</v>
      </c>
      <c r="Y47" s="57">
        <f>+IF(Parameters!$B$27=1,Parameters!Y45,IF(Parameters!$B$27=2,Parameters!Y46,IF(Parameters!$B$27=3,Parameters!Y47,Parameters!Y48)))</f>
        <v>1</v>
      </c>
      <c r="Z47" s="57">
        <f>+IF(Parameters!$B$27=1,Parameters!Z45,IF(Parameters!$B$27=2,Parameters!Z46,IF(Parameters!$B$27=3,Parameters!Z47,Parameters!Z48)))</f>
        <v>1</v>
      </c>
      <c r="AA47" s="57">
        <f>+IF(Parameters!$B$27=1,Parameters!AA45,IF(Parameters!$B$27=2,Parameters!AA46,IF(Parameters!$B$27=3,Parameters!AA47,Parameters!AA48)))</f>
        <v>1</v>
      </c>
      <c r="AB47" s="57">
        <f>+IF(Parameters!$B$27=1,Parameters!AB45,IF(Parameters!$B$27=2,Parameters!AB46,IF(Parameters!$B$27=3,Parameters!AB47,Parameters!AB48)))</f>
        <v>1</v>
      </c>
      <c r="AC47" s="57">
        <f>+IF(Parameters!$B$27=1,Parameters!AC45,IF(Parameters!$B$27=2,Parameters!AC46,IF(Parameters!$B$27=3,Parameters!AC47,Parameters!AC48)))</f>
        <v>1</v>
      </c>
      <c r="AD47" s="57">
        <f>+IF(Parameters!$B$27=1,Parameters!AD45,IF(Parameters!$B$27=2,Parameters!AD46,IF(Parameters!$B$27=3,Parameters!AD47,Parameters!AD48)))</f>
        <v>1</v>
      </c>
      <c r="AE47" s="57">
        <f>+IF(Parameters!$B$27=1,Parameters!AE45,IF(Parameters!$B$27=2,Parameters!AE46,IF(Parameters!$B$27=3,Parameters!AE47,Parameters!AE48)))</f>
        <v>1</v>
      </c>
      <c r="AF47" s="57">
        <f>+IF(Parameters!$B$27=1,Parameters!AF45,IF(Parameters!$B$27=2,Parameters!AF46,IF(Parameters!$B$27=3,Parameters!AF47,Parameters!AF48)))</f>
        <v>1</v>
      </c>
      <c r="AG47" s="57">
        <f>+IF(Parameters!$B$27=1,Parameters!AG45,IF(Parameters!$B$27=2,Parameters!AG46,IF(Parameters!$B$27=3,Parameters!AG47,Parameters!AG48)))</f>
        <v>1</v>
      </c>
      <c r="AH47" s="57">
        <f>+IF(Parameters!$B$27=1,Parameters!AH45,IF(Parameters!$B$27=2,Parameters!AH46,IF(Parameters!$B$27=3,Parameters!AH47,Parameters!AH48)))</f>
        <v>1</v>
      </c>
      <c r="AI47" s="57">
        <f>+IF(Parameters!$B$27=1,Parameters!AI45,IF(Parameters!$B$27=2,Parameters!AI46,IF(Parameters!$B$27=3,Parameters!AI47,Parameters!AI48)))</f>
        <v>1</v>
      </c>
      <c r="AJ47" s="57">
        <f>+IF(Parameters!$B$27=1,Parameters!AJ45,IF(Parameters!$B$27=2,Parameters!AJ46,IF(Parameters!$B$27=3,Parameters!AJ47,Parameters!AJ48)))</f>
        <v>1</v>
      </c>
      <c r="AK47" s="57">
        <f>+IF(Parameters!$B$27=1,Parameters!AK45,IF(Parameters!$B$27=2,Parameters!AK46,IF(Parameters!$B$27=3,Parameters!AK47,Parameters!AK48)))</f>
        <v>1</v>
      </c>
      <c r="AL47" s="57">
        <f>+IF(Parameters!$B$27=1,Parameters!AL45,IF(Parameters!$B$27=2,Parameters!AL46,IF(Parameters!$B$27=3,Parameters!AL47,Parameters!AL48)))</f>
        <v>1</v>
      </c>
      <c r="AM47" s="57">
        <f>+IF(Parameters!$B$27=1,Parameters!AM45,IF(Parameters!$B$27=2,Parameters!AM46,IF(Parameters!$B$27=3,Parameters!AM47,Parameters!AM48)))</f>
        <v>1</v>
      </c>
      <c r="AN47" s="57">
        <f>+IF(Parameters!$B$27=1,Parameters!AN45,IF(Parameters!$B$27=2,Parameters!AN46,IF(Parameters!$B$27=3,Parameters!AN47,Parameters!AN48)))</f>
        <v>1</v>
      </c>
      <c r="AO47" s="57">
        <f>+IF(Parameters!$B$27=1,Parameters!AO45,IF(Parameters!$B$27=2,Parameters!AO46,IF(Parameters!$B$27=3,Parameters!AO47,Parameters!AO48)))</f>
        <v>1</v>
      </c>
      <c r="AP47" s="57">
        <f>+IF(Parameters!$B$27=1,Parameters!AP45,IF(Parameters!$B$27=2,Parameters!AP46,IF(Parameters!$B$27=3,Parameters!AP47,Parameters!AP48)))</f>
        <v>1</v>
      </c>
      <c r="AQ47" s="57">
        <f>+IF(Parameters!$B$27=1,Parameters!AQ45,IF(Parameters!$B$27=2,Parameters!AQ46,IF(Parameters!$B$27=3,Parameters!AQ47,Parameters!AQ48)))</f>
        <v>1</v>
      </c>
      <c r="AR47" s="57">
        <f>+IF(Parameters!$B$27=1,Parameters!AR45,IF(Parameters!$B$27=2,Parameters!AR46,IF(Parameters!$B$27=3,Parameters!AR47,Parameters!AR48)))</f>
        <v>1</v>
      </c>
      <c r="AS47" s="57">
        <f>+IF(Parameters!$B$27=1,Parameters!AS45,IF(Parameters!$B$27=2,Parameters!AS46,IF(Parameters!$B$27=3,Parameters!AS47,Parameters!AS48)))</f>
        <v>1</v>
      </c>
      <c r="AT47" s="57">
        <f>+IF(Parameters!$B$27=1,Parameters!AT45,IF(Parameters!$B$27=2,Parameters!AT46,IF(Parameters!$B$27=3,Parameters!AT47,Parameters!AT48)))</f>
        <v>1</v>
      </c>
      <c r="AU47" s="57">
        <f>+IF(Parameters!$B$27=1,Parameters!AU45,IF(Parameters!$B$27=2,Parameters!AU46,IF(Parameters!$B$27=3,Parameters!AU47,Parameters!AU48)))</f>
        <v>1</v>
      </c>
      <c r="AV47" s="57">
        <f>+IF(Parameters!$B$27=1,Parameters!AV45,IF(Parameters!$B$27=2,Parameters!AV46,IF(Parameters!$B$27=3,Parameters!AV47,Parameters!AV48)))</f>
        <v>1</v>
      </c>
      <c r="AW47" s="57">
        <f>+IF(Parameters!$B$27=1,Parameters!AW45,IF(Parameters!$B$27=2,Parameters!AW46,IF(Parameters!$B$27=3,Parameters!AW47,Parameters!AW48)))</f>
        <v>1</v>
      </c>
      <c r="AX47" s="57">
        <f>+IF(Parameters!$B$27=1,Parameters!AX45,IF(Parameters!$B$27=2,Parameters!AX46,IF(Parameters!$B$27=3,Parameters!AX47,Parameters!AX48)))</f>
        <v>1</v>
      </c>
      <c r="AY47" s="57">
        <f>+IF(Parameters!$B$27=1,Parameters!AY45,IF(Parameters!$B$27=2,Parameters!AY46,IF(Parameters!$B$27=3,Parameters!AY47,Parameters!AY48)))</f>
        <v>1</v>
      </c>
      <c r="AZ47" s="57">
        <f>+IF(Parameters!$B$27=1,Parameters!AZ45,IF(Parameters!$B$27=2,Parameters!AZ46,IF(Parameters!$B$27=3,Parameters!AZ47,Parameters!AZ48)))</f>
        <v>1</v>
      </c>
      <c r="BA47" s="57">
        <f>+IF(Parameters!$B$27=1,Parameters!BA45,IF(Parameters!$B$27=2,Parameters!BA46,IF(Parameters!$B$27=3,Parameters!BA47,Parameters!BA48)))</f>
        <v>1</v>
      </c>
      <c r="BB47" s="57">
        <f>+IF(Parameters!$B$27=1,Parameters!BB45,IF(Parameters!$B$27=2,Parameters!BB46,IF(Parameters!$B$27=3,Parameters!BB47,Parameters!BB48)))</f>
        <v>1</v>
      </c>
      <c r="BC47" s="57">
        <f>+IF(Parameters!$B$27=1,Parameters!BC45,IF(Parameters!$B$27=2,Parameters!BC46,IF(Parameters!$B$27=3,Parameters!BC47,Parameters!BC48)))</f>
        <v>1</v>
      </c>
      <c r="BD47" s="57">
        <f>+IF(Parameters!$B$27=1,Parameters!BD45,IF(Parameters!$B$27=2,Parameters!BD46,IF(Parameters!$B$27=3,Parameters!BD47,Parameters!BD48)))</f>
        <v>1</v>
      </c>
      <c r="BE47" s="57">
        <f>+IF(Parameters!$B$27=1,Parameters!BE45,IF(Parameters!$B$27=2,Parameters!BE46,IF(Parameters!$B$27=3,Parameters!BE47,Parameters!BE48)))</f>
        <v>1</v>
      </c>
      <c r="BF47" s="57">
        <f>+IF(Parameters!$B$27=1,Parameters!BF45,IF(Parameters!$B$27=2,Parameters!BF46,IF(Parameters!$B$27=3,Parameters!BF47,Parameters!BF48)))</f>
        <v>1</v>
      </c>
      <c r="BG47" s="57">
        <f>+IF(Parameters!$B$27=1,Parameters!BG45,IF(Parameters!$B$27=2,Parameters!BG46,IF(Parameters!$B$27=3,Parameters!BG47,Parameters!BG48)))</f>
        <v>1</v>
      </c>
      <c r="BH47" s="57">
        <f>+IF(Parameters!$B$27=1,Parameters!BH45,IF(Parameters!$B$27=2,Parameters!BH46,IF(Parameters!$B$27=3,Parameters!BH47,Parameters!BH48)))</f>
        <v>1</v>
      </c>
      <c r="BI47" s="57">
        <f>+IF(Parameters!$B$27=1,Parameters!BI45,IF(Parameters!$B$27=2,Parameters!BI46,IF(Parameters!$B$27=3,Parameters!BI47,Parameters!BI48)))</f>
        <v>1</v>
      </c>
      <c r="BJ47" s="57"/>
      <c r="BK47" s="57"/>
      <c r="BL47" s="57"/>
      <c r="BM47" s="57"/>
      <c r="BN47" s="57"/>
      <c r="BO47" s="57"/>
      <c r="BP47" s="57"/>
      <c r="BQ47" s="57"/>
      <c r="BR47" s="57"/>
      <c r="BS47" s="57"/>
      <c r="BT47" s="57"/>
      <c r="BU47" s="57"/>
      <c r="BV47" s="57"/>
      <c r="BW47" s="57"/>
      <c r="BX47" s="57"/>
      <c r="BY47" s="57"/>
      <c r="BZ47" s="57"/>
      <c r="CA47" s="57"/>
      <c r="CB47" s="57"/>
      <c r="CC47" s="57"/>
      <c r="CD47" s="57"/>
      <c r="CE47" s="57"/>
      <c r="CF47" s="57"/>
      <c r="CG47" s="57"/>
      <c r="CH47" s="57"/>
      <c r="CI47" s="57"/>
      <c r="CJ47" s="57"/>
      <c r="CK47" s="57"/>
      <c r="CL47" s="57"/>
      <c r="CM47" s="57"/>
      <c r="CN47" s="57"/>
      <c r="CO47" s="57"/>
      <c r="CP47" s="57"/>
      <c r="CQ47" s="57"/>
      <c r="CR47" s="57"/>
      <c r="CS47" s="57"/>
      <c r="CT47" s="57"/>
      <c r="CU47" s="57"/>
      <c r="CV47" s="57"/>
      <c r="CW47" s="57"/>
      <c r="CX47" s="57"/>
      <c r="CY47" s="57"/>
      <c r="CZ47" s="57"/>
      <c r="DA47" s="57"/>
      <c r="DB47" s="57"/>
      <c r="DC47" s="57"/>
      <c r="DD47" s="57"/>
      <c r="DE47" s="57"/>
      <c r="DF47" s="57"/>
      <c r="DG47" s="57"/>
      <c r="DH47" s="57"/>
      <c r="DI47" s="57"/>
      <c r="DJ47" s="57"/>
      <c r="DK47" s="57"/>
      <c r="DL47" s="57"/>
      <c r="DM47" s="57"/>
      <c r="DN47" s="57"/>
      <c r="DO47" s="57"/>
      <c r="DP47" s="57"/>
      <c r="DQ47" s="57"/>
      <c r="DR47" s="57"/>
      <c r="DS47" s="57"/>
      <c r="DT47" s="57"/>
    </row>
    <row r="48" spans="1:124" ht="21" customHeight="1" thickBot="1" x14ac:dyDescent="0.4">
      <c r="A48" s="82" t="s">
        <v>98</v>
      </c>
      <c r="C48" s="3" t="s">
        <v>131</v>
      </c>
      <c r="D48" s="3">
        <f>+B127</f>
        <v>6.8716094136808445</v>
      </c>
      <c r="E48" s="3">
        <v>7.5267760935020336</v>
      </c>
      <c r="F48" s="51"/>
    </row>
    <row r="49" spans="1:124" ht="21" customHeight="1" thickTop="1" x14ac:dyDescent="0.35">
      <c r="A49" s="15" t="s">
        <v>54</v>
      </c>
      <c r="B49" s="51">
        <f>+Base!B49</f>
        <v>1.6396699869977365E-2</v>
      </c>
      <c r="C49" s="51"/>
    </row>
    <row r="50" spans="1:124" ht="21" customHeight="1" x14ac:dyDescent="0.35">
      <c r="A50" s="15" t="s">
        <v>55</v>
      </c>
      <c r="B50" s="51">
        <f>+Base!B50</f>
        <v>-3823.8684027386507</v>
      </c>
      <c r="C50" s="58"/>
      <c r="D50" s="58"/>
    </row>
    <row r="51" spans="1:124" ht="21" customHeight="1" thickBot="1" x14ac:dyDescent="0.4">
      <c r="A51" s="82" t="s">
        <v>253</v>
      </c>
      <c r="B51" s="51">
        <v>0</v>
      </c>
      <c r="C51" s="3" t="s">
        <v>146</v>
      </c>
      <c r="D51" s="3">
        <f>+D50-B130</f>
        <v>-2703.4255116039594</v>
      </c>
    </row>
    <row r="52" spans="1:124" ht="21" customHeight="1" thickTop="1" thickBot="1" x14ac:dyDescent="0.4">
      <c r="A52" s="82" t="s">
        <v>17</v>
      </c>
      <c r="C52" s="51"/>
      <c r="D52" s="51"/>
      <c r="E52" s="51"/>
      <c r="F52" s="51"/>
      <c r="G52" s="51"/>
      <c r="H52" s="51"/>
      <c r="I52" s="51"/>
      <c r="J52" s="51"/>
      <c r="K52" s="51"/>
      <c r="L52" s="51"/>
      <c r="M52" s="51"/>
      <c r="N52" s="51"/>
      <c r="O52" s="51"/>
      <c r="P52" s="51"/>
      <c r="Q52" s="51"/>
      <c r="R52" s="51"/>
      <c r="S52" s="51"/>
      <c r="T52" s="51"/>
      <c r="U52" s="51"/>
      <c r="V52" s="51"/>
      <c r="W52" s="51"/>
      <c r="X52" s="51"/>
      <c r="Y52" s="51"/>
      <c r="Z52" s="51"/>
      <c r="AA52" s="51"/>
      <c r="AB52" s="51"/>
      <c r="AC52" s="51"/>
      <c r="AD52" s="51"/>
      <c r="AE52" s="51"/>
      <c r="AF52" s="51"/>
      <c r="AG52" s="51"/>
      <c r="AH52" s="51"/>
      <c r="AI52" s="51"/>
      <c r="AJ52" s="51"/>
      <c r="AK52" s="51"/>
      <c r="AL52" s="51"/>
      <c r="AM52" s="51"/>
      <c r="AN52" s="51"/>
      <c r="AO52" s="51"/>
      <c r="AP52" s="51"/>
      <c r="AQ52" s="51"/>
      <c r="AR52" s="51"/>
      <c r="AS52" s="51"/>
      <c r="AT52" s="51"/>
      <c r="AU52" s="51"/>
      <c r="AV52" s="51"/>
      <c r="AW52" s="51"/>
      <c r="AX52" s="51"/>
      <c r="AY52" s="51"/>
      <c r="AZ52" s="51"/>
      <c r="BA52" s="51"/>
      <c r="BB52" s="51"/>
      <c r="BC52" s="51"/>
      <c r="BD52" s="51"/>
      <c r="BE52" s="51"/>
      <c r="BF52" s="51"/>
      <c r="BG52" s="51"/>
      <c r="BH52" s="51"/>
      <c r="BI52" s="51"/>
      <c r="BJ52" s="51"/>
      <c r="BK52" s="51"/>
      <c r="BL52" s="51"/>
      <c r="BM52" s="51"/>
      <c r="BN52" s="51"/>
      <c r="BO52" s="51"/>
      <c r="BP52" s="51"/>
      <c r="BQ52" s="51"/>
      <c r="BR52" s="51"/>
      <c r="BS52" s="51"/>
      <c r="BT52" s="51"/>
      <c r="BU52" s="51"/>
      <c r="BV52" s="51"/>
      <c r="BW52" s="51"/>
      <c r="BX52" s="51"/>
      <c r="BY52" s="51"/>
      <c r="BZ52" s="51"/>
      <c r="CA52" s="51"/>
      <c r="CB52" s="51"/>
      <c r="CC52" s="51"/>
      <c r="CD52" s="51"/>
      <c r="CE52" s="51"/>
      <c r="CF52" s="51"/>
      <c r="CG52" s="51"/>
      <c r="CH52" s="51"/>
      <c r="CI52" s="51"/>
      <c r="CJ52" s="51"/>
      <c r="CK52" s="51"/>
      <c r="CL52" s="51"/>
      <c r="CM52" s="51"/>
      <c r="CN52" s="51"/>
      <c r="CO52" s="51"/>
      <c r="CP52" s="51"/>
      <c r="CQ52" s="51"/>
      <c r="CR52" s="51"/>
      <c r="CS52" s="51"/>
      <c r="CT52" s="51"/>
      <c r="CU52" s="51"/>
      <c r="CV52" s="51"/>
      <c r="CW52" s="51"/>
      <c r="CX52" s="51"/>
      <c r="CY52" s="51"/>
      <c r="CZ52" s="51"/>
      <c r="DA52" s="51"/>
      <c r="DB52" s="51"/>
      <c r="DC52" s="51"/>
      <c r="DD52" s="51"/>
      <c r="DE52" s="51"/>
      <c r="DF52" s="51"/>
      <c r="DG52" s="51"/>
      <c r="DH52" s="51"/>
      <c r="DI52" s="51"/>
      <c r="DJ52" s="51"/>
      <c r="DK52" s="51"/>
      <c r="DL52" s="51"/>
      <c r="DM52" s="51"/>
      <c r="DN52" s="51"/>
      <c r="DO52" s="51"/>
      <c r="DP52" s="51"/>
      <c r="DQ52" s="51"/>
      <c r="DR52" s="51"/>
      <c r="DS52" s="51"/>
      <c r="DT52" s="51"/>
    </row>
    <row r="53" spans="1:124" ht="21" customHeight="1" thickTop="1" x14ac:dyDescent="0.35">
      <c r="A53" s="15" t="s">
        <v>18</v>
      </c>
      <c r="B53" s="51">
        <f>+Base!B53</f>
        <v>6838</v>
      </c>
      <c r="C53" s="51">
        <f>+Base!C53</f>
        <v>7244.0131682715773</v>
      </c>
      <c r="D53" s="51">
        <f>+Base!D53</f>
        <v>7614.8328217481658</v>
      </c>
      <c r="E53" s="51">
        <f>+Base!E53</f>
        <v>7951.0707590505608</v>
      </c>
      <c r="F53" s="51">
        <f>+Base!F53</f>
        <v>8254.0505790007173</v>
      </c>
      <c r="G53" s="51">
        <f>+Base!G53</f>
        <v>8525.5874386257801</v>
      </c>
      <c r="H53" s="51">
        <f>+Base!H53</f>
        <v>8767.8063434235337</v>
      </c>
      <c r="I53" s="51">
        <f>+Base!I53</f>
        <v>8982.9978140746662</v>
      </c>
      <c r="J53" s="51">
        <f>+Base!J53</f>
        <v>9173.5073444878253</v>
      </c>
      <c r="K53" s="51">
        <f>+Base!K53</f>
        <v>9341.6539239806625</v>
      </c>
      <c r="L53" s="51">
        <f>+Base!L53</f>
        <v>9489.6726076231553</v>
      </c>
      <c r="M53" s="51">
        <f>+Base!M53</f>
        <v>9619.6763483350842</v>
      </c>
      <c r="N53" s="51">
        <f>+Base!N53</f>
        <v>9733.6328118544734</v>
      </c>
      <c r="O53" s="51">
        <f>+Base!O53</f>
        <v>9833.3525197035178</v>
      </c>
      <c r="P53" s="51">
        <f>+Base!P53</f>
        <v>9920.4853046792614</v>
      </c>
      <c r="Q53" s="51">
        <f>+Base!Q53</f>
        <v>9996.5226603527044</v>
      </c>
      <c r="R53" s="51">
        <f>+Base!R53</f>
        <v>10062.804091979313</v>
      </c>
      <c r="S53" s="51">
        <f>+Base!S53</f>
        <v>10120.526021146155</v>
      </c>
      <c r="T53" s="51">
        <f>+Base!T53</f>
        <v>10170.75216151042</v>
      </c>
      <c r="U53" s="51">
        <f>+Base!U53</f>
        <v>10214.424575159541</v>
      </c>
      <c r="V53" s="51">
        <f>+Base!V53</f>
        <v>10252.374848116402</v>
      </c>
      <c r="W53" s="51">
        <f>+Base!W53</f>
        <v>10285.334999620252</v>
      </c>
      <c r="X53" s="51">
        <f>+Base!X53</f>
        <v>10313.947872827168</v>
      </c>
      <c r="Y53" s="51">
        <f>+Base!Y53</f>
        <v>10338.776853219713</v>
      </c>
      <c r="Z53" s="51">
        <f>+Base!Z53</f>
        <v>10360.314832745784</v>
      </c>
      <c r="AA53" s="51">
        <f>+Base!AA53</f>
        <v>10378.992388692368</v>
      </c>
      <c r="AB53" s="51">
        <f>+Base!AB53</f>
        <v>10395.185181534063</v>
      </c>
      <c r="AC53" s="51">
        <f>+Base!AC53</f>
        <v>10409.220599442217</v>
      </c>
      <c r="AD53" s="51">
        <f>+Base!AD53</f>
        <v>10421.383691897539</v>
      </c>
      <c r="AE53" s="51">
        <f>+Base!AE53</f>
        <v>10431.922443305928</v>
      </c>
      <c r="AF53" s="51">
        <f>+Base!AF53</f>
        <v>10441.052441493106</v>
      </c>
      <c r="AG53" s="51">
        <f>+Base!AG53</f>
        <v>10448.960996817566</v>
      </c>
      <c r="AH53" s="51">
        <f>+Base!AH53</f>
        <v>10455.810766410352</v>
      </c>
      <c r="AI53" s="51">
        <f>+Base!AI53</f>
        <v>10461.742935471591</v>
      </c>
      <c r="AJ53" s="51">
        <f>+Base!AJ53</f>
        <v>10466.880004167821</v>
      </c>
      <c r="AK53" s="51">
        <f>+Base!AK53</f>
        <v>10471.3282248657</v>
      </c>
      <c r="AL53" s="51">
        <f>+Base!AL53</f>
        <v>10475.179730475338</v>
      </c>
      <c r="AM53" s="51">
        <f>+Base!AM53</f>
        <v>10478.514390742053</v>
      </c>
      <c r="AN53" s="51">
        <f>+Base!AN53</f>
        <v>10481.401429538373</v>
      </c>
      <c r="AO53" s="51">
        <f>+Base!AO53</f>
        <v>10483.900832641932</v>
      </c>
      <c r="AP53" s="51">
        <f>+Base!AP53</f>
        <v>10486.064572180732</v>
      </c>
      <c r="AQ53" s="51">
        <f>+Base!AQ53</f>
        <v>10487.937670903442</v>
      </c>
      <c r="AR53" s="51">
        <f>+Base!AR53</f>
        <v>10489.559126691636</v>
      </c>
      <c r="AS53" s="51">
        <f>+Base!AS53</f>
        <v>10490.962715265843</v>
      </c>
      <c r="AT53" s="51">
        <f>+Base!AT53</f>
        <v>10492.177686833749</v>
      </c>
      <c r="AU53" s="51">
        <f>+Base!AU53</f>
        <v>10493.229370469204</v>
      </c>
      <c r="AV53" s="51">
        <f>+Base!AV53</f>
        <v>10494.139698275025</v>
      </c>
      <c r="AW53" s="51">
        <f>+Base!AW53</f>
        <v>10494.927659850739</v>
      </c>
      <c r="AX53" s="51">
        <f>+Base!AX53</f>
        <v>10495.609696238218</v>
      </c>
      <c r="AY53" s="51">
        <f>+Base!AY53</f>
        <v>10496.200041334723</v>
      </c>
      <c r="AZ53" s="51">
        <f>+Base!AZ53</f>
        <v>10496.711017725867</v>
      </c>
      <c r="BA53" s="51">
        <f>+Base!BA53</f>
        <v>10497.153292984229</v>
      </c>
      <c r="BB53" s="51">
        <f>+Base!BB53</f>
        <v>10497.536101687356</v>
      </c>
      <c r="BC53" s="51">
        <f>+Base!BC53</f>
        <v>10497.867437718181</v>
      </c>
      <c r="BD53" s="51">
        <f>+Base!BD53</f>
        <v>10498.154220809072</v>
      </c>
      <c r="BE53" s="51">
        <f>+Base!BE53</f>
        <v>10498.402440766844</v>
      </c>
      <c r="BF53" s="51">
        <f>+Base!BF53</f>
        <v>10498.617282360547</v>
      </c>
      <c r="BG53" s="51">
        <f>+Base!BG53</f>
        <v>10498.803233457693</v>
      </c>
      <c r="BH53" s="51">
        <f>+Base!BH53</f>
        <v>10498.964178650702</v>
      </c>
      <c r="BI53" s="51">
        <f>+Base!BI53</f>
        <v>10499.103480316548</v>
      </c>
      <c r="BJ53" s="51"/>
      <c r="BK53" s="51"/>
      <c r="BL53" s="51"/>
      <c r="BM53" s="51"/>
      <c r="BN53" s="51"/>
      <c r="BO53" s="51"/>
      <c r="BP53" s="51"/>
      <c r="BQ53" s="51"/>
      <c r="BR53" s="51"/>
      <c r="BS53" s="51"/>
      <c r="BT53" s="51"/>
      <c r="BU53" s="51"/>
      <c r="BV53" s="51"/>
      <c r="BW53" s="51"/>
      <c r="BX53" s="51"/>
      <c r="BY53" s="51"/>
      <c r="BZ53" s="51"/>
      <c r="CA53" s="51"/>
      <c r="CB53" s="51"/>
      <c r="CC53" s="51"/>
      <c r="CD53" s="51"/>
      <c r="CE53" s="51"/>
      <c r="CF53" s="51"/>
      <c r="CG53" s="51"/>
      <c r="CH53" s="51"/>
      <c r="CI53" s="51"/>
      <c r="CJ53" s="51"/>
      <c r="CK53" s="51"/>
      <c r="CL53" s="51"/>
      <c r="CM53" s="51"/>
      <c r="CN53" s="51"/>
      <c r="CO53" s="51"/>
      <c r="CP53" s="51"/>
      <c r="CQ53" s="51"/>
      <c r="CR53" s="51"/>
      <c r="CS53" s="51"/>
      <c r="CT53" s="51"/>
      <c r="CU53" s="51"/>
      <c r="CV53" s="51"/>
      <c r="CW53" s="51"/>
      <c r="CX53" s="51"/>
      <c r="CY53" s="51"/>
      <c r="CZ53" s="51"/>
      <c r="DA53" s="51"/>
      <c r="DB53" s="51"/>
      <c r="DC53" s="51"/>
      <c r="DD53" s="51"/>
      <c r="DE53" s="51"/>
      <c r="DF53" s="51"/>
      <c r="DG53" s="51"/>
      <c r="DH53" s="51"/>
      <c r="DI53" s="51"/>
      <c r="DJ53" s="51"/>
      <c r="DK53" s="51"/>
      <c r="DL53" s="51"/>
      <c r="DM53" s="51"/>
      <c r="DN53" s="51"/>
      <c r="DO53" s="51"/>
      <c r="DP53" s="51"/>
      <c r="DQ53" s="51"/>
      <c r="DR53" s="51"/>
      <c r="DS53" s="51"/>
      <c r="DT53" s="51"/>
    </row>
    <row r="54" spans="1:124" ht="21" customHeight="1" x14ac:dyDescent="0.35">
      <c r="A54" s="15" t="s">
        <v>160</v>
      </c>
      <c r="C54" s="51">
        <f t="shared" ref="C54:BI54" si="7">+C53/B53-1</f>
        <v>5.9376011739043166E-2</v>
      </c>
      <c r="D54" s="51">
        <f t="shared" si="7"/>
        <v>5.1189809414035947E-2</v>
      </c>
      <c r="E54" s="51">
        <f t="shared" si="7"/>
        <v>4.4155655832927909E-2</v>
      </c>
      <c r="F54" s="51">
        <f t="shared" si="7"/>
        <v>3.8105536868135559E-2</v>
      </c>
      <c r="G54" s="51">
        <f t="shared" si="7"/>
        <v>3.2897406797564921E-2</v>
      </c>
      <c r="H54" s="51">
        <f t="shared" si="7"/>
        <v>2.841081703066739E-2</v>
      </c>
      <c r="I54" s="51">
        <f t="shared" si="7"/>
        <v>2.4543364921893129E-2</v>
      </c>
      <c r="J54" s="51">
        <f t="shared" si="7"/>
        <v>2.1207789911143804E-2</v>
      </c>
      <c r="K54" s="51">
        <f t="shared" si="7"/>
        <v>1.8329584659227738E-2</v>
      </c>
      <c r="L54" s="51">
        <f t="shared" si="7"/>
        <v>1.5845018970625624E-2</v>
      </c>
      <c r="M54" s="51">
        <f t="shared" si="7"/>
        <v>1.3699496925478227E-2</v>
      </c>
      <c r="N54" s="51">
        <f t="shared" si="7"/>
        <v>1.1846184777215774E-2</v>
      </c>
      <c r="O54" s="51">
        <f t="shared" si="7"/>
        <v>1.0244860246587217E-2</v>
      </c>
      <c r="P54" s="51">
        <f t="shared" si="7"/>
        <v>8.8609438948874519E-3</v>
      </c>
      <c r="Q54" s="51">
        <f t="shared" si="7"/>
        <v>7.6646810451479475E-3</v>
      </c>
      <c r="R54" s="51">
        <f t="shared" si="7"/>
        <v>6.6304487949082613E-3</v>
      </c>
      <c r="S54" s="51">
        <f t="shared" si="7"/>
        <v>5.736167437946138E-3</v>
      </c>
      <c r="T54" s="51">
        <f t="shared" si="7"/>
        <v>4.9627993900041023E-3</v>
      </c>
      <c r="U54" s="51">
        <f t="shared" si="7"/>
        <v>4.2939217233501914E-3</v>
      </c>
      <c r="V54" s="51">
        <f t="shared" si="7"/>
        <v>3.7153608289548501E-3</v>
      </c>
      <c r="W54" s="51">
        <f t="shared" si="7"/>
        <v>3.2148796734550178E-3</v>
      </c>
      <c r="X54" s="51">
        <f t="shared" si="7"/>
        <v>2.7819097003618509E-3</v>
      </c>
      <c r="Y54" s="51">
        <f t="shared" si="7"/>
        <v>2.4073207174102329E-3</v>
      </c>
      <c r="Z54" s="51">
        <f t="shared" si="7"/>
        <v>2.0832231734804196E-3</v>
      </c>
      <c r="AA54" s="51">
        <f t="shared" si="7"/>
        <v>1.8027981048944763E-3</v>
      </c>
      <c r="AB54" s="51">
        <f t="shared" si="7"/>
        <v>1.56015075792304E-3</v>
      </c>
      <c r="AC54" s="51">
        <f t="shared" si="7"/>
        <v>1.3501845001362422E-3</v>
      </c>
      <c r="AD54" s="51">
        <f t="shared" si="7"/>
        <v>1.1684921401295956E-3</v>
      </c>
      <c r="AE54" s="51">
        <f t="shared" si="7"/>
        <v>1.0112622008708883E-3</v>
      </c>
      <c r="AF54" s="51">
        <f t="shared" si="7"/>
        <v>8.7519805067537426E-4</v>
      </c>
      <c r="AG54" s="51">
        <f t="shared" si="7"/>
        <v>7.5744809910460731E-4</v>
      </c>
      <c r="AH54" s="51">
        <f t="shared" si="7"/>
        <v>6.5554552216928741E-4</v>
      </c>
      <c r="AI54" s="51">
        <f t="shared" si="7"/>
        <v>5.6735619970260665E-4</v>
      </c>
      <c r="AJ54" s="51">
        <f t="shared" si="7"/>
        <v>4.9103373385439575E-4</v>
      </c>
      <c r="AK54" s="51">
        <f t="shared" si="7"/>
        <v>4.249805764571235E-4</v>
      </c>
      <c r="AL54" s="51">
        <f t="shared" si="7"/>
        <v>3.6781442878397463E-4</v>
      </c>
      <c r="AM54" s="51">
        <f t="shared" si="7"/>
        <v>3.1833919345691797E-4</v>
      </c>
      <c r="AN54" s="51">
        <f t="shared" si="7"/>
        <v>2.7551985793627942E-4</v>
      </c>
      <c r="AO54" s="51">
        <f t="shared" si="7"/>
        <v>2.3846077457867487E-4</v>
      </c>
      <c r="AP54" s="51">
        <f t="shared" si="7"/>
        <v>2.0638687577667625E-4</v>
      </c>
      <c r="AQ54" s="51">
        <f t="shared" si="7"/>
        <v>1.7862742593433012E-4</v>
      </c>
      <c r="AR54" s="51">
        <f t="shared" si="7"/>
        <v>1.546019664755427E-4</v>
      </c>
      <c r="AS54" s="51">
        <f t="shared" si="7"/>
        <v>1.3380815697350279E-4</v>
      </c>
      <c r="AT54" s="51">
        <f t="shared" si="7"/>
        <v>1.1581125592385888E-4</v>
      </c>
      <c r="AU54" s="51">
        <f t="shared" si="7"/>
        <v>1.0023501953981828E-4</v>
      </c>
      <c r="AV54" s="51">
        <f t="shared" si="7"/>
        <v>8.6753827032826081E-5</v>
      </c>
      <c r="AW54" s="51">
        <f t="shared" si="7"/>
        <v>7.5085866814150748E-5</v>
      </c>
      <c r="AX54" s="51">
        <f t="shared" si="7"/>
        <v>6.498724046366533E-5</v>
      </c>
      <c r="AY54" s="51">
        <f t="shared" si="7"/>
        <v>5.6246860696163026E-5</v>
      </c>
      <c r="AZ54" s="51">
        <f t="shared" si="7"/>
        <v>4.8682036273284268E-5</v>
      </c>
      <c r="BA54" s="51">
        <f t="shared" si="7"/>
        <v>4.2134651283998181E-5</v>
      </c>
      <c r="BB54" s="51">
        <f t="shared" si="7"/>
        <v>3.6467858708144618E-5</v>
      </c>
      <c r="BC54" s="51">
        <f t="shared" si="7"/>
        <v>3.1563218989338893E-5</v>
      </c>
      <c r="BD54" s="51">
        <f t="shared" si="7"/>
        <v>2.7318223686068066E-5</v>
      </c>
      <c r="BE54" s="51">
        <f t="shared" si="7"/>
        <v>2.3644152348234471E-5</v>
      </c>
      <c r="BF54" s="51">
        <f t="shared" si="7"/>
        <v>2.0464217762139469E-5</v>
      </c>
      <c r="BG54" s="51">
        <f t="shared" si="7"/>
        <v>1.7711960741628729E-5</v>
      </c>
      <c r="BH54" s="51">
        <f t="shared" si="7"/>
        <v>1.5329860883150914E-5</v>
      </c>
      <c r="BI54" s="51">
        <f t="shared" si="7"/>
        <v>1.3268134215538296E-5</v>
      </c>
      <c r="BJ54" s="51"/>
      <c r="BK54" s="51"/>
      <c r="BL54" s="51"/>
      <c r="BM54" s="51"/>
      <c r="BN54" s="51"/>
      <c r="BO54" s="51"/>
      <c r="BP54" s="51"/>
      <c r="BQ54" s="51"/>
      <c r="BR54" s="51"/>
      <c r="BS54" s="51"/>
      <c r="BT54" s="51"/>
      <c r="BU54" s="51"/>
      <c r="BV54" s="51"/>
      <c r="BW54" s="51"/>
      <c r="BX54" s="51"/>
      <c r="BY54" s="51"/>
      <c r="BZ54" s="51"/>
      <c r="CA54" s="51"/>
      <c r="CB54" s="51"/>
      <c r="CC54" s="51"/>
      <c r="CD54" s="51"/>
      <c r="CE54" s="51"/>
      <c r="CF54" s="51"/>
      <c r="CG54" s="51"/>
      <c r="CH54" s="51"/>
      <c r="CI54" s="51"/>
      <c r="CJ54" s="51"/>
      <c r="CK54" s="51"/>
      <c r="CL54" s="51"/>
      <c r="CM54" s="51"/>
      <c r="CN54" s="51"/>
      <c r="CO54" s="51"/>
      <c r="CP54" s="51"/>
      <c r="CQ54" s="51"/>
      <c r="CR54" s="51"/>
      <c r="CS54" s="51"/>
      <c r="CT54" s="51"/>
      <c r="CU54" s="51"/>
      <c r="CV54" s="51"/>
      <c r="CW54" s="51"/>
      <c r="CX54" s="51"/>
      <c r="CY54" s="51"/>
      <c r="CZ54" s="51"/>
      <c r="DA54" s="51"/>
      <c r="DB54" s="51"/>
      <c r="DC54" s="51"/>
      <c r="DD54" s="51"/>
      <c r="DE54" s="51"/>
      <c r="DF54" s="51"/>
      <c r="DG54" s="51"/>
      <c r="DH54" s="51"/>
      <c r="DI54" s="51"/>
      <c r="DJ54" s="51"/>
      <c r="DK54" s="51"/>
      <c r="DL54" s="51"/>
      <c r="DM54" s="51"/>
      <c r="DN54" s="51"/>
      <c r="DO54" s="51"/>
      <c r="DP54" s="51"/>
      <c r="DQ54" s="51"/>
      <c r="DR54" s="51"/>
      <c r="DS54" s="51"/>
      <c r="DT54" s="51"/>
    </row>
    <row r="55" spans="1:124" s="59" customFormat="1" ht="38.4" customHeight="1" thickBot="1" x14ac:dyDescent="0.3">
      <c r="A55" s="81" t="s">
        <v>203</v>
      </c>
    </row>
    <row r="56" spans="1:124" s="23" customFormat="1" ht="21" customHeight="1" thickTop="1" thickBot="1" x14ac:dyDescent="0.35">
      <c r="A56" s="82" t="s">
        <v>8</v>
      </c>
      <c r="B56" s="60"/>
      <c r="C56" s="60"/>
      <c r="D56" s="60"/>
      <c r="E56" s="60"/>
      <c r="F56" s="60"/>
      <c r="G56" s="60"/>
      <c r="H56" s="60"/>
      <c r="I56" s="60"/>
      <c r="J56" s="60"/>
      <c r="K56" s="60"/>
      <c r="L56" s="60"/>
      <c r="M56" s="60"/>
      <c r="N56" s="60"/>
      <c r="O56" s="60"/>
      <c r="P56" s="60"/>
      <c r="Q56" s="60"/>
      <c r="R56" s="60"/>
      <c r="S56" s="60"/>
      <c r="T56" s="60"/>
      <c r="U56" s="60"/>
      <c r="V56" s="60"/>
      <c r="W56" s="60"/>
      <c r="X56" s="60"/>
      <c r="Y56" s="60"/>
      <c r="Z56" s="60"/>
      <c r="AA56" s="60"/>
      <c r="AB56" s="60"/>
      <c r="AC56" s="60"/>
      <c r="AD56" s="60"/>
      <c r="AE56" s="60"/>
      <c r="AF56" s="60"/>
      <c r="AG56" s="60"/>
      <c r="AH56" s="60"/>
      <c r="AI56" s="60"/>
      <c r="AJ56" s="60"/>
      <c r="AK56" s="60"/>
      <c r="AL56" s="60"/>
      <c r="AM56" s="60"/>
      <c r="AN56" s="60"/>
      <c r="AO56" s="60"/>
      <c r="AP56" s="60"/>
      <c r="AQ56" s="60"/>
      <c r="AR56" s="60"/>
      <c r="AS56" s="60"/>
      <c r="AT56" s="60"/>
      <c r="AU56" s="60"/>
      <c r="AV56" s="60"/>
      <c r="AW56" s="60"/>
      <c r="AX56" s="60"/>
      <c r="AY56" s="60"/>
      <c r="AZ56" s="60"/>
      <c r="BA56" s="60"/>
      <c r="BB56" s="60"/>
      <c r="BC56" s="60"/>
      <c r="BD56" s="60"/>
      <c r="BE56" s="60"/>
      <c r="BF56" s="60"/>
      <c r="BG56" s="60"/>
      <c r="BH56" s="60"/>
      <c r="BI56" s="60"/>
    </row>
    <row r="57" spans="1:124" s="23" customFormat="1" ht="21" customHeight="1" thickTop="1" x14ac:dyDescent="0.35">
      <c r="A57" s="15" t="s">
        <v>28</v>
      </c>
      <c r="B57" s="51">
        <f>+Base!B57</f>
        <v>6000</v>
      </c>
      <c r="C57" s="60"/>
      <c r="D57" s="60"/>
      <c r="E57" s="60"/>
      <c r="F57" s="60"/>
      <c r="G57" s="60"/>
      <c r="H57" s="60"/>
      <c r="I57" s="60"/>
      <c r="J57" s="60"/>
      <c r="K57" s="60"/>
      <c r="L57" s="60"/>
      <c r="M57" s="60"/>
      <c r="N57" s="60"/>
      <c r="O57" s="60"/>
      <c r="P57" s="60"/>
      <c r="Q57" s="60"/>
      <c r="R57" s="60"/>
      <c r="S57" s="60"/>
      <c r="T57" s="60"/>
      <c r="U57" s="60"/>
      <c r="V57" s="60"/>
      <c r="W57" s="60"/>
      <c r="X57" s="60"/>
      <c r="Y57" s="60"/>
      <c r="Z57" s="60"/>
      <c r="AA57" s="60"/>
      <c r="AB57" s="60"/>
      <c r="AC57" s="60"/>
      <c r="AD57" s="60"/>
      <c r="AE57" s="60"/>
      <c r="AF57" s="60"/>
      <c r="AG57" s="60"/>
      <c r="AH57" s="60"/>
      <c r="AI57" s="60"/>
      <c r="AJ57" s="60"/>
      <c r="AK57" s="60"/>
      <c r="AL57" s="60"/>
      <c r="AM57" s="60"/>
      <c r="AN57" s="60"/>
      <c r="AO57" s="60"/>
      <c r="AP57" s="60"/>
      <c r="AQ57" s="60"/>
      <c r="AR57" s="60"/>
      <c r="AS57" s="60"/>
      <c r="AT57" s="60"/>
      <c r="AU57" s="60"/>
      <c r="AV57" s="60"/>
      <c r="AW57" s="60"/>
      <c r="AX57" s="60"/>
      <c r="AY57" s="60"/>
      <c r="AZ57" s="60"/>
      <c r="BA57" s="60"/>
      <c r="BB57" s="60"/>
      <c r="BC57" s="60"/>
      <c r="BD57" s="60"/>
      <c r="BE57" s="60"/>
      <c r="BF57" s="60"/>
      <c r="BG57" s="60"/>
      <c r="BH57" s="60"/>
      <c r="BI57" s="60"/>
    </row>
    <row r="58" spans="1:124" s="23" customFormat="1" ht="21" customHeight="1" thickBot="1" x14ac:dyDescent="0.35">
      <c r="A58" s="82" t="s">
        <v>216</v>
      </c>
      <c r="B58" s="60"/>
      <c r="C58" s="60"/>
      <c r="D58" s="60"/>
      <c r="E58" s="60"/>
      <c r="F58" s="60"/>
      <c r="G58" s="60"/>
      <c r="H58" s="60"/>
      <c r="I58" s="60"/>
      <c r="J58" s="60"/>
      <c r="K58" s="60"/>
      <c r="L58" s="60"/>
      <c r="M58" s="60"/>
      <c r="N58" s="60"/>
      <c r="O58" s="60"/>
      <c r="P58" s="60"/>
      <c r="Q58" s="60"/>
      <c r="R58" s="60"/>
      <c r="S58" s="60"/>
      <c r="T58" s="60"/>
      <c r="U58" s="60"/>
      <c r="V58" s="60"/>
      <c r="W58" s="60"/>
      <c r="X58" s="60"/>
      <c r="Y58" s="60"/>
      <c r="Z58" s="60"/>
      <c r="AA58" s="60"/>
      <c r="AB58" s="60"/>
      <c r="AC58" s="60"/>
      <c r="AD58" s="60"/>
      <c r="AE58" s="60"/>
      <c r="AF58" s="60"/>
      <c r="AG58" s="60"/>
      <c r="AH58" s="60"/>
      <c r="AI58" s="60"/>
      <c r="AJ58" s="60"/>
      <c r="AK58" s="60"/>
      <c r="AL58" s="60"/>
      <c r="AM58" s="60"/>
      <c r="AN58" s="60"/>
      <c r="AO58" s="60"/>
      <c r="AP58" s="60"/>
      <c r="AQ58" s="60"/>
      <c r="AR58" s="60"/>
      <c r="AS58" s="60"/>
      <c r="AT58" s="60"/>
      <c r="AU58" s="60"/>
      <c r="AV58" s="60"/>
      <c r="AW58" s="60"/>
      <c r="AX58" s="60"/>
      <c r="AY58" s="60"/>
      <c r="AZ58" s="60"/>
      <c r="BA58" s="60"/>
      <c r="BB58" s="60"/>
      <c r="BC58" s="60"/>
      <c r="BD58" s="60"/>
      <c r="BE58" s="60"/>
      <c r="BF58" s="60"/>
      <c r="BG58" s="60"/>
      <c r="BH58" s="60"/>
      <c r="BI58" s="60"/>
    </row>
    <row r="59" spans="1:124" s="23" customFormat="1" ht="21" customHeight="1" thickTop="1" x14ac:dyDescent="0.3">
      <c r="A59" s="15" t="s">
        <v>46</v>
      </c>
      <c r="D59" s="60"/>
      <c r="E59" s="60"/>
      <c r="F59" s="60"/>
      <c r="G59" s="60"/>
      <c r="H59" s="60"/>
      <c r="I59" s="60"/>
      <c r="J59" s="60"/>
      <c r="K59" s="60"/>
      <c r="L59" s="60"/>
      <c r="M59" s="60"/>
      <c r="N59" s="60"/>
      <c r="O59" s="60"/>
      <c r="P59" s="60"/>
      <c r="Q59" s="60"/>
      <c r="R59" s="60"/>
      <c r="S59" s="60"/>
      <c r="T59" s="60"/>
      <c r="U59" s="60"/>
      <c r="V59" s="60"/>
      <c r="W59" s="60"/>
      <c r="X59" s="60"/>
      <c r="Y59" s="60"/>
      <c r="Z59" s="60"/>
      <c r="AA59" s="60"/>
      <c r="AB59" s="60"/>
      <c r="AC59" s="60"/>
      <c r="AD59" s="60"/>
      <c r="AE59" s="60"/>
      <c r="AF59" s="60"/>
      <c r="AG59" s="60"/>
      <c r="AH59" s="60"/>
      <c r="AI59" s="60"/>
      <c r="AJ59" s="60"/>
      <c r="AK59" s="60"/>
      <c r="AL59" s="60"/>
      <c r="AM59" s="60"/>
      <c r="AN59" s="60"/>
      <c r="AO59" s="60"/>
      <c r="AP59" s="60"/>
      <c r="AQ59" s="60"/>
      <c r="AR59" s="60"/>
      <c r="AS59" s="60"/>
      <c r="AT59" s="60"/>
      <c r="AU59" s="60"/>
      <c r="AV59" s="60"/>
      <c r="AW59" s="60"/>
      <c r="AX59" s="60"/>
      <c r="AY59" s="60"/>
      <c r="AZ59" s="60"/>
      <c r="BA59" s="60"/>
      <c r="BB59" s="60"/>
      <c r="BC59" s="60"/>
      <c r="BD59" s="60"/>
      <c r="BE59" s="60"/>
      <c r="BF59" s="60"/>
      <c r="BG59" s="60"/>
      <c r="BH59" s="60"/>
      <c r="BI59" s="60"/>
    </row>
    <row r="60" spans="1:124" s="23" customFormat="1" ht="21" customHeight="1" x14ac:dyDescent="0.35">
      <c r="A60" s="15" t="s">
        <v>271</v>
      </c>
      <c r="B60" s="51">
        <f>+Base!B60</f>
        <v>818.98500000000001</v>
      </c>
      <c r="C60" s="60"/>
      <c r="D60" s="60"/>
      <c r="E60" s="60"/>
      <c r="F60" s="60"/>
      <c r="G60" s="60"/>
      <c r="H60" s="60"/>
      <c r="I60" s="60"/>
      <c r="J60" s="60"/>
      <c r="K60" s="60"/>
      <c r="L60" s="60"/>
      <c r="M60" s="60"/>
      <c r="N60" s="60"/>
      <c r="O60" s="60"/>
      <c r="P60" s="60"/>
      <c r="Q60" s="60"/>
      <c r="R60" s="60"/>
      <c r="S60" s="60"/>
      <c r="T60" s="60"/>
      <c r="U60" s="60"/>
      <c r="V60" s="60"/>
      <c r="W60" s="60"/>
      <c r="X60" s="60"/>
      <c r="Y60" s="60"/>
      <c r="Z60" s="60"/>
      <c r="AA60" s="60"/>
      <c r="AB60" s="60"/>
      <c r="AC60" s="60"/>
      <c r="AD60" s="60"/>
      <c r="AE60" s="60"/>
      <c r="AF60" s="60"/>
      <c r="AG60" s="60"/>
      <c r="AH60" s="60"/>
      <c r="AI60" s="60"/>
      <c r="AJ60" s="60"/>
      <c r="AK60" s="60"/>
      <c r="AL60" s="60"/>
      <c r="AM60" s="60"/>
      <c r="AN60" s="60"/>
      <c r="AO60" s="60"/>
      <c r="AP60" s="60"/>
      <c r="AQ60" s="60"/>
      <c r="AR60" s="60"/>
      <c r="AS60" s="60"/>
      <c r="AT60" s="60"/>
      <c r="AU60" s="60"/>
      <c r="AV60" s="60"/>
      <c r="AW60" s="60"/>
      <c r="AX60" s="60"/>
      <c r="AY60" s="60"/>
      <c r="AZ60" s="60"/>
      <c r="BA60" s="60"/>
      <c r="BB60" s="60"/>
      <c r="BC60" s="60"/>
      <c r="BD60" s="60"/>
      <c r="BE60" s="60"/>
      <c r="BF60" s="60"/>
      <c r="BG60" s="60"/>
      <c r="BH60" s="60"/>
      <c r="BI60" s="60"/>
    </row>
    <row r="61" spans="1:124" s="23" customFormat="1" ht="21" customHeight="1" x14ac:dyDescent="0.35">
      <c r="A61" s="15" t="s">
        <v>272</v>
      </c>
      <c r="B61" s="51">
        <f>+Base!B61</f>
        <v>839.64599999999996</v>
      </c>
      <c r="C61" s="60"/>
      <c r="D61" s="60"/>
      <c r="E61" s="60"/>
      <c r="F61" s="60"/>
      <c r="G61" s="60"/>
      <c r="H61" s="60"/>
      <c r="I61" s="60"/>
      <c r="J61" s="60"/>
      <c r="K61" s="60"/>
      <c r="L61" s="60"/>
      <c r="M61" s="60"/>
      <c r="N61" s="60"/>
      <c r="O61" s="60"/>
      <c r="P61" s="60"/>
      <c r="Q61" s="60"/>
      <c r="R61" s="60"/>
      <c r="S61" s="60"/>
      <c r="T61" s="60"/>
      <c r="U61" s="60"/>
      <c r="V61" s="60"/>
      <c r="W61" s="60"/>
      <c r="X61" s="60"/>
      <c r="Y61" s="60"/>
      <c r="Z61" s="60"/>
      <c r="AA61" s="60"/>
      <c r="AB61" s="60"/>
      <c r="AC61" s="60"/>
      <c r="AD61" s="60"/>
      <c r="AE61" s="60"/>
      <c r="AF61" s="60"/>
      <c r="AG61" s="60"/>
      <c r="AH61" s="60"/>
      <c r="AI61" s="60"/>
      <c r="AJ61" s="60"/>
      <c r="AK61" s="60"/>
      <c r="AL61" s="60"/>
      <c r="AM61" s="60"/>
      <c r="AN61" s="60"/>
      <c r="AO61" s="60"/>
      <c r="AP61" s="60"/>
      <c r="AQ61" s="60"/>
      <c r="AR61" s="60"/>
      <c r="AS61" s="60"/>
      <c r="AT61" s="60"/>
      <c r="AU61" s="60"/>
      <c r="AV61" s="60"/>
      <c r="AW61" s="60"/>
      <c r="AX61" s="60"/>
      <c r="AY61" s="60"/>
      <c r="AZ61" s="60"/>
      <c r="BA61" s="60"/>
      <c r="BB61" s="60"/>
      <c r="BC61" s="60"/>
      <c r="BD61" s="60"/>
      <c r="BE61" s="60"/>
      <c r="BF61" s="60"/>
      <c r="BG61" s="60"/>
      <c r="BH61" s="60"/>
      <c r="BI61" s="60"/>
    </row>
    <row r="62" spans="1:124" s="23" customFormat="1" ht="21" customHeight="1" x14ac:dyDescent="0.35">
      <c r="A62" s="15" t="s">
        <v>214</v>
      </c>
      <c r="B62" s="51">
        <f>+Base!B62</f>
        <v>1527</v>
      </c>
      <c r="C62" s="60"/>
      <c r="D62" s="60"/>
      <c r="E62" s="60"/>
      <c r="F62" s="60"/>
      <c r="G62" s="60"/>
      <c r="H62" s="60"/>
      <c r="I62" s="60"/>
      <c r="J62" s="60"/>
      <c r="K62" s="60"/>
      <c r="L62" s="60"/>
      <c r="M62" s="60"/>
      <c r="N62" s="60"/>
      <c r="O62" s="60"/>
      <c r="P62" s="60"/>
      <c r="Q62" s="60"/>
      <c r="R62" s="60"/>
      <c r="S62" s="60"/>
      <c r="T62" s="60"/>
      <c r="U62" s="60"/>
      <c r="V62" s="60"/>
      <c r="W62" s="60"/>
      <c r="X62" s="60"/>
      <c r="Y62" s="60"/>
      <c r="Z62" s="60"/>
      <c r="AA62" s="60"/>
      <c r="AB62" s="60"/>
      <c r="AC62" s="60"/>
      <c r="AD62" s="60"/>
      <c r="AE62" s="60"/>
      <c r="AF62" s="60"/>
      <c r="AG62" s="60"/>
      <c r="AH62" s="60"/>
      <c r="AI62" s="60"/>
      <c r="AJ62" s="60"/>
      <c r="AK62" s="60"/>
      <c r="AL62" s="60"/>
      <c r="AM62" s="60"/>
      <c r="AN62" s="60"/>
      <c r="AO62" s="60"/>
      <c r="AP62" s="60"/>
      <c r="AQ62" s="60"/>
      <c r="AR62" s="60"/>
      <c r="AS62" s="60"/>
      <c r="AT62" s="60"/>
      <c r="AU62" s="60"/>
      <c r="AV62" s="60"/>
      <c r="AW62" s="60"/>
      <c r="AX62" s="60"/>
      <c r="AY62" s="60"/>
      <c r="AZ62" s="60"/>
      <c r="BA62" s="60"/>
      <c r="BB62" s="60"/>
      <c r="BC62" s="60"/>
      <c r="BD62" s="60"/>
      <c r="BE62" s="60"/>
      <c r="BF62" s="60"/>
      <c r="BG62" s="60"/>
      <c r="BH62" s="60"/>
      <c r="BI62" s="60"/>
    </row>
    <row r="63" spans="1:124" s="23" customFormat="1" ht="21" customHeight="1" x14ac:dyDescent="0.35">
      <c r="A63" s="15" t="s">
        <v>215</v>
      </c>
      <c r="B63" s="51">
        <f>+Base!B63</f>
        <v>10010</v>
      </c>
      <c r="C63" s="60"/>
      <c r="D63" s="60"/>
      <c r="E63" s="60"/>
      <c r="F63" s="60"/>
      <c r="G63" s="60"/>
      <c r="H63" s="60"/>
      <c r="I63" s="60"/>
      <c r="J63" s="60"/>
      <c r="K63" s="60"/>
      <c r="L63" s="60"/>
      <c r="M63" s="60"/>
      <c r="N63" s="60"/>
      <c r="O63" s="60"/>
      <c r="P63" s="60"/>
      <c r="Q63" s="60"/>
      <c r="R63" s="60"/>
      <c r="S63" s="60"/>
      <c r="T63" s="60"/>
      <c r="U63" s="60"/>
      <c r="V63" s="60"/>
      <c r="W63" s="60"/>
      <c r="X63" s="60"/>
      <c r="Y63" s="60"/>
      <c r="Z63" s="60"/>
      <c r="AA63" s="60"/>
      <c r="AB63" s="60"/>
      <c r="AC63" s="60"/>
      <c r="AD63" s="60"/>
      <c r="AE63" s="60"/>
      <c r="AF63" s="60"/>
      <c r="AG63" s="60"/>
      <c r="AH63" s="60"/>
      <c r="AI63" s="60"/>
      <c r="AJ63" s="60"/>
      <c r="AK63" s="60"/>
      <c r="AL63" s="60"/>
      <c r="AM63" s="60"/>
      <c r="AN63" s="60"/>
      <c r="AO63" s="60"/>
      <c r="AP63" s="60"/>
      <c r="AQ63" s="60"/>
      <c r="AR63" s="60"/>
      <c r="AS63" s="60"/>
      <c r="AT63" s="60"/>
      <c r="AU63" s="60"/>
      <c r="AV63" s="60"/>
      <c r="AW63" s="60"/>
      <c r="AX63" s="60"/>
      <c r="AY63" s="60"/>
      <c r="AZ63" s="60"/>
      <c r="BA63" s="60"/>
      <c r="BB63" s="60"/>
      <c r="BC63" s="60"/>
      <c r="BD63" s="60"/>
      <c r="BE63" s="60"/>
      <c r="BF63" s="60"/>
      <c r="BG63" s="60"/>
      <c r="BH63" s="60"/>
      <c r="BI63" s="60"/>
    </row>
    <row r="64" spans="1:124" s="23" customFormat="1" ht="21" customHeight="1" thickBot="1" x14ac:dyDescent="0.35">
      <c r="A64" s="82" t="s">
        <v>217</v>
      </c>
      <c r="B64" s="60"/>
      <c r="C64" s="60"/>
      <c r="D64" s="60"/>
      <c r="E64" s="60"/>
      <c r="F64" s="60"/>
      <c r="G64" s="60"/>
      <c r="H64" s="60"/>
      <c r="I64" s="60"/>
      <c r="J64" s="60"/>
      <c r="K64" s="60"/>
      <c r="L64" s="60"/>
      <c r="M64" s="60"/>
      <c r="N64" s="60"/>
      <c r="O64" s="60"/>
      <c r="P64" s="60"/>
      <c r="Q64" s="60"/>
      <c r="R64" s="60"/>
      <c r="S64" s="60"/>
      <c r="T64" s="60"/>
      <c r="U64" s="60"/>
      <c r="V64" s="60"/>
      <c r="W64" s="60"/>
      <c r="X64" s="60"/>
      <c r="Y64" s="60"/>
      <c r="Z64" s="60"/>
      <c r="AA64" s="60"/>
      <c r="AB64" s="60"/>
      <c r="AC64" s="60"/>
      <c r="AD64" s="60"/>
      <c r="AE64" s="60"/>
      <c r="AF64" s="60"/>
      <c r="AG64" s="60"/>
      <c r="AH64" s="60"/>
      <c r="AI64" s="60"/>
      <c r="AJ64" s="60"/>
      <c r="AK64" s="60"/>
      <c r="AL64" s="60"/>
      <c r="AM64" s="60"/>
      <c r="AN64" s="60"/>
      <c r="AO64" s="60"/>
      <c r="AP64" s="60"/>
      <c r="AQ64" s="60"/>
      <c r="AR64" s="60"/>
      <c r="AS64" s="60"/>
      <c r="AT64" s="60"/>
      <c r="AU64" s="60"/>
      <c r="AV64" s="60"/>
      <c r="AW64" s="60"/>
      <c r="AX64" s="60"/>
      <c r="AY64" s="60"/>
      <c r="AZ64" s="60"/>
      <c r="BA64" s="60"/>
      <c r="BB64" s="60"/>
      <c r="BC64" s="60"/>
      <c r="BD64" s="60"/>
      <c r="BE64" s="60"/>
      <c r="BF64" s="60"/>
      <c r="BG64" s="60"/>
      <c r="BH64" s="60"/>
      <c r="BI64" s="60"/>
    </row>
    <row r="65" spans="1:124" s="23" customFormat="1" ht="21" customHeight="1" thickTop="1" x14ac:dyDescent="0.35">
      <c r="A65" s="15" t="s">
        <v>218</v>
      </c>
      <c r="B65" s="51">
        <f>+Base!B65</f>
        <v>91.2</v>
      </c>
      <c r="C65" s="60"/>
      <c r="D65" s="60"/>
      <c r="E65" s="60"/>
      <c r="F65" s="60"/>
      <c r="G65" s="60"/>
      <c r="H65" s="60"/>
      <c r="I65" s="60"/>
      <c r="J65" s="60"/>
      <c r="K65" s="60"/>
      <c r="L65" s="60"/>
      <c r="M65" s="60"/>
      <c r="N65" s="60"/>
      <c r="O65" s="60"/>
      <c r="P65" s="60"/>
      <c r="Q65" s="60"/>
      <c r="R65" s="60"/>
      <c r="S65" s="60"/>
      <c r="T65" s="60"/>
      <c r="U65" s="60"/>
      <c r="V65" s="60"/>
      <c r="W65" s="60"/>
      <c r="X65" s="60"/>
      <c r="Y65" s="60"/>
      <c r="Z65" s="60"/>
      <c r="AA65" s="60"/>
      <c r="AB65" s="60"/>
      <c r="AC65" s="60"/>
      <c r="AD65" s="60"/>
      <c r="AE65" s="60"/>
      <c r="AF65" s="60"/>
      <c r="AG65" s="60"/>
      <c r="AH65" s="60"/>
      <c r="AI65" s="60"/>
      <c r="AJ65" s="60"/>
      <c r="AK65" s="60"/>
      <c r="AL65" s="60"/>
      <c r="AM65" s="60"/>
      <c r="AN65" s="60"/>
      <c r="AO65" s="60"/>
      <c r="AP65" s="60"/>
      <c r="AQ65" s="60"/>
      <c r="AR65" s="60"/>
      <c r="AS65" s="60"/>
      <c r="AT65" s="60"/>
      <c r="AU65" s="60"/>
      <c r="AV65" s="60"/>
      <c r="AW65" s="60"/>
      <c r="AX65" s="60"/>
      <c r="AY65" s="60"/>
      <c r="AZ65" s="60"/>
      <c r="BA65" s="60"/>
      <c r="BB65" s="60"/>
      <c r="BC65" s="60"/>
      <c r="BD65" s="60"/>
      <c r="BE65" s="60"/>
      <c r="BF65" s="60"/>
      <c r="BG65" s="60"/>
      <c r="BH65" s="60"/>
      <c r="BI65" s="60"/>
    </row>
    <row r="66" spans="1:124" s="23" customFormat="1" ht="21" customHeight="1" x14ac:dyDescent="0.35">
      <c r="A66" s="15" t="s">
        <v>219</v>
      </c>
      <c r="B66" s="51">
        <f>+Base!B66</f>
        <v>3.8328888888888892</v>
      </c>
      <c r="C66" s="60"/>
      <c r="D66" s="60"/>
      <c r="E66" s="60"/>
      <c r="F66" s="60"/>
      <c r="G66" s="60"/>
      <c r="H66" s="60"/>
      <c r="I66" s="60"/>
      <c r="J66" s="60"/>
      <c r="K66" s="60"/>
      <c r="L66" s="60"/>
      <c r="M66" s="60"/>
      <c r="N66" s="60"/>
      <c r="O66" s="60"/>
      <c r="P66" s="60"/>
      <c r="Q66" s="60"/>
      <c r="R66" s="60"/>
      <c r="S66" s="60"/>
      <c r="T66" s="60"/>
      <c r="U66" s="60"/>
      <c r="V66" s="60"/>
      <c r="W66" s="60"/>
      <c r="X66" s="60"/>
      <c r="Y66" s="60"/>
      <c r="Z66" s="60"/>
      <c r="AA66" s="60"/>
      <c r="AB66" s="60"/>
      <c r="AC66" s="60"/>
      <c r="AD66" s="60"/>
      <c r="AE66" s="60"/>
      <c r="AF66" s="60"/>
      <c r="AG66" s="60"/>
      <c r="AH66" s="60"/>
      <c r="AI66" s="60"/>
      <c r="AJ66" s="60"/>
      <c r="AK66" s="60"/>
      <c r="AL66" s="60"/>
      <c r="AM66" s="60"/>
      <c r="AN66" s="60"/>
      <c r="AO66" s="60"/>
      <c r="AP66" s="60"/>
      <c r="AQ66" s="60"/>
      <c r="AR66" s="60"/>
      <c r="AS66" s="60"/>
      <c r="AT66" s="60"/>
      <c r="AU66" s="60"/>
      <c r="AV66" s="60"/>
      <c r="AW66" s="60"/>
      <c r="AX66" s="60"/>
      <c r="AY66" s="60"/>
      <c r="AZ66" s="60"/>
      <c r="BA66" s="60"/>
      <c r="BB66" s="60"/>
      <c r="BC66" s="60"/>
      <c r="BD66" s="60"/>
      <c r="BE66" s="60"/>
      <c r="BF66" s="60"/>
      <c r="BG66" s="60"/>
      <c r="BH66" s="60"/>
      <c r="BI66" s="60"/>
    </row>
    <row r="67" spans="1:124" s="23" customFormat="1" ht="21" customHeight="1" x14ac:dyDescent="0.35">
      <c r="A67" s="15" t="s">
        <v>220</v>
      </c>
      <c r="B67" s="51">
        <f>+Base!B67</f>
        <v>8.8000000000000007</v>
      </c>
      <c r="C67" s="60"/>
      <c r="D67" s="60"/>
      <c r="E67" s="60"/>
      <c r="F67" s="60"/>
      <c r="G67" s="60"/>
      <c r="H67" s="60"/>
      <c r="I67" s="60"/>
      <c r="J67" s="60"/>
      <c r="K67" s="60"/>
      <c r="L67" s="60"/>
      <c r="M67" s="60"/>
      <c r="N67" s="60"/>
      <c r="O67" s="60"/>
      <c r="P67" s="60"/>
      <c r="Q67" s="60"/>
      <c r="R67" s="60"/>
      <c r="S67" s="60"/>
      <c r="T67" s="60"/>
      <c r="U67" s="60"/>
      <c r="V67" s="60"/>
      <c r="W67" s="60"/>
      <c r="X67" s="60"/>
      <c r="Y67" s="60"/>
      <c r="Z67" s="60"/>
      <c r="AA67" s="60"/>
      <c r="AB67" s="60"/>
      <c r="AC67" s="60"/>
      <c r="AD67" s="60"/>
      <c r="AE67" s="60"/>
      <c r="AF67" s="60"/>
      <c r="AG67" s="60"/>
      <c r="AH67" s="60"/>
      <c r="AI67" s="60"/>
      <c r="AJ67" s="60"/>
      <c r="AK67" s="60"/>
      <c r="AL67" s="60"/>
      <c r="AM67" s="60"/>
      <c r="AN67" s="60"/>
      <c r="AO67" s="60"/>
      <c r="AP67" s="60"/>
      <c r="AQ67" s="60"/>
      <c r="AR67" s="60"/>
      <c r="AS67" s="60"/>
      <c r="AT67" s="60"/>
      <c r="AU67" s="60"/>
      <c r="AV67" s="60"/>
      <c r="AW67" s="60"/>
      <c r="AX67" s="60"/>
      <c r="AY67" s="60"/>
      <c r="AZ67" s="60"/>
      <c r="BA67" s="60"/>
      <c r="BB67" s="60"/>
      <c r="BC67" s="60"/>
      <c r="BD67" s="60"/>
      <c r="BE67" s="60"/>
      <c r="BF67" s="60"/>
      <c r="BG67" s="60"/>
      <c r="BH67" s="60"/>
      <c r="BI67" s="60"/>
    </row>
    <row r="68" spans="1:124" s="23" customFormat="1" ht="21" customHeight="1" x14ac:dyDescent="0.35">
      <c r="A68" s="15" t="s">
        <v>224</v>
      </c>
      <c r="B68" s="51">
        <f>+Base!B68</f>
        <v>95.917111111111112</v>
      </c>
      <c r="C68" s="60"/>
      <c r="D68" s="60"/>
      <c r="E68" s="60"/>
      <c r="F68" s="60"/>
      <c r="G68" s="60"/>
      <c r="H68" s="60"/>
      <c r="I68" s="60"/>
      <c r="J68" s="60"/>
      <c r="K68" s="60"/>
      <c r="L68" s="60"/>
      <c r="M68" s="60"/>
      <c r="N68" s="60"/>
      <c r="O68" s="60"/>
      <c r="P68" s="60"/>
      <c r="Q68" s="60"/>
      <c r="R68" s="60"/>
      <c r="S68" s="60"/>
      <c r="T68" s="60"/>
      <c r="U68" s="60"/>
      <c r="V68" s="60"/>
      <c r="W68" s="60"/>
      <c r="X68" s="60"/>
      <c r="Y68" s="60"/>
      <c r="Z68" s="60"/>
      <c r="AA68" s="60"/>
      <c r="AB68" s="60"/>
      <c r="AC68" s="60"/>
      <c r="AD68" s="60"/>
      <c r="AE68" s="60"/>
      <c r="AF68" s="60"/>
      <c r="AG68" s="60"/>
      <c r="AH68" s="60"/>
      <c r="AI68" s="60"/>
      <c r="AJ68" s="60"/>
      <c r="AK68" s="60"/>
      <c r="AL68" s="60"/>
      <c r="AM68" s="60"/>
      <c r="AN68" s="60"/>
      <c r="AO68" s="60"/>
      <c r="AP68" s="60"/>
      <c r="AQ68" s="60"/>
      <c r="AR68" s="60"/>
      <c r="AS68" s="60"/>
      <c r="AT68" s="60"/>
      <c r="AU68" s="60"/>
      <c r="AV68" s="60"/>
      <c r="AW68" s="60"/>
      <c r="AX68" s="60"/>
      <c r="AY68" s="60"/>
      <c r="AZ68" s="60"/>
      <c r="BA68" s="60"/>
      <c r="BB68" s="60"/>
      <c r="BC68" s="60"/>
      <c r="BD68" s="60"/>
      <c r="BE68" s="60"/>
      <c r="BF68" s="60"/>
      <c r="BG68" s="60"/>
      <c r="BH68" s="60"/>
      <c r="BI68" s="60"/>
    </row>
    <row r="69" spans="1:124" s="23" customFormat="1" ht="21" customHeight="1" x14ac:dyDescent="0.35">
      <c r="A69" s="15" t="s">
        <v>221</v>
      </c>
      <c r="B69" s="51">
        <f>+Base!B69</f>
        <v>3.3750000000000002E-2</v>
      </c>
      <c r="C69" s="60"/>
      <c r="D69" s="60"/>
      <c r="E69" s="60"/>
      <c r="F69" s="60"/>
      <c r="G69" s="60"/>
      <c r="H69" s="60"/>
      <c r="I69" s="60"/>
      <c r="J69" s="60"/>
      <c r="K69" s="60"/>
      <c r="L69" s="60"/>
      <c r="M69" s="60"/>
      <c r="N69" s="60"/>
      <c r="O69" s="60"/>
      <c r="P69" s="60"/>
      <c r="Q69" s="60"/>
      <c r="R69" s="60"/>
      <c r="S69" s="60"/>
      <c r="T69" s="60"/>
      <c r="U69" s="60"/>
      <c r="V69" s="60"/>
      <c r="W69" s="60"/>
      <c r="X69" s="60"/>
      <c r="Y69" s="60"/>
      <c r="Z69" s="60"/>
      <c r="AA69" s="60"/>
      <c r="AB69" s="60"/>
      <c r="AC69" s="60"/>
      <c r="AD69" s="60"/>
      <c r="AE69" s="60"/>
      <c r="AF69" s="60"/>
      <c r="AG69" s="60"/>
      <c r="AH69" s="60"/>
      <c r="AI69" s="60"/>
      <c r="AJ69" s="60"/>
      <c r="AK69" s="60"/>
      <c r="AL69" s="60"/>
      <c r="AM69" s="60"/>
      <c r="AN69" s="60"/>
      <c r="AO69" s="60"/>
      <c r="AP69" s="60"/>
      <c r="AQ69" s="60"/>
      <c r="AR69" s="60"/>
      <c r="AS69" s="60"/>
      <c r="AT69" s="60"/>
      <c r="AU69" s="60"/>
      <c r="AV69" s="60"/>
      <c r="AW69" s="60"/>
      <c r="AX69" s="60"/>
      <c r="AY69" s="60"/>
      <c r="AZ69" s="60"/>
      <c r="BA69" s="60"/>
      <c r="BB69" s="60"/>
      <c r="BC69" s="60"/>
      <c r="BD69" s="60"/>
      <c r="BE69" s="60"/>
      <c r="BF69" s="60"/>
      <c r="BG69" s="60"/>
      <c r="BH69" s="60"/>
      <c r="BI69" s="60"/>
    </row>
    <row r="70" spans="1:124" s="23" customFormat="1" ht="21" customHeight="1" x14ac:dyDescent="0.35">
      <c r="A70" s="15" t="s">
        <v>222</v>
      </c>
      <c r="B70" s="51">
        <f>+Base!B70</f>
        <v>0.25</v>
      </c>
      <c r="C70" s="60"/>
      <c r="D70" s="60"/>
      <c r="E70" s="60"/>
      <c r="F70" s="60"/>
      <c r="G70" s="60"/>
      <c r="H70" s="60"/>
      <c r="I70" s="60"/>
      <c r="J70" s="60"/>
      <c r="K70" s="60"/>
      <c r="L70" s="60"/>
      <c r="M70" s="60"/>
      <c r="N70" s="60"/>
      <c r="O70" s="60"/>
      <c r="P70" s="60"/>
      <c r="Q70" s="60"/>
      <c r="R70" s="60"/>
      <c r="S70" s="60"/>
      <c r="T70" s="60"/>
      <c r="U70" s="60"/>
      <c r="V70" s="60"/>
      <c r="W70" s="60"/>
      <c r="X70" s="60"/>
      <c r="Y70" s="60"/>
      <c r="Z70" s="60"/>
      <c r="AA70" s="60"/>
      <c r="AB70" s="60"/>
      <c r="AC70" s="60"/>
      <c r="AD70" s="60"/>
      <c r="AE70" s="60"/>
      <c r="AF70" s="60"/>
      <c r="AG70" s="60"/>
      <c r="AH70" s="60"/>
      <c r="AI70" s="60"/>
      <c r="AJ70" s="60"/>
      <c r="AK70" s="60"/>
      <c r="AL70" s="60"/>
      <c r="AM70" s="60"/>
      <c r="AN70" s="60"/>
      <c r="AO70" s="60"/>
      <c r="AP70" s="60"/>
      <c r="AQ70" s="60"/>
      <c r="AR70" s="60"/>
      <c r="AS70" s="60"/>
      <c r="AT70" s="60"/>
      <c r="AU70" s="60"/>
      <c r="AV70" s="60"/>
      <c r="AW70" s="60"/>
      <c r="AX70" s="60"/>
      <c r="AY70" s="60"/>
      <c r="AZ70" s="60"/>
      <c r="BA70" s="60"/>
      <c r="BB70" s="60"/>
      <c r="BC70" s="60"/>
      <c r="BD70" s="60"/>
      <c r="BE70" s="60"/>
      <c r="BF70" s="60"/>
      <c r="BG70" s="60"/>
      <c r="BH70" s="60"/>
      <c r="BI70" s="60"/>
    </row>
    <row r="71" spans="1:124" s="23" customFormat="1" ht="21" customHeight="1" x14ac:dyDescent="0.35">
      <c r="A71" s="15" t="s">
        <v>223</v>
      </c>
      <c r="B71" s="51">
        <f>+Base!B71</f>
        <v>99.966250000000002</v>
      </c>
      <c r="C71" s="60"/>
      <c r="D71" s="60"/>
      <c r="E71" s="60"/>
      <c r="F71" s="60"/>
      <c r="G71" s="60"/>
      <c r="H71" s="60"/>
      <c r="I71" s="60"/>
      <c r="J71" s="60"/>
      <c r="K71" s="60"/>
      <c r="L71" s="60"/>
      <c r="M71" s="60"/>
      <c r="N71" s="60"/>
      <c r="O71" s="60"/>
      <c r="P71" s="60"/>
      <c r="Q71" s="60"/>
      <c r="R71" s="60"/>
      <c r="S71" s="60"/>
      <c r="T71" s="60"/>
      <c r="U71" s="60"/>
      <c r="V71" s="60"/>
      <c r="W71" s="60"/>
      <c r="X71" s="60"/>
      <c r="Y71" s="60"/>
      <c r="Z71" s="60"/>
      <c r="AA71" s="60"/>
      <c r="AB71" s="60"/>
      <c r="AC71" s="60"/>
      <c r="AD71" s="60"/>
      <c r="AE71" s="60"/>
      <c r="AF71" s="60"/>
      <c r="AG71" s="60"/>
      <c r="AH71" s="60"/>
      <c r="AI71" s="60"/>
      <c r="AJ71" s="60"/>
      <c r="AK71" s="60"/>
      <c r="AL71" s="60"/>
      <c r="AM71" s="60"/>
      <c r="AN71" s="60"/>
      <c r="AO71" s="60"/>
      <c r="AP71" s="60"/>
      <c r="AQ71" s="60"/>
      <c r="AR71" s="60"/>
      <c r="AS71" s="60"/>
      <c r="AT71" s="60"/>
      <c r="AU71" s="60"/>
      <c r="AV71" s="60"/>
      <c r="AW71" s="60"/>
      <c r="AX71" s="60"/>
      <c r="AY71" s="60"/>
      <c r="AZ71" s="60"/>
      <c r="BA71" s="60"/>
      <c r="BB71" s="60"/>
      <c r="BC71" s="60"/>
      <c r="BD71" s="60"/>
      <c r="BE71" s="60"/>
      <c r="BF71" s="60"/>
      <c r="BG71" s="60"/>
      <c r="BH71" s="60"/>
      <c r="BI71" s="60"/>
    </row>
    <row r="72" spans="1:124" s="23" customFormat="1" ht="21" customHeight="1" thickBot="1" x14ac:dyDescent="0.35">
      <c r="A72" s="82" t="s">
        <v>225</v>
      </c>
      <c r="B72" s="60"/>
      <c r="C72" s="60"/>
      <c r="D72" s="60"/>
      <c r="E72" s="60"/>
      <c r="F72" s="60"/>
      <c r="G72" s="60"/>
      <c r="H72" s="60"/>
      <c r="I72" s="60"/>
      <c r="J72" s="60"/>
      <c r="K72" s="60"/>
      <c r="L72" s="60"/>
      <c r="M72" s="60"/>
      <c r="N72" s="60"/>
      <c r="O72" s="60"/>
      <c r="P72" s="60"/>
      <c r="Q72" s="60"/>
      <c r="R72" s="60"/>
      <c r="S72" s="60"/>
      <c r="T72" s="60"/>
      <c r="U72" s="60"/>
      <c r="V72" s="60"/>
      <c r="W72" s="60"/>
      <c r="X72" s="60"/>
      <c r="Y72" s="60"/>
      <c r="Z72" s="60"/>
      <c r="AA72" s="60"/>
      <c r="AB72" s="60"/>
      <c r="AC72" s="60"/>
      <c r="AD72" s="60"/>
      <c r="AE72" s="60"/>
      <c r="AF72" s="60"/>
      <c r="AG72" s="60"/>
      <c r="AH72" s="60"/>
      <c r="AI72" s="60"/>
      <c r="AJ72" s="60"/>
      <c r="AK72" s="60"/>
      <c r="AL72" s="60"/>
      <c r="AM72" s="60"/>
      <c r="AN72" s="60"/>
      <c r="AO72" s="60"/>
      <c r="AP72" s="60"/>
      <c r="AQ72" s="60"/>
      <c r="AR72" s="60"/>
      <c r="AS72" s="60"/>
      <c r="AT72" s="60"/>
      <c r="AU72" s="60"/>
      <c r="AV72" s="60"/>
      <c r="AW72" s="60"/>
      <c r="AX72" s="60"/>
      <c r="AY72" s="60"/>
      <c r="AZ72" s="60"/>
      <c r="BA72" s="60"/>
      <c r="BB72" s="60"/>
      <c r="BC72" s="60"/>
      <c r="BD72" s="60"/>
      <c r="BE72" s="60"/>
      <c r="BF72" s="60"/>
      <c r="BG72" s="60"/>
      <c r="BH72" s="60"/>
      <c r="BI72" s="60"/>
    </row>
    <row r="73" spans="1:124" s="23" customFormat="1" ht="21" customHeight="1" thickTop="1" x14ac:dyDescent="0.35">
      <c r="A73" s="15" t="s">
        <v>42</v>
      </c>
      <c r="B73" s="51">
        <f>+Base!B73</f>
        <v>7.9999999999999932E-3</v>
      </c>
      <c r="C73" s="51">
        <f>+Base!C73</f>
        <v>4.1999999999999982E-2</v>
      </c>
      <c r="D73" s="51">
        <f>+Base!D73</f>
        <v>7.5999999999999984E-2</v>
      </c>
      <c r="E73" s="51">
        <f>+Base!E73</f>
        <v>0.10999999999999999</v>
      </c>
      <c r="F73" s="51">
        <f>+Base!F73</f>
        <v>0.14399999999999996</v>
      </c>
      <c r="G73" s="51">
        <f>+Base!G73</f>
        <v>0.17799999999999996</v>
      </c>
      <c r="H73" s="51">
        <f>+Base!H73</f>
        <v>0.21199999999999997</v>
      </c>
      <c r="I73" s="51">
        <f>+Base!I73</f>
        <v>0.24599999999999994</v>
      </c>
      <c r="J73" s="51">
        <f>+Base!J73</f>
        <v>0.27999999999999997</v>
      </c>
      <c r="K73" s="51">
        <f>+Base!K73</f>
        <v>0.31399999999999995</v>
      </c>
      <c r="L73" s="51">
        <f>+Base!L73</f>
        <v>0.34799999999999992</v>
      </c>
      <c r="M73" s="51">
        <f>+Base!M73</f>
        <v>0.38199999999999995</v>
      </c>
      <c r="N73" s="51">
        <f>+Base!N73</f>
        <v>0.41599999999999993</v>
      </c>
      <c r="O73" s="51">
        <f>+Base!O73</f>
        <v>0.4499999999999999</v>
      </c>
      <c r="P73" s="51">
        <f>+Base!P73</f>
        <v>0.48399999999999993</v>
      </c>
      <c r="Q73" s="51">
        <f>+Base!Q73</f>
        <v>0.51800000000000002</v>
      </c>
      <c r="R73" s="51">
        <f>+Base!R73</f>
        <v>0.55199999999999982</v>
      </c>
      <c r="S73" s="51">
        <f>+Base!S73</f>
        <v>0.58599999999999985</v>
      </c>
      <c r="T73" s="51">
        <f>+Base!T73</f>
        <v>0.62</v>
      </c>
      <c r="U73" s="51">
        <f>+Base!U73</f>
        <v>0.62</v>
      </c>
      <c r="V73" s="51">
        <f>+Base!V73</f>
        <v>0.62</v>
      </c>
      <c r="W73" s="51">
        <f>+Base!W73</f>
        <v>0.62</v>
      </c>
      <c r="X73" s="51">
        <f>+Base!X73</f>
        <v>0.62</v>
      </c>
      <c r="Y73" s="51">
        <f>+Base!Y73</f>
        <v>0.62</v>
      </c>
      <c r="Z73" s="51">
        <f>+Base!Z73</f>
        <v>0.62</v>
      </c>
      <c r="AA73" s="51">
        <f>+Base!AA73</f>
        <v>0.62</v>
      </c>
      <c r="AB73" s="51">
        <f>+Base!AB73</f>
        <v>0.62</v>
      </c>
      <c r="AC73" s="51">
        <f>+Base!AC73</f>
        <v>0.62</v>
      </c>
      <c r="AD73" s="51">
        <f>+Base!AD73</f>
        <v>0.62</v>
      </c>
      <c r="AE73" s="51">
        <f>+Base!AE73</f>
        <v>0.62</v>
      </c>
      <c r="AF73" s="51">
        <f>+Base!AF73</f>
        <v>0.62</v>
      </c>
      <c r="AG73" s="51">
        <f>+Base!AG73</f>
        <v>0.62</v>
      </c>
      <c r="AH73" s="51">
        <f>+Base!AH73</f>
        <v>0.62</v>
      </c>
      <c r="AI73" s="51">
        <f>+Base!AI73</f>
        <v>0.62</v>
      </c>
      <c r="AJ73" s="51">
        <f>+Base!AJ73</f>
        <v>0.62</v>
      </c>
      <c r="AK73" s="51">
        <f>+Base!AK73</f>
        <v>0.62</v>
      </c>
      <c r="AL73" s="51">
        <f>+Base!AL73</f>
        <v>0.62</v>
      </c>
      <c r="AM73" s="51">
        <f>+Base!AM73</f>
        <v>0.62</v>
      </c>
      <c r="AN73" s="51">
        <f>+Base!AN73</f>
        <v>0.62</v>
      </c>
      <c r="AO73" s="51">
        <f>+Base!AO73</f>
        <v>0.62</v>
      </c>
      <c r="AP73" s="51">
        <f>+Base!AP73</f>
        <v>0.62</v>
      </c>
      <c r="AQ73" s="51">
        <f>+Base!AQ73</f>
        <v>0.62</v>
      </c>
      <c r="AR73" s="51">
        <f>+Base!AR73</f>
        <v>0.62</v>
      </c>
      <c r="AS73" s="51">
        <f>+Base!AS73</f>
        <v>0.62</v>
      </c>
      <c r="AT73" s="51">
        <f>+Base!AT73</f>
        <v>0.62</v>
      </c>
      <c r="AU73" s="51">
        <f>+Base!AU73</f>
        <v>0.62</v>
      </c>
      <c r="AV73" s="51">
        <f>+Base!AV73</f>
        <v>0.62</v>
      </c>
      <c r="AW73" s="51">
        <f>+Base!AW73</f>
        <v>0.62</v>
      </c>
      <c r="AX73" s="51">
        <f>+Base!AX73</f>
        <v>0.62</v>
      </c>
      <c r="AY73" s="51">
        <f>+Base!AY73</f>
        <v>0.62</v>
      </c>
      <c r="AZ73" s="51">
        <f>+Base!AZ73</f>
        <v>0.62</v>
      </c>
      <c r="BA73" s="51">
        <f>+Base!BA73</f>
        <v>0.62</v>
      </c>
      <c r="BB73" s="51">
        <f>+Base!BB73</f>
        <v>0.62</v>
      </c>
      <c r="BC73" s="51">
        <f>+Base!BC73</f>
        <v>0.62</v>
      </c>
      <c r="BD73" s="51">
        <f>+Base!BD73</f>
        <v>0.62</v>
      </c>
      <c r="BE73" s="51">
        <f>+Base!BE73</f>
        <v>0.62</v>
      </c>
      <c r="BF73" s="51">
        <f>+Base!BF73</f>
        <v>0.62</v>
      </c>
      <c r="BG73" s="51">
        <f>+Base!BG73</f>
        <v>0.62</v>
      </c>
      <c r="BH73" s="51">
        <f>+Base!BH73</f>
        <v>0.62</v>
      </c>
      <c r="BI73" s="51">
        <f>+Base!BI73</f>
        <v>0.62</v>
      </c>
      <c r="BJ73" s="60"/>
      <c r="BK73" s="60"/>
      <c r="BL73" s="60"/>
      <c r="BM73" s="60"/>
      <c r="BN73" s="60"/>
      <c r="BO73" s="60"/>
      <c r="BP73" s="60"/>
      <c r="BQ73" s="60"/>
      <c r="BR73" s="60"/>
      <c r="BS73" s="60"/>
      <c r="BT73" s="60"/>
      <c r="BU73" s="60"/>
      <c r="BV73" s="60"/>
      <c r="BW73" s="60"/>
      <c r="BX73" s="60"/>
      <c r="BY73" s="60"/>
      <c r="BZ73" s="60"/>
      <c r="CA73" s="60"/>
      <c r="CB73" s="60"/>
      <c r="CC73" s="60"/>
      <c r="CD73" s="60"/>
      <c r="CE73" s="60"/>
      <c r="CF73" s="60"/>
      <c r="CG73" s="60"/>
      <c r="CH73" s="60"/>
      <c r="CI73" s="60"/>
      <c r="CJ73" s="60"/>
      <c r="CK73" s="60"/>
      <c r="CL73" s="60"/>
      <c r="CM73" s="60"/>
      <c r="CN73" s="60"/>
      <c r="CO73" s="60"/>
      <c r="CP73" s="60"/>
      <c r="CQ73" s="60"/>
      <c r="CR73" s="60"/>
      <c r="CS73" s="60"/>
      <c r="CT73" s="60"/>
      <c r="CU73" s="60"/>
      <c r="CV73" s="60"/>
      <c r="CW73" s="60"/>
      <c r="CX73" s="60"/>
      <c r="CY73" s="60"/>
      <c r="CZ73" s="60"/>
      <c r="DA73" s="60"/>
      <c r="DB73" s="60"/>
      <c r="DC73" s="60"/>
      <c r="DD73" s="60"/>
      <c r="DE73" s="60"/>
      <c r="DF73" s="60"/>
      <c r="DG73" s="60"/>
      <c r="DH73" s="60"/>
      <c r="DI73" s="60"/>
      <c r="DJ73" s="60"/>
      <c r="DK73" s="60"/>
      <c r="DL73" s="60"/>
      <c r="DM73" s="60"/>
      <c r="DN73" s="60"/>
      <c r="DO73" s="60"/>
      <c r="DP73" s="60"/>
      <c r="DQ73" s="60"/>
      <c r="DR73" s="60"/>
      <c r="DS73" s="60"/>
      <c r="DT73" s="60"/>
    </row>
    <row r="74" spans="1:124" s="23" customFormat="1" ht="21" customHeight="1" x14ac:dyDescent="0.35">
      <c r="A74" s="15" t="s">
        <v>186</v>
      </c>
      <c r="B74" s="51">
        <f>+Base!B74</f>
        <v>-0.06</v>
      </c>
      <c r="C74" s="60"/>
      <c r="D74" s="60"/>
      <c r="E74" s="60"/>
      <c r="F74" s="60"/>
      <c r="G74" s="60"/>
      <c r="H74" s="60"/>
      <c r="I74" s="60"/>
      <c r="J74" s="60"/>
      <c r="K74" s="60"/>
      <c r="L74" s="60"/>
      <c r="M74" s="60"/>
      <c r="N74" s="60"/>
      <c r="O74" s="60"/>
      <c r="P74" s="60"/>
      <c r="Q74" s="60"/>
      <c r="R74" s="60"/>
      <c r="S74" s="60"/>
      <c r="T74" s="60"/>
      <c r="U74" s="60"/>
      <c r="V74" s="60"/>
      <c r="W74" s="60"/>
      <c r="X74" s="60"/>
      <c r="Y74" s="60"/>
      <c r="Z74" s="60"/>
      <c r="AA74" s="60"/>
      <c r="AB74" s="60"/>
      <c r="AC74" s="60"/>
      <c r="AD74" s="60"/>
      <c r="AE74" s="60"/>
      <c r="AF74" s="60"/>
      <c r="AG74" s="60"/>
      <c r="AH74" s="60"/>
      <c r="AI74" s="60"/>
      <c r="AJ74" s="60"/>
      <c r="AK74" s="60"/>
      <c r="AL74" s="60"/>
      <c r="AM74" s="60"/>
      <c r="AN74" s="60"/>
      <c r="AO74" s="60"/>
      <c r="AP74" s="60"/>
      <c r="AQ74" s="60"/>
      <c r="AR74" s="60"/>
      <c r="AS74" s="60"/>
      <c r="AT74" s="60"/>
      <c r="AU74" s="60"/>
      <c r="AV74" s="60"/>
      <c r="AW74" s="60"/>
      <c r="AX74" s="60"/>
      <c r="AY74" s="60"/>
      <c r="AZ74" s="60"/>
      <c r="BA74" s="60"/>
      <c r="BB74" s="60"/>
      <c r="BC74" s="60"/>
      <c r="BD74" s="60"/>
      <c r="BE74" s="60"/>
      <c r="BF74" s="60"/>
      <c r="BG74" s="60"/>
      <c r="BH74" s="60"/>
      <c r="BI74" s="60"/>
    </row>
    <row r="75" spans="1:124" s="23" customFormat="1" ht="21" customHeight="1" x14ac:dyDescent="0.35">
      <c r="A75" s="15" t="s">
        <v>187</v>
      </c>
      <c r="B75" s="51">
        <f>+Base!B75</f>
        <v>0.62</v>
      </c>
      <c r="C75" s="60"/>
      <c r="D75" s="60"/>
      <c r="E75" s="60"/>
      <c r="F75" s="60"/>
      <c r="G75" s="60"/>
      <c r="H75" s="60"/>
      <c r="I75" s="60"/>
      <c r="J75" s="60"/>
      <c r="K75" s="60"/>
      <c r="L75" s="60"/>
      <c r="M75" s="60"/>
      <c r="N75" s="60"/>
      <c r="O75" s="60"/>
      <c r="P75" s="60"/>
      <c r="Q75" s="60"/>
      <c r="R75" s="60"/>
      <c r="S75" s="60"/>
      <c r="T75" s="60"/>
      <c r="U75" s="60"/>
      <c r="V75" s="60"/>
      <c r="W75" s="60"/>
      <c r="X75" s="60"/>
      <c r="Y75" s="60"/>
      <c r="Z75" s="60"/>
      <c r="AA75" s="60"/>
      <c r="AB75" s="60"/>
      <c r="AC75" s="60"/>
      <c r="AD75" s="60"/>
      <c r="AE75" s="60"/>
      <c r="AF75" s="60"/>
      <c r="AG75" s="60"/>
      <c r="AH75" s="60"/>
      <c r="AI75" s="60"/>
      <c r="AJ75" s="60"/>
      <c r="AK75" s="60"/>
      <c r="AL75" s="60"/>
      <c r="AM75" s="60"/>
      <c r="AN75" s="60"/>
      <c r="AO75" s="60"/>
      <c r="AP75" s="60"/>
      <c r="AQ75" s="60"/>
      <c r="AR75" s="60"/>
      <c r="AS75" s="60"/>
      <c r="AT75" s="60"/>
      <c r="AU75" s="60"/>
      <c r="AV75" s="60"/>
      <c r="AW75" s="60"/>
      <c r="AX75" s="60"/>
      <c r="AY75" s="60"/>
      <c r="AZ75" s="60"/>
      <c r="BA75" s="60"/>
      <c r="BB75" s="60"/>
      <c r="BC75" s="60"/>
      <c r="BD75" s="60"/>
      <c r="BE75" s="60"/>
      <c r="BF75" s="60"/>
      <c r="BG75" s="60"/>
      <c r="BH75" s="60"/>
      <c r="BI75" s="60"/>
    </row>
    <row r="76" spans="1:124" s="23" customFormat="1" ht="21" customHeight="1" x14ac:dyDescent="0.35">
      <c r="A76" s="15" t="s">
        <v>188</v>
      </c>
      <c r="B76" s="51">
        <f>+Base!B76</f>
        <v>0.83</v>
      </c>
      <c r="C76" s="60"/>
      <c r="D76" s="60"/>
      <c r="E76" s="60"/>
      <c r="F76" s="60"/>
      <c r="G76" s="60"/>
      <c r="H76" s="60"/>
      <c r="I76" s="60"/>
      <c r="J76" s="60"/>
      <c r="K76" s="60"/>
      <c r="L76" s="60"/>
      <c r="M76" s="60"/>
      <c r="N76" s="60"/>
      <c r="O76" s="60"/>
      <c r="P76" s="60"/>
      <c r="Q76" s="60"/>
      <c r="R76" s="60"/>
      <c r="S76" s="60"/>
      <c r="T76" s="60"/>
      <c r="U76" s="60"/>
      <c r="V76" s="60"/>
      <c r="W76" s="60"/>
      <c r="X76" s="60"/>
      <c r="Y76" s="60"/>
      <c r="Z76" s="60"/>
      <c r="AA76" s="60"/>
      <c r="AB76" s="60"/>
      <c r="AC76" s="60"/>
      <c r="AD76" s="60"/>
      <c r="AE76" s="60"/>
      <c r="AF76" s="60"/>
      <c r="AG76" s="60"/>
      <c r="AH76" s="60"/>
      <c r="AI76" s="60"/>
      <c r="AJ76" s="60"/>
      <c r="AK76" s="60"/>
      <c r="AL76" s="60"/>
      <c r="AM76" s="60"/>
      <c r="AN76" s="60"/>
      <c r="AO76" s="60"/>
      <c r="AP76" s="60"/>
      <c r="AQ76" s="60"/>
      <c r="AR76" s="60"/>
      <c r="AS76" s="60"/>
      <c r="AT76" s="60"/>
      <c r="AU76" s="60"/>
      <c r="AV76" s="60"/>
      <c r="AW76" s="60"/>
      <c r="AX76" s="60"/>
      <c r="AY76" s="60"/>
      <c r="AZ76" s="60"/>
      <c r="BA76" s="60"/>
      <c r="BB76" s="60"/>
      <c r="BC76" s="60"/>
      <c r="BD76" s="60"/>
      <c r="BE76" s="60"/>
      <c r="BF76" s="60"/>
      <c r="BG76" s="60"/>
      <c r="BH76" s="60"/>
      <c r="BI76" s="60"/>
    </row>
    <row r="77" spans="1:124" s="23" customFormat="1" ht="21" customHeight="1" x14ac:dyDescent="0.35">
      <c r="A77" s="15" t="s">
        <v>5</v>
      </c>
      <c r="B77" s="51">
        <f>+Base!B77</f>
        <v>6.7999999999999996E-3</v>
      </c>
      <c r="C77" s="60"/>
      <c r="D77" s="60"/>
      <c r="E77" s="60"/>
      <c r="F77" s="60"/>
      <c r="G77" s="60"/>
      <c r="H77" s="60"/>
      <c r="I77" s="60"/>
      <c r="J77" s="60"/>
      <c r="K77" s="60"/>
      <c r="L77" s="60"/>
      <c r="M77" s="60"/>
      <c r="N77" s="60"/>
      <c r="O77" s="60"/>
      <c r="P77" s="60"/>
      <c r="Q77" s="60"/>
      <c r="R77" s="60"/>
      <c r="S77" s="60"/>
      <c r="T77" s="60"/>
      <c r="U77" s="60"/>
      <c r="V77" s="60"/>
      <c r="W77" s="60"/>
      <c r="X77" s="60"/>
      <c r="Y77" s="60"/>
      <c r="Z77" s="60"/>
      <c r="AA77" s="60"/>
      <c r="AB77" s="60"/>
      <c r="AC77" s="60"/>
      <c r="AD77" s="60"/>
      <c r="AE77" s="60"/>
      <c r="AF77" s="60"/>
      <c r="AG77" s="60"/>
      <c r="AH77" s="60"/>
      <c r="AI77" s="60"/>
      <c r="AJ77" s="60"/>
      <c r="AK77" s="60"/>
      <c r="AL77" s="60"/>
      <c r="AM77" s="60"/>
      <c r="AN77" s="60"/>
      <c r="AO77" s="60"/>
      <c r="AP77" s="60"/>
      <c r="AQ77" s="60"/>
      <c r="AR77" s="60"/>
      <c r="AS77" s="60"/>
      <c r="AT77" s="60"/>
      <c r="AU77" s="60"/>
      <c r="AV77" s="60"/>
      <c r="AW77" s="60"/>
      <c r="AX77" s="60"/>
      <c r="AY77" s="60"/>
      <c r="AZ77" s="60"/>
      <c r="BA77" s="60"/>
      <c r="BB77" s="60"/>
      <c r="BC77" s="60"/>
      <c r="BD77" s="60"/>
      <c r="BE77" s="60"/>
      <c r="BF77" s="60"/>
      <c r="BG77" s="60"/>
      <c r="BH77" s="60"/>
      <c r="BI77" s="60"/>
    </row>
    <row r="78" spans="1:124" s="23" customFormat="1" ht="21" customHeight="1" thickBot="1" x14ac:dyDescent="0.35">
      <c r="A78" s="82" t="s">
        <v>227</v>
      </c>
      <c r="B78" s="60"/>
      <c r="C78" s="60"/>
      <c r="D78" s="60"/>
      <c r="E78" s="60"/>
      <c r="F78" s="60"/>
      <c r="G78" s="60"/>
      <c r="H78" s="60"/>
      <c r="I78" s="60"/>
      <c r="J78" s="60"/>
      <c r="K78" s="60"/>
      <c r="L78" s="60"/>
      <c r="M78" s="60"/>
      <c r="N78" s="60"/>
      <c r="O78" s="60"/>
      <c r="P78" s="60"/>
      <c r="Q78" s="60"/>
      <c r="R78" s="60"/>
      <c r="S78" s="60"/>
      <c r="T78" s="60"/>
      <c r="U78" s="60"/>
      <c r="V78" s="60"/>
      <c r="W78" s="60"/>
      <c r="X78" s="60"/>
      <c r="Y78" s="60"/>
      <c r="Z78" s="60"/>
      <c r="AA78" s="60"/>
      <c r="AB78" s="60"/>
      <c r="AC78" s="60"/>
      <c r="AD78" s="60"/>
      <c r="AE78" s="60"/>
      <c r="AF78" s="60"/>
      <c r="AG78" s="60"/>
      <c r="AH78" s="60"/>
      <c r="AI78" s="60"/>
      <c r="AJ78" s="60"/>
      <c r="AK78" s="60"/>
      <c r="AL78" s="60"/>
      <c r="AM78" s="60"/>
      <c r="AN78" s="60"/>
      <c r="AO78" s="60"/>
      <c r="AP78" s="60"/>
      <c r="AQ78" s="60"/>
      <c r="AR78" s="60"/>
      <c r="AS78" s="60"/>
      <c r="AT78" s="60"/>
      <c r="AU78" s="60"/>
      <c r="AV78" s="60"/>
      <c r="AW78" s="60"/>
      <c r="AX78" s="60"/>
      <c r="AY78" s="60"/>
      <c r="AZ78" s="60"/>
      <c r="BA78" s="60"/>
      <c r="BB78" s="60"/>
      <c r="BC78" s="60"/>
      <c r="BD78" s="60"/>
      <c r="BE78" s="60"/>
      <c r="BF78" s="60"/>
      <c r="BG78" s="60"/>
      <c r="BH78" s="60"/>
      <c r="BI78" s="60"/>
    </row>
    <row r="79" spans="1:124" s="23" customFormat="1" ht="21" customHeight="1" thickTop="1" x14ac:dyDescent="0.35">
      <c r="A79" s="15" t="s">
        <v>72</v>
      </c>
      <c r="B79" s="51">
        <f>+Base!B79</f>
        <v>3.2</v>
      </c>
      <c r="C79" s="60"/>
      <c r="D79" s="60"/>
      <c r="E79" s="60"/>
      <c r="F79" s="60"/>
      <c r="G79" s="60"/>
      <c r="H79" s="60"/>
      <c r="I79" s="60"/>
      <c r="J79" s="60"/>
      <c r="K79" s="60"/>
      <c r="L79" s="60"/>
      <c r="M79" s="60"/>
      <c r="N79" s="60"/>
      <c r="O79" s="60"/>
      <c r="P79" s="60"/>
      <c r="Q79" s="60"/>
      <c r="R79" s="60"/>
      <c r="S79" s="60"/>
      <c r="T79" s="60"/>
      <c r="U79" s="60"/>
      <c r="V79" s="60"/>
      <c r="W79" s="60"/>
      <c r="X79" s="60"/>
      <c r="Y79" s="60"/>
      <c r="Z79" s="60"/>
      <c r="AA79" s="60"/>
      <c r="AB79" s="60"/>
      <c r="AC79" s="60"/>
      <c r="AD79" s="60"/>
      <c r="AE79" s="60"/>
      <c r="AF79" s="60"/>
      <c r="AG79" s="60"/>
      <c r="AH79" s="60"/>
      <c r="AI79" s="60"/>
      <c r="AJ79" s="60"/>
      <c r="AK79" s="60"/>
      <c r="AL79" s="60"/>
      <c r="AM79" s="60"/>
      <c r="AN79" s="60"/>
      <c r="AO79" s="60"/>
      <c r="AP79" s="60"/>
      <c r="AQ79" s="60"/>
      <c r="AR79" s="60"/>
      <c r="AS79" s="60"/>
      <c r="AT79" s="60"/>
      <c r="AU79" s="60"/>
      <c r="AV79" s="60"/>
      <c r="AW79" s="60"/>
      <c r="AX79" s="60"/>
      <c r="AY79" s="60"/>
      <c r="AZ79" s="60"/>
      <c r="BA79" s="60"/>
      <c r="BB79" s="60"/>
      <c r="BC79" s="60"/>
      <c r="BD79" s="60"/>
      <c r="BE79" s="60"/>
      <c r="BF79" s="60"/>
      <c r="BG79" s="60"/>
      <c r="BH79" s="60"/>
      <c r="BI79" s="60"/>
    </row>
    <row r="80" spans="1:124" s="23" customFormat="1" ht="21" customHeight="1" x14ac:dyDescent="0.35">
      <c r="A80" s="15" t="s">
        <v>226</v>
      </c>
      <c r="B80" s="51">
        <f>+Base!B80</f>
        <v>3.8</v>
      </c>
      <c r="C80" s="60"/>
      <c r="D80" s="60"/>
      <c r="E80" s="60"/>
      <c r="F80" s="60"/>
      <c r="G80" s="60"/>
      <c r="H80" s="60"/>
      <c r="I80" s="60"/>
      <c r="J80" s="60"/>
      <c r="K80" s="60"/>
      <c r="L80" s="60"/>
      <c r="M80" s="60"/>
      <c r="N80" s="60"/>
      <c r="O80" s="60"/>
      <c r="P80" s="60"/>
      <c r="Q80" s="60"/>
      <c r="R80" s="60"/>
      <c r="S80" s="60"/>
      <c r="T80" s="60"/>
      <c r="U80" s="60"/>
      <c r="V80" s="60"/>
      <c r="W80" s="60"/>
      <c r="X80" s="60"/>
      <c r="Y80" s="60"/>
      <c r="Z80" s="60"/>
      <c r="AA80" s="60"/>
      <c r="AB80" s="60"/>
      <c r="AC80" s="60"/>
      <c r="AD80" s="60"/>
      <c r="AE80" s="60"/>
      <c r="AF80" s="60"/>
      <c r="AG80" s="60"/>
      <c r="AH80" s="60"/>
      <c r="AI80" s="60"/>
      <c r="AJ80" s="60"/>
      <c r="AK80" s="60"/>
      <c r="AL80" s="60"/>
      <c r="AM80" s="60"/>
      <c r="AN80" s="60"/>
      <c r="AO80" s="60"/>
      <c r="AP80" s="60"/>
      <c r="AQ80" s="60"/>
      <c r="AR80" s="60"/>
      <c r="AS80" s="60"/>
      <c r="AT80" s="60"/>
      <c r="AU80" s="60"/>
      <c r="AV80" s="60"/>
      <c r="AW80" s="60"/>
      <c r="AX80" s="60"/>
      <c r="AY80" s="60"/>
      <c r="AZ80" s="60"/>
      <c r="BA80" s="60"/>
      <c r="BB80" s="60"/>
      <c r="BC80" s="60"/>
      <c r="BD80" s="60"/>
      <c r="BE80" s="60"/>
      <c r="BF80" s="60"/>
      <c r="BG80" s="60"/>
      <c r="BH80" s="60"/>
      <c r="BI80" s="60"/>
    </row>
    <row r="81" spans="1:61" s="23" customFormat="1" ht="21" customHeight="1" thickBot="1" x14ac:dyDescent="0.35">
      <c r="A81" s="82" t="s">
        <v>228</v>
      </c>
      <c r="B81" s="60"/>
      <c r="C81" s="60"/>
      <c r="D81" s="60"/>
      <c r="E81" s="60"/>
      <c r="F81" s="60"/>
      <c r="G81" s="60"/>
      <c r="H81" s="60"/>
      <c r="I81" s="60"/>
      <c r="J81" s="60"/>
      <c r="K81" s="60"/>
      <c r="L81" s="60"/>
      <c r="M81" s="60"/>
      <c r="N81" s="60"/>
      <c r="O81" s="60"/>
      <c r="P81" s="60"/>
      <c r="Q81" s="60"/>
      <c r="R81" s="60"/>
      <c r="S81" s="60"/>
      <c r="T81" s="60"/>
      <c r="U81" s="60"/>
      <c r="V81" s="60"/>
      <c r="W81" s="60"/>
      <c r="X81" s="60"/>
      <c r="Y81" s="60"/>
      <c r="Z81" s="60"/>
      <c r="AA81" s="60"/>
      <c r="AB81" s="60"/>
      <c r="AC81" s="60"/>
      <c r="AD81" s="60"/>
      <c r="AE81" s="60"/>
      <c r="AF81" s="60"/>
      <c r="AG81" s="60"/>
      <c r="AH81" s="60"/>
      <c r="AI81" s="60"/>
      <c r="AJ81" s="60"/>
      <c r="AK81" s="60"/>
      <c r="AL81" s="60"/>
      <c r="AM81" s="60"/>
      <c r="AN81" s="60"/>
      <c r="AO81" s="60"/>
      <c r="AP81" s="60"/>
      <c r="AQ81" s="60"/>
      <c r="AR81" s="60"/>
      <c r="AS81" s="60"/>
      <c r="AT81" s="60"/>
      <c r="AU81" s="60"/>
      <c r="AV81" s="60"/>
      <c r="AW81" s="60"/>
      <c r="AX81" s="60"/>
      <c r="AY81" s="60"/>
      <c r="AZ81" s="60"/>
      <c r="BA81" s="60"/>
      <c r="BB81" s="60"/>
      <c r="BC81" s="60"/>
      <c r="BD81" s="60"/>
      <c r="BE81" s="60"/>
      <c r="BF81" s="60"/>
      <c r="BG81" s="60"/>
      <c r="BH81" s="60"/>
      <c r="BI81" s="60"/>
    </row>
    <row r="82" spans="1:61" s="23" customFormat="1" ht="21" customHeight="1" thickTop="1" x14ac:dyDescent="0.35">
      <c r="A82" s="15" t="s">
        <v>39</v>
      </c>
      <c r="B82" s="51">
        <f>+Base!B82</f>
        <v>0.104</v>
      </c>
      <c r="C82" s="60"/>
      <c r="D82" s="60"/>
      <c r="E82" s="60"/>
      <c r="F82" s="60"/>
      <c r="G82" s="60"/>
      <c r="H82" s="60"/>
      <c r="I82" s="60"/>
      <c r="J82" s="60"/>
      <c r="K82" s="60"/>
      <c r="L82" s="60"/>
      <c r="M82" s="60"/>
      <c r="N82" s="60"/>
      <c r="O82" s="60"/>
      <c r="P82" s="60"/>
      <c r="Q82" s="60"/>
      <c r="R82" s="60"/>
      <c r="S82" s="60"/>
      <c r="T82" s="60"/>
      <c r="U82" s="60"/>
      <c r="V82" s="60"/>
      <c r="W82" s="60"/>
      <c r="X82" s="60"/>
      <c r="Y82" s="60"/>
      <c r="Z82" s="60"/>
      <c r="AA82" s="60"/>
      <c r="AB82" s="60"/>
      <c r="AC82" s="60"/>
      <c r="AD82" s="60"/>
      <c r="AE82" s="60"/>
      <c r="AF82" s="60"/>
      <c r="AG82" s="60"/>
      <c r="AH82" s="60"/>
      <c r="AI82" s="60"/>
      <c r="AJ82" s="60"/>
      <c r="AK82" s="60"/>
      <c r="AL82" s="60"/>
      <c r="AM82" s="60"/>
      <c r="AN82" s="60"/>
      <c r="AO82" s="60"/>
      <c r="AP82" s="60"/>
      <c r="AQ82" s="60"/>
      <c r="AR82" s="60"/>
      <c r="AS82" s="60"/>
      <c r="AT82" s="60"/>
      <c r="AU82" s="60"/>
      <c r="AV82" s="60"/>
      <c r="AW82" s="60"/>
      <c r="AX82" s="60"/>
      <c r="AY82" s="60"/>
      <c r="AZ82" s="60"/>
      <c r="BA82" s="60"/>
      <c r="BB82" s="60"/>
      <c r="BC82" s="60"/>
      <c r="BD82" s="60"/>
      <c r="BE82" s="60"/>
      <c r="BF82" s="60"/>
      <c r="BG82" s="60"/>
      <c r="BH82" s="60"/>
      <c r="BI82" s="60"/>
    </row>
    <row r="83" spans="1:61" s="23" customFormat="1" ht="21" customHeight="1" x14ac:dyDescent="0.35">
      <c r="A83" s="15" t="s">
        <v>73</v>
      </c>
      <c r="B83" s="51">
        <f>+Base!B83</f>
        <v>8.7999999999999995E-2</v>
      </c>
      <c r="C83" s="60"/>
      <c r="D83" s="60"/>
      <c r="E83" s="60"/>
      <c r="F83" s="60"/>
      <c r="G83" s="60"/>
      <c r="H83" s="60"/>
      <c r="I83" s="60"/>
      <c r="J83" s="60"/>
      <c r="K83" s="60"/>
      <c r="L83" s="60"/>
      <c r="M83" s="60"/>
      <c r="N83" s="60"/>
      <c r="O83" s="60"/>
      <c r="P83" s="60"/>
      <c r="Q83" s="60"/>
      <c r="R83" s="60"/>
      <c r="S83" s="60"/>
      <c r="T83" s="60"/>
      <c r="U83" s="60"/>
      <c r="V83" s="60"/>
      <c r="W83" s="60"/>
      <c r="X83" s="60"/>
      <c r="Y83" s="60"/>
      <c r="Z83" s="60"/>
      <c r="AA83" s="60"/>
      <c r="AB83" s="60"/>
      <c r="AC83" s="60"/>
      <c r="AD83" s="60"/>
      <c r="AE83" s="60"/>
      <c r="AF83" s="60"/>
      <c r="AG83" s="60"/>
      <c r="AH83" s="60"/>
      <c r="AI83" s="60"/>
      <c r="AJ83" s="60"/>
      <c r="AK83" s="60"/>
      <c r="AL83" s="60"/>
      <c r="AM83" s="60"/>
      <c r="AN83" s="60"/>
      <c r="AO83" s="60"/>
      <c r="AP83" s="60"/>
      <c r="AQ83" s="60"/>
      <c r="AR83" s="60"/>
      <c r="AS83" s="60"/>
      <c r="AT83" s="60"/>
      <c r="AU83" s="60"/>
      <c r="AV83" s="60"/>
      <c r="AW83" s="60"/>
      <c r="AX83" s="60"/>
      <c r="AY83" s="60"/>
      <c r="AZ83" s="60"/>
      <c r="BA83" s="60"/>
      <c r="BB83" s="60"/>
      <c r="BC83" s="60"/>
      <c r="BD83" s="60"/>
      <c r="BE83" s="60"/>
      <c r="BF83" s="60"/>
      <c r="BG83" s="60"/>
      <c r="BH83" s="60"/>
      <c r="BI83" s="60"/>
    </row>
    <row r="84" spans="1:61" s="23" customFormat="1" ht="21" customHeight="1" x14ac:dyDescent="0.35">
      <c r="A84" s="15" t="s">
        <v>16</v>
      </c>
      <c r="B84" s="51">
        <f>+Base!B84</f>
        <v>2.5000000000000001E-2</v>
      </c>
      <c r="C84" s="60"/>
      <c r="D84" s="60"/>
      <c r="E84" s="60"/>
      <c r="F84" s="60"/>
      <c r="G84" s="60"/>
      <c r="H84" s="60"/>
      <c r="I84" s="60"/>
      <c r="J84" s="60"/>
      <c r="K84" s="60"/>
      <c r="L84" s="60"/>
      <c r="M84" s="60"/>
      <c r="N84" s="60"/>
      <c r="O84" s="60"/>
      <c r="P84" s="60"/>
      <c r="Q84" s="60"/>
      <c r="R84" s="60"/>
      <c r="S84" s="60"/>
      <c r="T84" s="60"/>
      <c r="U84" s="60"/>
      <c r="V84" s="60"/>
      <c r="W84" s="60"/>
      <c r="X84" s="60"/>
      <c r="Y84" s="60"/>
      <c r="Z84" s="60"/>
      <c r="AA84" s="60"/>
      <c r="AB84" s="60"/>
      <c r="AC84" s="60"/>
      <c r="AD84" s="60"/>
      <c r="AE84" s="60"/>
      <c r="AF84" s="60"/>
      <c r="AG84" s="60"/>
      <c r="AH84" s="60"/>
      <c r="AI84" s="60"/>
      <c r="AJ84" s="60"/>
      <c r="AK84" s="60"/>
      <c r="AL84" s="60"/>
      <c r="AM84" s="60"/>
      <c r="AN84" s="60"/>
      <c r="AO84" s="60"/>
      <c r="AP84" s="60"/>
      <c r="AQ84" s="60"/>
      <c r="AR84" s="60"/>
      <c r="AS84" s="60"/>
      <c r="AT84" s="60"/>
      <c r="AU84" s="60"/>
      <c r="AV84" s="60"/>
      <c r="AW84" s="60"/>
      <c r="AX84" s="60"/>
      <c r="AY84" s="60"/>
      <c r="AZ84" s="60"/>
      <c r="BA84" s="60"/>
      <c r="BB84" s="60"/>
      <c r="BC84" s="60"/>
      <c r="BD84" s="60"/>
      <c r="BE84" s="60"/>
      <c r="BF84" s="60"/>
      <c r="BG84" s="60"/>
      <c r="BH84" s="60"/>
      <c r="BI84" s="60"/>
    </row>
    <row r="85" spans="1:61" s="59" customFormat="1" ht="45.5" thickBot="1" x14ac:dyDescent="0.3">
      <c r="A85" s="81" t="s">
        <v>204</v>
      </c>
      <c r="B85" s="61"/>
    </row>
    <row r="86" spans="1:61" s="23" customFormat="1" ht="40" thickTop="1" thickBot="1" x14ac:dyDescent="0.35">
      <c r="A86" s="84" t="s">
        <v>153</v>
      </c>
    </row>
    <row r="87" spans="1:61" s="23" customFormat="1" ht="29.5" thickTop="1" x14ac:dyDescent="0.3">
      <c r="A87" s="15" t="s">
        <v>140</v>
      </c>
      <c r="B87" s="23">
        <f>+Base!B60</f>
        <v>818.98500000000001</v>
      </c>
      <c r="C87" s="23">
        <f>Base!$B65*B87/100+Base!$B66*B89/100+B113*5/3.666</f>
        <v>848.26809978372523</v>
      </c>
      <c r="D87" s="23">
        <f>Base!$B65*C87/100+Base!$B66*C89/100+C113*5/3.666</f>
        <v>866.53583590509709</v>
      </c>
      <c r="E87" s="23">
        <f>Base!$B65*D87/100+Base!$B66*D89/100+D113*5/3.666</f>
        <v>884.6995527899843</v>
      </c>
      <c r="F87" s="23">
        <f>Base!$B65*E87/100+Base!$B66*E89/100+E113*5/3.666</f>
        <v>901.96490990215091</v>
      </c>
      <c r="G87" s="23">
        <f>Base!$B65*F87/100+Base!$B66*F89/100+F113*5/3.666</f>
        <v>917.3731266290639</v>
      </c>
      <c r="H87" s="23">
        <f>Base!$B65*G87/100+Base!$B66*G89/100+G113*5/3.666</f>
        <v>929.81131411988611</v>
      </c>
      <c r="I87" s="23">
        <f>Base!$B65*H87/100+Base!$B66*H89/100+H113*5/3.666</f>
        <v>938.02389478077589</v>
      </c>
      <c r="J87" s="23">
        <f>Base!$B65*I87/100+Base!$B66*I89/100+I113*5/3.666</f>
        <v>940.62507548284532</v>
      </c>
      <c r="K87" s="23">
        <f>Base!$B65*J87/100+Base!$B66*J89/100+J113*5/3.666</f>
        <v>936.10847637817062</v>
      </c>
      <c r="L87" s="23">
        <f>Base!$B65*K87/100+Base!$B66*K89/100+K113*5/3.666</f>
        <v>922.84105191065714</v>
      </c>
      <c r="M87" s="23">
        <f>Base!$B65*L87/100+Base!$B66*L89/100+L113*5/3.666</f>
        <v>906.93738203447424</v>
      </c>
      <c r="N87" s="23">
        <f>Base!$B65*M87/100+Base!$B66*M89/100+M113*5/3.666</f>
        <v>892.97321810819301</v>
      </c>
      <c r="O87" s="23">
        <f>Base!$B65*N87/100+Base!$B66*N89/100+N113*5/3.666</f>
        <v>880.70938388939669</v>
      </c>
      <c r="P87" s="23">
        <f>Base!$B65*O87/100+Base!$B66*O89/100+O113*5/3.666</f>
        <v>869.93565411090094</v>
      </c>
      <c r="Q87" s="23">
        <f>Base!$B65*P87/100+Base!$B66*P89/100+P113*5/3.666</f>
        <v>860.46736443856514</v>
      </c>
      <c r="R87" s="23">
        <f>Base!$B65*Q87/100+Base!$B66*Q89/100+Q113*5/3.666</f>
        <v>852.14239437815274</v>
      </c>
      <c r="S87" s="23">
        <f>Base!$B65*R87/100+Base!$B66*R89/100+R113*5/3.666</f>
        <v>844.81848731448656</v>
      </c>
      <c r="T87" s="23">
        <f>Base!$B65*S87/100+Base!$B66*S89/100+S113*5/3.666</f>
        <v>838.37087410143488</v>
      </c>
      <c r="U87" s="23">
        <f>Base!$B65*T87/100+Base!$B66*T89/100+T113*5/3.666</f>
        <v>832.690169035861</v>
      </c>
      <c r="V87" s="23">
        <f>Base!$B65*U87/100+Base!$B66*U89/100+U113*5/3.666</f>
        <v>827.68050952708711</v>
      </c>
      <c r="W87" s="23">
        <f>Base!$B65*V87/100+Base!$B66*V89/100+V113*5/3.666</f>
        <v>826.88755228208754</v>
      </c>
      <c r="X87" s="23">
        <f>Base!$B65*W87/100+Base!$B66*W89/100+W113*5/3.666</f>
        <v>826.45334249016719</v>
      </c>
      <c r="Y87" s="23">
        <f>Base!$B65*X87/100+Base!$B66*X89/100+X113*5/3.666</f>
        <v>825.70945045663711</v>
      </c>
      <c r="Z87" s="23">
        <f>Base!$B65*Y87/100+Base!$B66*Y89/100+Y113*5/3.666</f>
        <v>821.81372026821896</v>
      </c>
      <c r="AA87" s="23">
        <f>Base!$B65*Z87/100+Base!$B66*Z89/100+Z113*5/3.666</f>
        <v>818.36598274642722</v>
      </c>
      <c r="AB87" s="23">
        <f>Base!$B65*AA87/100+Base!$B66*AA89/100+AA113*5/3.666</f>
        <v>815.30978940263958</v>
      </c>
      <c r="AC87" s="23">
        <f>Base!$B65*AB87/100+Base!$B66*AB89/100+AB113*5/3.666</f>
        <v>812.59578654718962</v>
      </c>
      <c r="AD87" s="23">
        <f>Base!$B65*AC87/100+Base!$B66*AC89/100+AC113*5/3.666</f>
        <v>810.18082946310562</v>
      </c>
      <c r="AE87" s="23">
        <f>Base!$B65*AD87/100+Base!$B66*AD89/100+AD113*5/3.666</f>
        <v>808.0272059839009</v>
      </c>
      <c r="AF87" s="23">
        <f>Base!$B65*AE87/100+Base!$B66*AE89/100+AE113*5/3.666</f>
        <v>806.10195620705417</v>
      </c>
      <c r="AG87" s="23">
        <f>Base!$B65*AF87/100+Base!$B66*AF89/100+AF113*5/3.666</f>
        <v>804.37627663384808</v>
      </c>
      <c r="AH87" s="23">
        <f>Base!$B65*AG87/100+Base!$B66*AG89/100+AG113*5/3.666</f>
        <v>802.82499841259153</v>
      </c>
      <c r="AI87" s="23">
        <f>Base!$B65*AH87/100+Base!$B66*AH89/100+AH113*5/3.666</f>
        <v>801.42613059277016</v>
      </c>
      <c r="AJ87" s="23">
        <f>Base!$B65*AI87/100+Base!$B66*AI89/100+AI113*5/3.666</f>
        <v>800.16046038811135</v>
      </c>
      <c r="AK87" s="23">
        <f>Base!$B65*AJ87/100+Base!$B66*AJ89/100+AJ113*5/3.666</f>
        <v>799.01120341142712</v>
      </c>
      <c r="AL87" s="23">
        <f>Base!$B65*AK87/100+Base!$B66*AK89/100+AK113*5/3.666</f>
        <v>797.96369769677926</v>
      </c>
      <c r="AM87" s="23">
        <f>Base!$B65*AL87/100+Base!$B66*AL89/100+AL113*5/3.666</f>
        <v>797.00513607716266</v>
      </c>
      <c r="AN87" s="23">
        <f>Base!$B65*AM87/100+Base!$B66*AM89/100+AM113*5/3.666</f>
        <v>796.12433214957821</v>
      </c>
      <c r="AO87" s="23">
        <f>Base!$B65*AN87/100+Base!$B66*AN89/100+AN113*5/3.666</f>
        <v>795.31151564401375</v>
      </c>
      <c r="AP87" s="23">
        <f>Base!$B65*AO87/100+Base!$B66*AO89/100+AO113*5/3.666</f>
        <v>794.55815352748641</v>
      </c>
      <c r="AQ87" s="23">
        <f>Base!$B65*AP87/100+Base!$B66*AP89/100+AP113*5/3.666</f>
        <v>793.8567936269277</v>
      </c>
      <c r="AR87" s="23">
        <f>Base!$B65*AQ87/100+Base!$B66*AQ89/100+AQ113*5/3.666</f>
        <v>793.20092795253265</v>
      </c>
      <c r="AS87" s="23">
        <f>Base!$B65*AR87/100+Base!$B66*AR89/100+AR113*5/3.666</f>
        <v>792.58487325265753</v>
      </c>
      <c r="AT87" s="23">
        <f>Base!$B65*AS87/100+Base!$B66*AS89/100+AS113*5/3.666</f>
        <v>792.00366663814771</v>
      </c>
      <c r="AU87" s="23">
        <f>Base!$B65*AT87/100+Base!$B66*AT89/100+AT113*5/3.666</f>
        <v>791.45297438317937</v>
      </c>
      <c r="AV87" s="23">
        <f>Base!$B65*AU87/100+Base!$B66*AU89/100+AU113*5/3.666</f>
        <v>790.92901224580578</v>
      </c>
      <c r="AW87" s="23">
        <f>Base!$B65*AV87/100+Base!$B66*AV89/100+AV113*5/3.666</f>
        <v>790.42847585839684</v>
      </c>
      <c r="AX87" s="23">
        <f>Base!$B65*AW87/100+Base!$B66*AW89/100+AW113*5/3.666</f>
        <v>789.94847991956078</v>
      </c>
      <c r="AY87" s="23">
        <f>Base!$B65*AX87/100+Base!$B66*AX89/100+AX113*5/3.666</f>
        <v>789.48650507805917</v>
      </c>
      <c r="AZ87" s="23">
        <f>Base!$B65*AY87/100+Base!$B66*AY89/100+AY113*5/3.666</f>
        <v>789.04035153840266</v>
      </c>
      <c r="BA87" s="23">
        <f>Base!$B65*AZ87/100+Base!$B66*AZ89/100+AZ113*5/3.666</f>
        <v>788.6080985396801</v>
      </c>
      <c r="BB87" s="23">
        <f>Base!$B65*BA87/100+Base!$B66*BA89/100+BA113*5/3.666</f>
        <v>788.18806896582942</v>
      </c>
      <c r="BC87" s="23">
        <f>Base!$B65*BB87/100+Base!$B66*BB89/100+BB113*5/3.666</f>
        <v>787.77879843890503</v>
      </c>
      <c r="BD87" s="23">
        <f>Base!$B65*BC87/100+Base!$B66*BC89/100+BC113*5/3.666</f>
        <v>787.37900832855973</v>
      </c>
      <c r="BE87" s="23">
        <f>Base!$B65*BD87/100+Base!$B66*BD89/100+BD113*5/3.666</f>
        <v>786.98758218239698</v>
      </c>
      <c r="BF87" s="23">
        <f>Base!$B65*BE87/100+Base!$B66*BE89/100+BE113*5/3.666</f>
        <v>786.60354514432515</v>
      </c>
      <c r="BG87" s="23">
        <f>Base!$B65*BF87/100+Base!$B66*BF89/100+BF113*5/3.666</f>
        <v>786.2260459826789</v>
      </c>
      <c r="BH87" s="23">
        <f>Base!$B65*BG87/100+Base!$B66*BG89/100+BG113*5/3.666</f>
        <v>814.7201692411154</v>
      </c>
      <c r="BI87" s="23">
        <f>Base!$B65*BH87/100+Base!$B66*BH89/100+BH113*5/3.666</f>
        <v>888.84530289044994</v>
      </c>
    </row>
    <row r="88" spans="1:61" s="23" customFormat="1" ht="29" x14ac:dyDescent="0.3">
      <c r="A88" s="15" t="s">
        <v>60</v>
      </c>
      <c r="B88" s="23">
        <f t="shared" ref="B88:BI88" si="8">+B87/2.13</f>
        <v>384.5</v>
      </c>
      <c r="C88" s="23">
        <f t="shared" si="8"/>
        <v>398.24793417076302</v>
      </c>
      <c r="D88" s="23">
        <f t="shared" si="8"/>
        <v>406.82433610567938</v>
      </c>
      <c r="E88" s="23">
        <f t="shared" si="8"/>
        <v>415.35190271830248</v>
      </c>
      <c r="F88" s="23">
        <f t="shared" si="8"/>
        <v>423.45770417941361</v>
      </c>
      <c r="G88" s="23">
        <f t="shared" si="8"/>
        <v>430.69160874603944</v>
      </c>
      <c r="H88" s="23">
        <f t="shared" si="8"/>
        <v>436.53113338961793</v>
      </c>
      <c r="I88" s="23">
        <f t="shared" si="8"/>
        <v>440.38680506139713</v>
      </c>
      <c r="J88" s="23">
        <f t="shared" si="8"/>
        <v>441.60801665861283</v>
      </c>
      <c r="K88" s="23">
        <f t="shared" si="8"/>
        <v>439.48754759538531</v>
      </c>
      <c r="L88" s="23">
        <f t="shared" si="8"/>
        <v>433.25870981720993</v>
      </c>
      <c r="M88" s="23">
        <f t="shared" si="8"/>
        <v>425.79219813825085</v>
      </c>
      <c r="N88" s="23">
        <f t="shared" si="8"/>
        <v>419.23625263295446</v>
      </c>
      <c r="O88" s="23">
        <f t="shared" si="8"/>
        <v>413.47858398563227</v>
      </c>
      <c r="P88" s="23">
        <f t="shared" si="8"/>
        <v>408.42049488774694</v>
      </c>
      <c r="Q88" s="23">
        <f t="shared" si="8"/>
        <v>403.97528846880994</v>
      </c>
      <c r="R88" s="23">
        <f t="shared" si="8"/>
        <v>400.06685182072903</v>
      </c>
      <c r="S88" s="23">
        <f t="shared" si="8"/>
        <v>396.62839780022847</v>
      </c>
      <c r="T88" s="23">
        <f t="shared" si="8"/>
        <v>393.60134934339669</v>
      </c>
      <c r="U88" s="23">
        <f t="shared" si="8"/>
        <v>390.93435166002865</v>
      </c>
      <c r="V88" s="23">
        <f t="shared" si="8"/>
        <v>388.58239883900808</v>
      </c>
      <c r="W88" s="23">
        <f t="shared" si="8"/>
        <v>388.21011844229463</v>
      </c>
      <c r="X88" s="23">
        <f t="shared" si="8"/>
        <v>388.00626407989074</v>
      </c>
      <c r="Y88" s="23">
        <f t="shared" si="8"/>
        <v>387.65701899372635</v>
      </c>
      <c r="Z88" s="23">
        <f t="shared" si="8"/>
        <v>385.82803768460985</v>
      </c>
      <c r="AA88" s="23">
        <f t="shared" si="8"/>
        <v>384.20938157109259</v>
      </c>
      <c r="AB88" s="23">
        <f t="shared" si="8"/>
        <v>382.77454901532377</v>
      </c>
      <c r="AC88" s="23">
        <f t="shared" si="8"/>
        <v>381.50036927098108</v>
      </c>
      <c r="AD88" s="23">
        <f t="shared" si="8"/>
        <v>380.36658660239704</v>
      </c>
      <c r="AE88" s="23">
        <f t="shared" si="8"/>
        <v>379.35549576708962</v>
      </c>
      <c r="AF88" s="23">
        <f t="shared" si="8"/>
        <v>378.4516226324198</v>
      </c>
      <c r="AG88" s="23">
        <f t="shared" si="8"/>
        <v>377.64144442903665</v>
      </c>
      <c r="AH88" s="23">
        <f t="shared" si="8"/>
        <v>376.91314479464393</v>
      </c>
      <c r="AI88" s="23">
        <f t="shared" si="8"/>
        <v>376.25639933932871</v>
      </c>
      <c r="AJ88" s="23">
        <f t="shared" si="8"/>
        <v>375.66218797563914</v>
      </c>
      <c r="AK88" s="23">
        <f t="shared" si="8"/>
        <v>375.12263070959023</v>
      </c>
      <c r="AL88" s="23">
        <f t="shared" si="8"/>
        <v>374.63084398909825</v>
      </c>
      <c r="AM88" s="23">
        <f t="shared" si="8"/>
        <v>374.18081505970082</v>
      </c>
      <c r="AN88" s="23">
        <f t="shared" si="8"/>
        <v>373.76729208900389</v>
      </c>
      <c r="AO88" s="23">
        <f t="shared" si="8"/>
        <v>373.38568809578112</v>
      </c>
      <c r="AP88" s="23">
        <f t="shared" si="8"/>
        <v>373.03199696126126</v>
      </c>
      <c r="AQ88" s="23">
        <f t="shared" si="8"/>
        <v>372.70272001264215</v>
      </c>
      <c r="AR88" s="23">
        <f t="shared" si="8"/>
        <v>372.39480185564918</v>
      </c>
      <c r="AS88" s="23">
        <f t="shared" si="8"/>
        <v>372.10557429702232</v>
      </c>
      <c r="AT88" s="23">
        <f t="shared" si="8"/>
        <v>371.83270734185339</v>
      </c>
      <c r="AU88" s="23">
        <f t="shared" si="8"/>
        <v>371.57416637707951</v>
      </c>
      <c r="AV88" s="23">
        <f t="shared" si="8"/>
        <v>371.3281747632891</v>
      </c>
      <c r="AW88" s="23">
        <f t="shared" si="8"/>
        <v>371.09318115417693</v>
      </c>
      <c r="AX88" s="23">
        <f t="shared" si="8"/>
        <v>370.86783094815064</v>
      </c>
      <c r="AY88" s="23">
        <f t="shared" si="8"/>
        <v>370.65094135120148</v>
      </c>
      <c r="AZ88" s="23">
        <f t="shared" si="8"/>
        <v>370.44147959549423</v>
      </c>
      <c r="BA88" s="23">
        <f t="shared" si="8"/>
        <v>370.2385439153428</v>
      </c>
      <c r="BB88" s="23">
        <f t="shared" si="8"/>
        <v>370.0413469323143</v>
      </c>
      <c r="BC88" s="23">
        <f t="shared" si="8"/>
        <v>369.84920114502586</v>
      </c>
      <c r="BD88" s="23">
        <f t="shared" si="8"/>
        <v>369.66150625753983</v>
      </c>
      <c r="BE88" s="23">
        <f t="shared" si="8"/>
        <v>369.47773811380142</v>
      </c>
      <c r="BF88" s="23">
        <f t="shared" si="8"/>
        <v>369.29743903489447</v>
      </c>
      <c r="BG88" s="23">
        <f t="shared" si="8"/>
        <v>369.12020938153938</v>
      </c>
      <c r="BH88" s="23">
        <f t="shared" si="8"/>
        <v>382.49773203808235</v>
      </c>
      <c r="BI88" s="23">
        <f t="shared" si="8"/>
        <v>417.29826426781688</v>
      </c>
    </row>
    <row r="89" spans="1:61" s="23" customFormat="1" ht="29" x14ac:dyDescent="0.3">
      <c r="A89" s="15" t="s">
        <v>1</v>
      </c>
      <c r="B89" s="23">
        <f>Base!B62</f>
        <v>1527</v>
      </c>
      <c r="C89" s="23">
        <f>B87* Base!$B67/100+B89* Base!$B68/100+B90* Base!$B69/100</f>
        <v>1540.1033416666669</v>
      </c>
      <c r="D89" s="23">
        <f>C87* Base!$B67/100+C89* Base!$B68/100+C90* Base!$B69/100</f>
        <v>1555.2487494380075</v>
      </c>
      <c r="E89" s="23">
        <f>D87* Base!$B67/100+D89* Base!$B68/100+D90* Base!$B69/100</f>
        <v>1571.3835070275688</v>
      </c>
      <c r="F89" s="23">
        <f>E87* Base!$B67/100+E89* Base!$B68/100+E90* Base!$B69/100</f>
        <v>1588.4580794139438</v>
      </c>
      <c r="G89" s="23">
        <f>F87* Base!$B67/100+F89* Base!$B68/100+F90* Base!$B69/100</f>
        <v>1606.3550528988912</v>
      </c>
      <c r="H89" s="23">
        <f>G87* Base!$B67/100+G89* Base!$B68/100+G90* Base!$B69/100</f>
        <v>1624.8774357495006</v>
      </c>
      <c r="I89" s="23">
        <f>H87* Base!$B67/100+H89* Base!$B68/100+H90* Base!$B69/100</f>
        <v>1643.7383456566217</v>
      </c>
      <c r="J89" s="23">
        <f>I87* Base!$B67/100+I89* Base!$B68/100+I90* Base!$B69/100</f>
        <v>1662.5521230913869</v>
      </c>
      <c r="K89" s="23">
        <f>J87* Base!$B67/100+J89* Base!$B68/100+J90* Base!$B69/100</f>
        <v>1680.8269050600211</v>
      </c>
      <c r="L89" s="23">
        <f>K87* Base!$B67/100+K89* Base!$B68/100+K90* Base!$B69/100</f>
        <v>1697.9583493165414</v>
      </c>
      <c r="M89" s="23">
        <f>L87* Base!$B67/100+L89* Base!$B68/100+L90* Base!$B69/100</f>
        <v>1713.2230797683326</v>
      </c>
      <c r="N89" s="23">
        <f>M87* Base!$B67/100+M89* Base!$B68/100+M90* Base!$B69/100</f>
        <v>1726.4653370309923</v>
      </c>
      <c r="O89" s="23">
        <f>N87* Base!$B67/100+N89* Base!$B68/100+N90* Base!$B69/100</f>
        <v>1737.9383857423841</v>
      </c>
      <c r="P89" s="23">
        <f>O87* Base!$B67/100+O89* Base!$B68/100+O90* Base!$B69/100</f>
        <v>1747.8641008065058</v>
      </c>
      <c r="Q89" s="23">
        <f>P87* Base!$B67/100+P89* Base!$B68/100+P90* Base!$B69/100</f>
        <v>1756.4367969015334</v>
      </c>
      <c r="R89" s="23">
        <f>Q87* Base!$B67/100+Q89* Base!$B68/100+Q90* Base!$B69/100</f>
        <v>1763.8266032830404</v>
      </c>
      <c r="S89" s="23">
        <f>R87* Base!$B67/100+R89* Base!$B68/100+R90* Base!$B69/100</f>
        <v>1770.1824352702356</v>
      </c>
      <c r="T89" s="23">
        <f>S87* Base!$B67/100+S89* Base!$B68/100+S90* Base!$B69/100</f>
        <v>1775.6346085527036</v>
      </c>
      <c r="U89" s="23">
        <f>T87* Base!$B67/100+T89* Base!$B68/100+T90* Base!$B69/100</f>
        <v>1780.297137615878</v>
      </c>
      <c r="V89" s="23">
        <f>U87* Base!$B67/100+U89* Base!$B68/100+U90* Base!$B69/100</f>
        <v>1784.2697551543263</v>
      </c>
      <c r="W89" s="23">
        <f>V87* Base!$B67/100+V89* Base!$B68/100+V90* Base!$B69/100</f>
        <v>1787.6396853117558</v>
      </c>
      <c r="X89" s="23">
        <f>W87* Base!$B67/100+W89* Base!$B68/100+W90* Base!$B69/100</f>
        <v>1790.8026081738165</v>
      </c>
      <c r="Y89" s="23">
        <f>X87* Base!$B67/100+X89* Base!$B68/100+X90* Base!$B69/100</f>
        <v>1793.7985481149567</v>
      </c>
      <c r="Z89" s="23">
        <f>Y87* Base!$B67/100+Y89* Base!$B68/100+Y90* Base!$B69/100</f>
        <v>1796.6070733701742</v>
      </c>
      <c r="AA89" s="23">
        <f>Z87* Base!$B67/100+Z89* Base!$B68/100+Z90* Base!$B69/100</f>
        <v>1798.9584765186105</v>
      </c>
      <c r="AB89" s="23">
        <f>AA87* Base!$B67/100+AA89* Base!$B68/100+AA90* Base!$B69/100</f>
        <v>1800.9108469470771</v>
      </c>
      <c r="AC89" s="23">
        <f>AB87* Base!$B67/100+AB89* Base!$B68/100+AB90* Base!$B69/100</f>
        <v>1802.5149344638121</v>
      </c>
      <c r="AD89" s="23">
        <f>AC87* Base!$B67/100+AC89* Base!$B68/100+AC90* Base!$B69/100</f>
        <v>1803.8150733567711</v>
      </c>
      <c r="AE89" s="23">
        <f>AD87* Base!$B67/100+AD89* Base!$B68/100+AD90* Base!$B69/100</f>
        <v>1804.8499907647217</v>
      </c>
      <c r="AF89" s="23">
        <f>AE87* Base!$B67/100+AE89* Base!$B68/100+AE90* Base!$B69/100</f>
        <v>1805.6535137128647</v>
      </c>
      <c r="AG89" s="23">
        <f>AF87* Base!$B67/100+AF89* Base!$B68/100+AF90* Base!$B69/100</f>
        <v>1806.2551874110181</v>
      </c>
      <c r="AH89" s="23">
        <f>AG87* Base!$B67/100+AG89* Base!$B68/100+AG90* Base!$B69/100</f>
        <v>1806.6808158675328</v>
      </c>
      <c r="AI89" s="23">
        <f>AH87* Base!$B67/100+AH89* Base!$B68/100+AH90* Base!$B69/100</f>
        <v>1806.9529345123253</v>
      </c>
      <c r="AJ89" s="23">
        <f>AI87* Base!$B67/100+AI89* Base!$B68/100+AI90* Base!$B69/100</f>
        <v>1807.0912233264373</v>
      </c>
      <c r="AK89" s="23">
        <f>AJ87* Base!$B67/100+AJ89* Base!$B68/100+AJ90* Base!$B69/100</f>
        <v>1807.1128679243564</v>
      </c>
      <c r="AL89" s="23">
        <f>AK87* Base!$B67/100+AK89* Base!$B68/100+AK90* Base!$B69/100</f>
        <v>1807.0328751120003</v>
      </c>
      <c r="AM89" s="23">
        <f>AL87* Base!$B67/100+AL89* Base!$B68/100+AL90* Base!$B69/100</f>
        <v>1806.8643486326587</v>
      </c>
      <c r="AN89" s="23">
        <f>AM87* Base!$B67/100+AM89* Base!$B68/100+AM90* Base!$B69/100</f>
        <v>1806.6187301019268</v>
      </c>
      <c r="AO89" s="23">
        <f>AN87* Base!$B67/100+AN89* Base!$B68/100+AN90* Base!$B69/100</f>
        <v>1806.3060095088495</v>
      </c>
      <c r="AP89" s="23">
        <f>AO87* Base!$B67/100+AO89* Base!$B68/100+AO90* Base!$B69/100</f>
        <v>1805.934909113603</v>
      </c>
      <c r="AQ89" s="23">
        <f>AP87* Base!$B67/100+AP89* Base!$B68/100+AP90* Base!$B69/100</f>
        <v>1805.5130440927651</v>
      </c>
      <c r="AR89" s="23">
        <f>AQ87* Base!$B67/100+AQ89* Base!$B68/100+AQ90* Base!$B69/100</f>
        <v>1805.0470628633598</v>
      </c>
      <c r="AS89" s="23">
        <f>AR87* Base!$B67/100+AR89* Base!$B68/100+AR90* Base!$B69/100</f>
        <v>1804.5427696491449</v>
      </c>
      <c r="AT89" s="23">
        <f>AS87* Base!$B67/100+AS89* Base!$B68/100+AS90* Base!$B69/100</f>
        <v>1804.0052315306666</v>
      </c>
      <c r="AU89" s="23">
        <f>AT87* Base!$B67/100+AT89* Base!$B68/100+AT90* Base!$B69/100</f>
        <v>1803.4388719388066</v>
      </c>
      <c r="AV89" s="23">
        <f>AU87* Base!$B67/100+AU89* Base!$B68/100+AU90* Base!$B69/100</f>
        <v>1802.8475523049431</v>
      </c>
      <c r="AW89" s="23">
        <f>AV87* Base!$B67/100+AV89* Base!$B68/100+AV90* Base!$B69/100</f>
        <v>1802.2346433650875</v>
      </c>
      <c r="AX89" s="23">
        <f>AW87* Base!$B67/100+AW89* Base!$B68/100+AW90* Base!$B69/100</f>
        <v>1801.6030874266385</v>
      </c>
      <c r="AY89" s="23">
        <f>AX87* Base!$B67/100+AX89* Base!$B68/100+AX90* Base!$B69/100</f>
        <v>1800.9554527413256</v>
      </c>
      <c r="AZ89" s="23">
        <f>AY87* Base!$B67/100+AY89* Base!$B68/100+AY90* Base!$B69/100</f>
        <v>1800.2939809835889</v>
      </c>
      <c r="BA89" s="23">
        <f>AZ87* Base!$B67/100+AZ89* Base!$B68/100+AZ90* Base!$B69/100</f>
        <v>1799.6206287074444</v>
      </c>
      <c r="BB89" s="23">
        <f>BA87* Base!$B67/100+BA89* Base!$B68/100+BA90* Base!$B69/100</f>
        <v>1798.937103544574</v>
      </c>
      <c r="BC89" s="23">
        <f>BB87* Base!$B67/100+BB89* Base!$B68/100+BB90* Base!$B69/100</f>
        <v>1798.2448958099487</v>
      </c>
      <c r="BD89" s="23">
        <f>BC87* Base!$B67/100+BC89* Base!$B68/100+BC90* Base!$B69/100</f>
        <v>1797.5453060970265</v>
      </c>
      <c r="BE89" s="23">
        <f>BD87* Base!$B67/100+BD89* Base!$B68/100+BD90* Base!$B69/100</f>
        <v>1796.8394693709199</v>
      </c>
      <c r="BF89" s="23">
        <f>BE87* Base!$B67/100+BE89* Base!$B68/100+BE90* Base!$B69/100</f>
        <v>1796.1283760035778</v>
      </c>
      <c r="BG89" s="23">
        <f>BF87* Base!$B67/100+BF89* Base!$B68/100+BF90* Base!$B69/100</f>
        <v>1795.4128901387967</v>
      </c>
      <c r="BH89" s="23">
        <f>BG87* Base!$B67/100+BG89* Base!$B68/100+BG90* Base!$B69/100</f>
        <v>1794.6937657257636</v>
      </c>
      <c r="BI89" s="23">
        <f>BH87* Base!$B67/100+BH89* Base!$B68/100+BH90* Base!$B69/100</f>
        <v>1796.5118533671382</v>
      </c>
    </row>
    <row r="90" spans="1:61" s="23" customFormat="1" x14ac:dyDescent="0.3">
      <c r="A90" s="15" t="s">
        <v>2</v>
      </c>
      <c r="B90" s="23">
        <f xml:space="preserve"> Base!B63</f>
        <v>10010</v>
      </c>
      <c r="C90" s="23">
        <f>( Base!$B70/100)*B89+( Base!$B71/100)*B90</f>
        <v>10010.439124999999</v>
      </c>
      <c r="D90" s="23">
        <f>( Base!$B70/100)*C89+( Base!$B71/100)*C90</f>
        <v>10010.910860149479</v>
      </c>
      <c r="E90" s="23">
        <f>( Base!$B70/100)*D89+( Base!$B71/100)*D90</f>
        <v>10011.420299607773</v>
      </c>
      <c r="F90" s="23">
        <f>( Base!$B70/100)*E89+( Base!$B71/100)*E90</f>
        <v>10011.969904024223</v>
      </c>
      <c r="G90" s="23">
        <f>( Base!$B70/100)*F89+( Base!$B71/100)*F90</f>
        <v>10012.56200938015</v>
      </c>
      <c r="H90" s="23">
        <f>( Base!$B70/100)*G89+( Base!$B71/100)*G90</f>
        <v>10013.198657334231</v>
      </c>
      <c r="I90" s="23">
        <f>( Base!$B70/100)*H89+( Base!$B71/100)*H90</f>
        <v>10013.881396376755</v>
      </c>
      <c r="J90" s="23">
        <f>( Base!$B70/100)*I89+( Base!$B71/100)*I90</f>
        <v>10014.61105726962</v>
      </c>
      <c r="K90" s="23">
        <f>( Base!$B70/100)*J89+( Base!$B71/100)*J90</f>
        <v>10015.38750634552</v>
      </c>
      <c r="L90" s="23">
        <f>( Base!$B70/100)*K89+( Base!$B71/100)*K90</f>
        <v>10016.209380324777</v>
      </c>
      <c r="M90" s="23">
        <f>( Base!$B70/100)*L89+( Base!$B71/100)*L90</f>
        <v>10017.073805532209</v>
      </c>
      <c r="N90" s="23">
        <f>( Base!$B70/100)*M89+( Base!$B71/100)*M90</f>
        <v>10017.976100822261</v>
      </c>
      <c r="O90" s="23">
        <f>( Base!$B70/100)*N89+( Base!$B71/100)*N90</f>
        <v>10018.911197230811</v>
      </c>
      <c r="P90" s="23">
        <f>( Base!$B70/100)*O89+( Base!$B71/100)*O90</f>
        <v>10019.874660666102</v>
      </c>
      <c r="Q90" s="23">
        <f>( Base!$B70/100)*P89+( Base!$B71/100)*P90</f>
        <v>10020.862613220144</v>
      </c>
      <c r="R90" s="23">
        <f>( Base!$B70/100)*Q89+( Base!$B71/100)*Q90</f>
        <v>10021.871664080438</v>
      </c>
      <c r="S90" s="23">
        <f>( Base!$B70/100)*R89+( Base!$B71/100)*R90</f>
        <v>10022.898848902018</v>
      </c>
      <c r="T90" s="23">
        <f>( Base!$B70/100)*S89+( Base!$B71/100)*S90</f>
        <v>10023.941576628689</v>
      </c>
      <c r="U90" s="23">
        <f>( Base!$B70/100)*T89+( Base!$B71/100)*T90</f>
        <v>10024.997582867958</v>
      </c>
      <c r="V90" s="23">
        <f>( Base!$B70/100)*U89+( Base!$B71/100)*U90</f>
        <v>10026.064889027779</v>
      </c>
      <c r="W90" s="23">
        <f>( Base!$B70/100)*V89+( Base!$B71/100)*V90</f>
        <v>10027.141766515619</v>
      </c>
      <c r="X90" s="23">
        <f>( Base!$B70/100)*W89+( Base!$B71/100)*W90</f>
        <v>10028.2267053827</v>
      </c>
      <c r="Y90" s="23">
        <f>( Base!$B70/100)*X89+( Base!$B71/100)*X90</f>
        <v>10029.319185390068</v>
      </c>
      <c r="Z90" s="23">
        <f>( Base!$B70/100)*Y89+( Base!$B71/100)*Y90</f>
        <v>10030.418786535287</v>
      </c>
      <c r="AA90" s="23">
        <f>( Base!$B70/100)*Z89+( Base!$B71/100)*Z90</f>
        <v>10031.525037878257</v>
      </c>
      <c r="AB90" s="23">
        <f>( Base!$B70/100)*AA89+( Base!$B71/100)*AA90</f>
        <v>10032.636794369269</v>
      </c>
      <c r="AC90" s="23">
        <f>( Base!$B70/100)*AB89+( Base!$B71/100)*AB90</f>
        <v>10033.753056568537</v>
      </c>
      <c r="AD90" s="23">
        <f>( Base!$B70/100)*AC89+( Base!$B71/100)*AC90</f>
        <v>10034.872952248106</v>
      </c>
      <c r="AE90" s="23">
        <f>( Base!$B70/100)*AD89+( Base!$B71/100)*AD90</f>
        <v>10035.995720310115</v>
      </c>
      <c r="AF90" s="23">
        <f>( Base!$B70/100)*AE89+( Base!$B71/100)*AE90</f>
        <v>10037.120696731423</v>
      </c>
      <c r="AG90" s="23">
        <f>( Base!$B70/100)*AF89+( Base!$B71/100)*AF90</f>
        <v>10038.247302280557</v>
      </c>
      <c r="AH90" s="23">
        <f>( Base!$B70/100)*AG89+( Base!$B71/100)*AG90</f>
        <v>10039.375031784564</v>
      </c>
      <c r="AI90" s="23">
        <f>( Base!$B70/100)*AH89+( Base!$B71/100)*AH90</f>
        <v>10040.503444751006</v>
      </c>
      <c r="AJ90" s="23">
        <f>( Base!$B70/100)*AI89+( Base!$B71/100)*AI90</f>
        <v>10041.632157174683</v>
      </c>
      <c r="AK90" s="23">
        <f>( Base!$B70/100)*AJ89+( Base!$B71/100)*AJ90</f>
        <v>10042.760834379953</v>
      </c>
      <c r="AL90" s="23">
        <f>( Base!$B70/100)*AK89+( Base!$B71/100)*AK90</f>
        <v>10043.889184768161</v>
      </c>
      <c r="AM90" s="23">
        <f>( Base!$B70/100)*AL89+( Base!$B71/100)*AL90</f>
        <v>10045.016954356082</v>
      </c>
      <c r="AN90" s="23">
        <f>( Base!$B70/100)*AM89+( Base!$B71/100)*AM90</f>
        <v>10046.143922005569</v>
      </c>
      <c r="AO90" s="23">
        <f>( Base!$B70/100)*AN89+( Base!$B71/100)*AN90</f>
        <v>10047.269895257146</v>
      </c>
      <c r="AP90" s="23">
        <f>( Base!$B70/100)*AO89+( Base!$B71/100)*AO90</f>
        <v>10048.39470669127</v>
      </c>
      <c r="AQ90" s="23">
        <f>( Base!$B70/100)*AP89+( Base!$B71/100)*AP90</f>
        <v>10049.518210750544</v>
      </c>
      <c r="AR90" s="23">
        <f>( Base!$B70/100)*AQ89+( Base!$B71/100)*AQ90</f>
        <v>10050.64028096465</v>
      </c>
      <c r="AS90" s="23">
        <f>( Base!$B70/100)*AR89+( Base!$B71/100)*AR90</f>
        <v>10051.760807526982</v>
      </c>
      <c r="AT90" s="23">
        <f>( Base!$B70/100)*AS89+( Base!$B71/100)*AS90</f>
        <v>10052.879695178564</v>
      </c>
      <c r="AU90" s="23">
        <f>( Base!$B70/100)*AT89+( Base!$B71/100)*AT90</f>
        <v>10053.996861360269</v>
      </c>
      <c r="AV90" s="23">
        <f>( Base!$B70/100)*AU89+( Base!$B71/100)*AU90</f>
        <v>10055.112234599406</v>
      </c>
      <c r="AW90" s="23">
        <f>( Base!$B70/100)*AV89+( Base!$B71/100)*AV90</f>
        <v>10056.225753100991</v>
      </c>
      <c r="AX90" s="23">
        <f>( Base!$B70/100)*AW89+( Base!$B71/100)*AW90</f>
        <v>10057.337363517732</v>
      </c>
      <c r="AY90" s="23">
        <f>( Base!$B70/100)*AX89+( Base!$B71/100)*AX90</f>
        <v>10058.44701987611</v>
      </c>
      <c r="AZ90" s="23">
        <f>( Base!$B70/100)*AY89+( Base!$B71/100)*AY90</f>
        <v>10059.554682638756</v>
      </c>
      <c r="BA90" s="23">
        <f>( Base!$B70/100)*AZ89+( Base!$B71/100)*AZ90</f>
        <v>10060.660317885824</v>
      </c>
      <c r="BB90" s="23">
        <f>( Base!$B70/100)*BA89+( Base!$B71/100)*BA90</f>
        <v>10061.763896600307</v>
      </c>
      <c r="BC90" s="23">
        <f>( Base!$B70/100)*BB89+( Base!$B71/100)*BB90</f>
        <v>10062.865394044065</v>
      </c>
      <c r="BD90" s="23">
        <f>( Base!$B70/100)*BC89+( Base!$B71/100)*BC90</f>
        <v>10063.964789213102</v>
      </c>
      <c r="BE90" s="23">
        <f>( Base!$B70/100)*BD89+( Base!$B71/100)*BD90</f>
        <v>10065.062064361986</v>
      </c>
      <c r="BF90" s="23">
        <f>( Base!$B70/100)*BE89+( Base!$B71/100)*BE90</f>
        <v>10066.157204588691</v>
      </c>
      <c r="BG90" s="23">
        <f>( Base!$B70/100)*BF89+( Base!$B71/100)*BF90</f>
        <v>10067.250197472153</v>
      </c>
      <c r="BH90" s="23">
        <f>( Base!$B70/100)*BG89+( Base!$B71/100)*BG90</f>
        <v>10068.341032755852</v>
      </c>
      <c r="BI90" s="23">
        <f>( Base!$B70/100)*BH89+( Base!$B71/100)*BH90</f>
        <v>10069.429702071611</v>
      </c>
    </row>
    <row r="91" spans="1:61" s="23" customFormat="1" ht="39.5" thickBot="1" x14ac:dyDescent="0.35">
      <c r="A91" s="84" t="s">
        <v>234</v>
      </c>
    </row>
    <row r="92" spans="1:61" s="23" customFormat="1" ht="21" customHeight="1" thickTop="1" x14ac:dyDescent="0.3">
      <c r="A92" s="15" t="s">
        <v>6</v>
      </c>
      <c r="B92" s="23">
        <f>+Base!B92</f>
        <v>90</v>
      </c>
      <c r="C92" s="23">
        <f>+Parameters!C89+B114*5/3.666+B92</f>
        <v>130.72556645039191</v>
      </c>
      <c r="D92" s="23">
        <f>+Parameters!D89+C114*5/3.666+C92</f>
        <v>162.93044549258343</v>
      </c>
      <c r="E92" s="23">
        <f>+Parameters!E89+D114*5/3.666+D92</f>
        <v>196.39435942532643</v>
      </c>
      <c r="F92" s="23">
        <f>+Parameters!F89+E114*5/3.666+E92</f>
        <v>230.2086933403194</v>
      </c>
      <c r="G92" s="23">
        <f>+Parameters!G89+F114*5/3.666+F92</f>
        <v>263.24582890810672</v>
      </c>
      <c r="H92" s="23">
        <f>+Parameters!H89+G114*5/3.666+G92</f>
        <v>294.15491920361961</v>
      </c>
      <c r="I92" s="23">
        <f>+Parameters!I89+H114*5/3.666+H92</f>
        <v>321.36064641415402</v>
      </c>
      <c r="J92" s="23">
        <f>+Parameters!J89+I114*5/3.666+I92</f>
        <v>343.06486352385309</v>
      </c>
      <c r="K92" s="23">
        <f>+Parameters!K89+J114*5/3.666+J92</f>
        <v>357.24717392771259</v>
      </c>
      <c r="L92" s="23">
        <f>+Parameters!L89+K114*5/3.666+K92</f>
        <v>361.65121046717752</v>
      </c>
      <c r="M92" s="23">
        <f>+Parameters!M89+L114*5/3.666+L92</f>
        <v>361.65121046717752</v>
      </c>
      <c r="N92" s="23">
        <f>+Parameters!N89+M114*5/3.666+M92</f>
        <v>361.65121046717752</v>
      </c>
      <c r="O92" s="23">
        <f>+Parameters!O89+N114*5/3.666+N92</f>
        <v>361.65121046717752</v>
      </c>
      <c r="P92" s="23">
        <f>+Parameters!P89+O114*5/3.666+O92</f>
        <v>361.65121046717752</v>
      </c>
      <c r="Q92" s="23">
        <f>+Parameters!Q89+P114*5/3.666+P92</f>
        <v>361.65121046717758</v>
      </c>
      <c r="R92" s="23">
        <f>+Parameters!R89+Q114*5/3.666+Q92</f>
        <v>361.65121046717758</v>
      </c>
      <c r="S92" s="23">
        <f>+Parameters!S89+R114*5/3.666+R92</f>
        <v>361.65121046717758</v>
      </c>
      <c r="T92" s="23">
        <f>+Parameters!T89+S114*5/3.666+S92</f>
        <v>361.65121046717769</v>
      </c>
      <c r="U92" s="23">
        <f>+Parameters!U89+T114*5/3.666+T92</f>
        <v>361.65121046717775</v>
      </c>
      <c r="V92" s="23">
        <f>+Parameters!V89+U114*5/3.666+U92</f>
        <v>361.6512104671778</v>
      </c>
      <c r="W92" s="23">
        <f>+Parameters!W89+V114*5/3.666+V92</f>
        <v>365.28084951584992</v>
      </c>
      <c r="X92" s="23">
        <f>+Parameters!X89+W114*5/3.666+W92</f>
        <v>369.07513237179336</v>
      </c>
      <c r="Y92" s="23">
        <f>+Parameters!Y89+X114*5/3.666+X92</f>
        <v>372.40416502174935</v>
      </c>
      <c r="Z92" s="23">
        <f>+Parameters!Z89+Y114*5/3.666+Y92</f>
        <v>372.40416502174935</v>
      </c>
      <c r="AA92" s="23">
        <f>+Parameters!AA89+Z114*5/3.666+Z92</f>
        <v>372.40416502174952</v>
      </c>
      <c r="AB92" s="23">
        <f>+Parameters!AB89+AA114*5/3.666+AA92</f>
        <v>372.40416502174952</v>
      </c>
      <c r="AC92" s="23">
        <f>+Parameters!AC89+AB114*5/3.666+AB92</f>
        <v>372.40416502174958</v>
      </c>
      <c r="AD92" s="23">
        <f>+Parameters!AD89+AC114*5/3.666+AC92</f>
        <v>372.40416502174969</v>
      </c>
      <c r="AE92" s="23">
        <f>+Parameters!AE89+AD114*5/3.666+AD92</f>
        <v>372.40416502174969</v>
      </c>
      <c r="AF92" s="23">
        <f>+Parameters!AF89+AE114*5/3.666+AE92</f>
        <v>372.40416502174998</v>
      </c>
      <c r="AG92" s="23">
        <f>+Parameters!AG89+AF114*5/3.666+AF92</f>
        <v>372.40416502174998</v>
      </c>
      <c r="AH92" s="23">
        <f>+Parameters!AH89+AG114*5/3.666+AG92</f>
        <v>372.40416502174998</v>
      </c>
      <c r="AI92" s="23">
        <f>+Parameters!AI89+AH114*5/3.666+AH92</f>
        <v>372.40416502175015</v>
      </c>
      <c r="AJ92" s="23">
        <f>+Parameters!AJ89+AI114*5/3.666+AI92</f>
        <v>372.40416502175015</v>
      </c>
      <c r="AK92" s="23">
        <f>+Parameters!AK89+AJ114*5/3.666+AJ92</f>
        <v>372.40416502175015</v>
      </c>
      <c r="AL92" s="23">
        <f>+Parameters!AL89+AK114*5/3.666+AK92</f>
        <v>372.40416502175043</v>
      </c>
      <c r="AM92" s="23">
        <f>+Parameters!AM89+AL114*5/3.666+AL92</f>
        <v>372.40416502175043</v>
      </c>
      <c r="AN92" s="23">
        <f>+Parameters!AN89+AM114*5/3.666+AM92</f>
        <v>372.40416502175043</v>
      </c>
      <c r="AO92" s="23">
        <f>+Parameters!AO89+AN114*5/3.666+AN92</f>
        <v>372.40416502175043</v>
      </c>
      <c r="AP92" s="23">
        <f>+Parameters!AP89+AO114*5/3.666+AO92</f>
        <v>372.40416502175043</v>
      </c>
      <c r="AQ92" s="23">
        <f>+Parameters!AQ89+AP114*5/3.666+AP92</f>
        <v>372.40416502175043</v>
      </c>
      <c r="AR92" s="23">
        <f>+Parameters!AR89+AQ114*5/3.666+AQ92</f>
        <v>372.40416502175043</v>
      </c>
      <c r="AS92" s="23">
        <f>+Parameters!AS89+AR114*5/3.666+AR92</f>
        <v>372.40416502175049</v>
      </c>
      <c r="AT92" s="23">
        <f>+Parameters!AT89+AS114*5/3.666+AS92</f>
        <v>372.40416502175049</v>
      </c>
      <c r="AU92" s="23">
        <f>+Parameters!AU89+AT114*5/3.666+AT92</f>
        <v>372.40416502175049</v>
      </c>
      <c r="AV92" s="23">
        <f>+Parameters!AV89+AU114*5/3.666+AU92</f>
        <v>372.40416502175083</v>
      </c>
      <c r="AW92" s="23">
        <f>+Parameters!AW89+AV114*5/3.666+AV92</f>
        <v>372.404165021751</v>
      </c>
      <c r="AX92" s="23">
        <f>+Parameters!AX89+AW114*5/3.666+AW92</f>
        <v>372.404165021751</v>
      </c>
      <c r="AY92" s="23">
        <f>+Parameters!AY89+AX114*5/3.666+AX92</f>
        <v>372.404165021751</v>
      </c>
      <c r="AZ92" s="23">
        <f>+Parameters!AZ89+AY114*5/3.666+AY92</f>
        <v>372.404165021751</v>
      </c>
      <c r="BA92" s="23">
        <f>+Parameters!BA89+AZ114*5/3.666+AZ92</f>
        <v>372.404165021751</v>
      </c>
      <c r="BB92" s="23">
        <f>+Parameters!BB89+BA114*5/3.666+BA92</f>
        <v>372.404165021751</v>
      </c>
      <c r="BC92" s="23">
        <f>+Parameters!BC89+BB114*5/3.666+BB92</f>
        <v>372.404165021751</v>
      </c>
      <c r="BD92" s="23">
        <f>+Parameters!BD89+BC114*5/3.666+BC92</f>
        <v>372.404165021751</v>
      </c>
      <c r="BE92" s="23">
        <f>+Parameters!BE89+BD114*5/3.666+BD92</f>
        <v>372.404165021751</v>
      </c>
      <c r="BF92" s="23">
        <f>+Parameters!BF89+BE114*5/3.666+BE92</f>
        <v>372.404165021751</v>
      </c>
      <c r="BG92" s="23">
        <f>+Parameters!BG89+BF114*5/3.666+BF92</f>
        <v>372.404165021751</v>
      </c>
      <c r="BH92" s="23">
        <f>+Parameters!BH89+BG114*5/3.666+BG92</f>
        <v>401.26999286522818</v>
      </c>
      <c r="BI92" s="23">
        <f>+Parameters!BI89+BH114*5/3.666+BH92</f>
        <v>478.30187844319551</v>
      </c>
    </row>
    <row r="93" spans="1:61" s="23" customFormat="1" x14ac:dyDescent="0.3">
      <c r="A93" s="15" t="s">
        <v>7</v>
      </c>
      <c r="B93" s="23">
        <f>+B92/ Base!$B$57</f>
        <v>1.4999999999999999E-2</v>
      </c>
      <c r="C93" s="23">
        <f>+C92/ Base!$B$57</f>
        <v>2.1787594408398652E-2</v>
      </c>
      <c r="D93" s="23">
        <f>+D92/ Base!$B$57</f>
        <v>2.7155074248763907E-2</v>
      </c>
      <c r="E93" s="23">
        <f>+E92/ Base!$B$57</f>
        <v>3.2732393237554405E-2</v>
      </c>
      <c r="F93" s="23">
        <f>+F92/ Base!$B$57</f>
        <v>3.8368115556719901E-2</v>
      </c>
      <c r="G93" s="23">
        <f>+G92/ Base!$B$57</f>
        <v>4.3874304818017788E-2</v>
      </c>
      <c r="H93" s="23">
        <f>+H92/ Base!$B$57</f>
        <v>4.9025819867269935E-2</v>
      </c>
      <c r="I93" s="23">
        <f>+I92/ Base!$B$57</f>
        <v>5.3560107735692336E-2</v>
      </c>
      <c r="J93" s="23">
        <f>+J92/ Base!$B$57</f>
        <v>5.7177477253975519E-2</v>
      </c>
      <c r="K93" s="23">
        <f>+K92/ Base!$B$57</f>
        <v>5.9541195654618767E-2</v>
      </c>
      <c r="L93" s="23">
        <f>+L92/ Base!$B$57</f>
        <v>6.0275201744529584E-2</v>
      </c>
      <c r="M93" s="23">
        <f>+M92/ Base!$B$57</f>
        <v>6.0275201744529584E-2</v>
      </c>
      <c r="N93" s="23">
        <f>+N92/ Base!$B$57</f>
        <v>6.0275201744529584E-2</v>
      </c>
      <c r="O93" s="23">
        <f>+O92/ Base!$B$57</f>
        <v>6.0275201744529584E-2</v>
      </c>
      <c r="P93" s="23">
        <f>+P92/ Base!$B$57</f>
        <v>6.0275201744529584E-2</v>
      </c>
      <c r="Q93" s="23">
        <f>+Q92/ Base!$B$57</f>
        <v>6.0275201744529598E-2</v>
      </c>
      <c r="R93" s="23">
        <f>+R92/ Base!$B$57</f>
        <v>6.0275201744529598E-2</v>
      </c>
      <c r="S93" s="23">
        <f>+S92/ Base!$B$57</f>
        <v>6.0275201744529598E-2</v>
      </c>
      <c r="T93" s="23">
        <f>+T92/ Base!$B$57</f>
        <v>6.0275201744529612E-2</v>
      </c>
      <c r="U93" s="23">
        <f>+U92/ Base!$B$57</f>
        <v>6.0275201744529626E-2</v>
      </c>
      <c r="V93" s="23">
        <f>+V92/ Base!$B$57</f>
        <v>6.0275201744529633E-2</v>
      </c>
      <c r="W93" s="23">
        <f>+W92/ Base!$B$57</f>
        <v>6.0880141585974989E-2</v>
      </c>
      <c r="X93" s="23">
        <f>+X92/ Base!$B$57</f>
        <v>6.1512522061965558E-2</v>
      </c>
      <c r="Y93" s="23">
        <f>+Y92/ Base!$B$57</f>
        <v>6.2067360836958227E-2</v>
      </c>
      <c r="Z93" s="23">
        <f>+Z92/ Base!$B$57</f>
        <v>6.2067360836958227E-2</v>
      </c>
      <c r="AA93" s="23">
        <f>+AA92/ Base!$B$57</f>
        <v>6.2067360836958255E-2</v>
      </c>
      <c r="AB93" s="23">
        <f>+AB92/ Base!$B$57</f>
        <v>6.2067360836958255E-2</v>
      </c>
      <c r="AC93" s="23">
        <f>+AC92/ Base!$B$57</f>
        <v>6.2067360836958262E-2</v>
      </c>
      <c r="AD93" s="23">
        <f>+AD92/ Base!$B$57</f>
        <v>6.2067360836958282E-2</v>
      </c>
      <c r="AE93" s="23">
        <f>+AE92/ Base!$B$57</f>
        <v>6.2067360836958282E-2</v>
      </c>
      <c r="AF93" s="23">
        <f>+AF92/ Base!$B$57</f>
        <v>6.2067360836958331E-2</v>
      </c>
      <c r="AG93" s="23">
        <f>+AG92/ Base!$B$57</f>
        <v>6.2067360836958331E-2</v>
      </c>
      <c r="AH93" s="23">
        <f>+AH92/ Base!$B$57</f>
        <v>6.2067360836958331E-2</v>
      </c>
      <c r="AI93" s="23">
        <f>+AI92/ Base!$B$57</f>
        <v>6.2067360836958359E-2</v>
      </c>
      <c r="AJ93" s="23">
        <f>+AJ92/ Base!$B$57</f>
        <v>6.2067360836958359E-2</v>
      </c>
      <c r="AK93" s="23">
        <f>+AK92/ Base!$B$57</f>
        <v>6.2067360836958359E-2</v>
      </c>
      <c r="AL93" s="23">
        <f>+AL92/ Base!$B$57</f>
        <v>6.2067360836958407E-2</v>
      </c>
      <c r="AM93" s="23">
        <f>+AM92/ Base!$B$57</f>
        <v>6.2067360836958407E-2</v>
      </c>
      <c r="AN93" s="23">
        <f>+AN92/ Base!$B$57</f>
        <v>6.2067360836958407E-2</v>
      </c>
      <c r="AO93" s="23">
        <f>+AO92/ Base!$B$57</f>
        <v>6.2067360836958407E-2</v>
      </c>
      <c r="AP93" s="23">
        <f>+AP92/ Base!$B$57</f>
        <v>6.2067360836958407E-2</v>
      </c>
      <c r="AQ93" s="23">
        <f>+AQ92/ Base!$B$57</f>
        <v>6.2067360836958407E-2</v>
      </c>
      <c r="AR93" s="23">
        <f>+AR92/ Base!$B$57</f>
        <v>6.2067360836958407E-2</v>
      </c>
      <c r="AS93" s="23">
        <f>+AS92/ Base!$B$57</f>
        <v>6.2067360836958414E-2</v>
      </c>
      <c r="AT93" s="23">
        <f>+AT92/ Base!$B$57</f>
        <v>6.2067360836958414E-2</v>
      </c>
      <c r="AU93" s="23">
        <f>+AU92/ Base!$B$57</f>
        <v>6.2067360836958414E-2</v>
      </c>
      <c r="AV93" s="23">
        <f>+AV92/ Base!$B$57</f>
        <v>6.206736083695847E-2</v>
      </c>
      <c r="AW93" s="23">
        <f>+AW92/ Base!$B$57</f>
        <v>6.2067360836958498E-2</v>
      </c>
      <c r="AX93" s="23">
        <f>+AX92/ Base!$B$57</f>
        <v>6.2067360836958498E-2</v>
      </c>
      <c r="AY93" s="23">
        <f>+AY92/ Base!$B$57</f>
        <v>6.2067360836958498E-2</v>
      </c>
      <c r="AZ93" s="23">
        <f>+AZ92/ Base!$B$57</f>
        <v>6.2067360836958498E-2</v>
      </c>
      <c r="BA93" s="23">
        <f>+BA92/ Base!$B$57</f>
        <v>6.2067360836958498E-2</v>
      </c>
      <c r="BB93" s="23">
        <f>+BB92/ Base!$B$57</f>
        <v>6.2067360836958498E-2</v>
      </c>
      <c r="BC93" s="23">
        <f>+BC92/ Base!$B$57</f>
        <v>6.2067360836958498E-2</v>
      </c>
      <c r="BD93" s="23">
        <f>+BD92/ Base!$B$57</f>
        <v>6.2067360836958498E-2</v>
      </c>
      <c r="BE93" s="23">
        <f>+BE92/ Base!$B$57</f>
        <v>6.2067360836958498E-2</v>
      </c>
      <c r="BF93" s="23">
        <f>+BF92/ Base!$B$57</f>
        <v>6.2067360836958498E-2</v>
      </c>
      <c r="BG93" s="23">
        <f>+BG92/ Base!$B$57</f>
        <v>6.2067360836958498E-2</v>
      </c>
      <c r="BH93" s="23">
        <f>+BH92/ Base!$B$57</f>
        <v>6.6878332144204702E-2</v>
      </c>
      <c r="BI93" s="23">
        <f>+BI92/ Base!$B$57</f>
        <v>7.9716979740532587E-2</v>
      </c>
    </row>
    <row r="94" spans="1:61" s="23" customFormat="1" x14ac:dyDescent="0.3">
      <c r="A94" s="15" t="s">
        <v>29</v>
      </c>
      <c r="B94" s="23">
        <f>+MAX(B93:BI93)</f>
        <v>7.9716979740532587E-2</v>
      </c>
    </row>
    <row r="95" spans="1:61" s="23" customFormat="1" x14ac:dyDescent="0.3">
      <c r="A95" s="15" t="s">
        <v>109</v>
      </c>
      <c r="B95" s="23">
        <v>20</v>
      </c>
    </row>
    <row r="96" spans="1:61" s="23" customFormat="1" x14ac:dyDescent="0.3">
      <c r="A96" s="15" t="s">
        <v>101</v>
      </c>
      <c r="B96" s="23">
        <v>2.5</v>
      </c>
    </row>
    <row r="97" spans="1:309" s="65" customFormat="1" ht="23.4" customHeight="1" x14ac:dyDescent="0.35">
      <c r="A97" s="56" t="s">
        <v>254</v>
      </c>
      <c r="B97" s="64">
        <v>0</v>
      </c>
      <c r="C97" s="65">
        <f>+B97*(1+0.05)^5</f>
        <v>0</v>
      </c>
      <c r="D97" s="65">
        <f t="shared" ref="D97:I97" si="9">+C97*(1+0.05)^5</f>
        <v>0</v>
      </c>
      <c r="E97" s="65">
        <f t="shared" si="9"/>
        <v>0</v>
      </c>
      <c r="F97" s="65">
        <f t="shared" si="9"/>
        <v>0</v>
      </c>
      <c r="G97" s="65">
        <f t="shared" si="9"/>
        <v>0</v>
      </c>
      <c r="H97" s="65">
        <f t="shared" si="9"/>
        <v>0</v>
      </c>
      <c r="I97" s="65">
        <f t="shared" si="9"/>
        <v>0</v>
      </c>
      <c r="J97" s="65">
        <f>+I97*(1+0.04)^5</f>
        <v>0</v>
      </c>
      <c r="K97" s="65">
        <f t="shared" ref="K97:T97" si="10">+J97*(1+0.04)^5</f>
        <v>0</v>
      </c>
      <c r="L97" s="65">
        <f t="shared" si="10"/>
        <v>0</v>
      </c>
      <c r="M97" s="65">
        <f t="shared" si="10"/>
        <v>0</v>
      </c>
      <c r="N97" s="65">
        <f t="shared" si="10"/>
        <v>0</v>
      </c>
      <c r="O97" s="65">
        <f t="shared" si="10"/>
        <v>0</v>
      </c>
      <c r="P97" s="65">
        <f t="shared" si="10"/>
        <v>0</v>
      </c>
      <c r="Q97" s="65">
        <f t="shared" si="10"/>
        <v>0</v>
      </c>
      <c r="R97" s="65">
        <f t="shared" si="10"/>
        <v>0</v>
      </c>
      <c r="S97" s="65">
        <f t="shared" si="10"/>
        <v>0</v>
      </c>
      <c r="T97" s="65">
        <f t="shared" si="10"/>
        <v>0</v>
      </c>
      <c r="U97" s="65">
        <f>+T97*(1+0.03)^5</f>
        <v>0</v>
      </c>
      <c r="V97" s="65">
        <f t="shared" ref="V97:AN97" si="11">+U97*(1+0.03)^5</f>
        <v>0</v>
      </c>
      <c r="W97" s="65">
        <f t="shared" si="11"/>
        <v>0</v>
      </c>
      <c r="X97" s="65">
        <f t="shared" si="11"/>
        <v>0</v>
      </c>
      <c r="Y97" s="65">
        <f t="shared" si="11"/>
        <v>0</v>
      </c>
      <c r="Z97" s="65">
        <f t="shared" si="11"/>
        <v>0</v>
      </c>
      <c r="AA97" s="65">
        <f t="shared" si="11"/>
        <v>0</v>
      </c>
      <c r="AB97" s="65">
        <f t="shared" si="11"/>
        <v>0</v>
      </c>
      <c r="AC97" s="65">
        <f t="shared" si="11"/>
        <v>0</v>
      </c>
      <c r="AD97" s="65">
        <f t="shared" si="11"/>
        <v>0</v>
      </c>
      <c r="AE97" s="65">
        <f t="shared" si="11"/>
        <v>0</v>
      </c>
      <c r="AF97" s="65">
        <f t="shared" si="11"/>
        <v>0</v>
      </c>
      <c r="AG97" s="65">
        <f t="shared" si="11"/>
        <v>0</v>
      </c>
      <c r="AH97" s="65">
        <f t="shared" si="11"/>
        <v>0</v>
      </c>
      <c r="AI97" s="65">
        <f t="shared" si="11"/>
        <v>0</v>
      </c>
      <c r="AJ97" s="65">
        <f t="shared" si="11"/>
        <v>0</v>
      </c>
      <c r="AK97" s="65">
        <f t="shared" si="11"/>
        <v>0</v>
      </c>
      <c r="AL97" s="65">
        <f t="shared" si="11"/>
        <v>0</v>
      </c>
      <c r="AM97" s="65">
        <f t="shared" si="11"/>
        <v>0</v>
      </c>
      <c r="AN97" s="65">
        <f t="shared" si="11"/>
        <v>0</v>
      </c>
      <c r="AO97" s="65">
        <f>+AN97*(1+$B$16+$B$17)^5</f>
        <v>0</v>
      </c>
      <c r="AP97" s="65">
        <f t="shared" ref="AP97:BI97" si="12">+AO97*(1+$B$16+$B$17)^5</f>
        <v>0</v>
      </c>
      <c r="AQ97" s="65">
        <f t="shared" si="12"/>
        <v>0</v>
      </c>
      <c r="AR97" s="65">
        <f t="shared" si="12"/>
        <v>0</v>
      </c>
      <c r="AS97" s="65">
        <f t="shared" si="12"/>
        <v>0</v>
      </c>
      <c r="AT97" s="65">
        <f t="shared" si="12"/>
        <v>0</v>
      </c>
      <c r="AU97" s="65">
        <f t="shared" si="12"/>
        <v>0</v>
      </c>
      <c r="AV97" s="65">
        <f t="shared" si="12"/>
        <v>0</v>
      </c>
      <c r="AW97" s="65">
        <f t="shared" si="12"/>
        <v>0</v>
      </c>
      <c r="AX97" s="65">
        <f t="shared" si="12"/>
        <v>0</v>
      </c>
      <c r="AY97" s="65">
        <f t="shared" si="12"/>
        <v>0</v>
      </c>
      <c r="AZ97" s="65">
        <f t="shared" si="12"/>
        <v>0</v>
      </c>
      <c r="BA97" s="65">
        <f t="shared" si="12"/>
        <v>0</v>
      </c>
      <c r="BB97" s="65">
        <f t="shared" si="12"/>
        <v>0</v>
      </c>
      <c r="BC97" s="65">
        <f t="shared" si="12"/>
        <v>0</v>
      </c>
      <c r="BD97" s="65">
        <f t="shared" si="12"/>
        <v>0</v>
      </c>
      <c r="BE97" s="65">
        <f t="shared" si="12"/>
        <v>0</v>
      </c>
      <c r="BF97" s="65">
        <f t="shared" si="12"/>
        <v>0</v>
      </c>
      <c r="BG97" s="65">
        <f t="shared" si="12"/>
        <v>0</v>
      </c>
      <c r="BH97" s="65">
        <f t="shared" si="12"/>
        <v>0</v>
      </c>
      <c r="BI97" s="65">
        <f t="shared" si="12"/>
        <v>0</v>
      </c>
      <c r="DS97" s="60"/>
      <c r="DT97" s="60"/>
      <c r="DU97" s="60"/>
      <c r="DV97" s="60"/>
      <c r="DW97" s="60"/>
      <c r="DX97" s="60"/>
      <c r="DY97" s="60"/>
      <c r="DZ97" s="60"/>
      <c r="EA97" s="60"/>
      <c r="EB97" s="60"/>
      <c r="EC97" s="60"/>
      <c r="ED97" s="60"/>
      <c r="EE97" s="60"/>
      <c r="EF97" s="60"/>
      <c r="EG97" s="60"/>
      <c r="EH97" s="60"/>
      <c r="EI97" s="60"/>
      <c r="EJ97" s="60"/>
      <c r="EK97" s="60"/>
      <c r="EL97" s="60"/>
      <c r="EM97" s="60"/>
      <c r="EN97" s="60"/>
      <c r="EO97" s="60"/>
      <c r="EP97" s="60"/>
      <c r="EQ97" s="60"/>
      <c r="ER97" s="60"/>
      <c r="ES97" s="60"/>
      <c r="ET97" s="60"/>
      <c r="EU97" s="60"/>
      <c r="EV97" s="60"/>
      <c r="EW97" s="60"/>
      <c r="EX97" s="60"/>
      <c r="EY97" s="60"/>
      <c r="EZ97" s="60"/>
      <c r="FA97" s="60"/>
      <c r="FB97" s="60"/>
      <c r="FC97" s="60"/>
      <c r="FD97" s="60"/>
      <c r="FE97" s="60"/>
      <c r="FF97" s="60"/>
      <c r="FG97" s="60"/>
      <c r="FH97" s="60"/>
      <c r="FI97" s="60"/>
      <c r="FJ97" s="60"/>
      <c r="FK97" s="60"/>
      <c r="FL97" s="60"/>
      <c r="FM97" s="60"/>
      <c r="FN97" s="60"/>
      <c r="FO97" s="60"/>
      <c r="FP97" s="60"/>
      <c r="FQ97" s="60"/>
      <c r="FR97" s="60"/>
      <c r="FS97" s="60"/>
      <c r="FT97" s="60"/>
      <c r="FU97" s="60"/>
      <c r="FV97" s="60"/>
      <c r="FW97" s="60"/>
      <c r="FX97" s="60"/>
      <c r="FY97" s="60"/>
      <c r="FZ97" s="60"/>
      <c r="GA97" s="60"/>
      <c r="GB97" s="60"/>
      <c r="GC97" s="60"/>
      <c r="GD97" s="60"/>
      <c r="GE97" s="60"/>
      <c r="GF97" s="60"/>
      <c r="GG97" s="60"/>
      <c r="GH97" s="60"/>
      <c r="GI97" s="60"/>
      <c r="GJ97" s="60"/>
      <c r="GK97" s="60"/>
      <c r="GL97" s="60"/>
      <c r="GM97" s="60"/>
      <c r="GN97" s="60"/>
      <c r="GO97" s="60"/>
      <c r="GP97" s="60"/>
      <c r="GQ97" s="60"/>
      <c r="GR97" s="60"/>
      <c r="GS97" s="60"/>
      <c r="GT97" s="60"/>
      <c r="GU97" s="60"/>
      <c r="GV97" s="60"/>
      <c r="GW97" s="60"/>
      <c r="GX97" s="60"/>
      <c r="GY97" s="60"/>
      <c r="GZ97" s="60"/>
      <c r="HA97" s="60"/>
      <c r="HB97" s="60"/>
      <c r="HC97" s="60"/>
      <c r="HD97" s="60"/>
      <c r="HE97" s="60"/>
      <c r="HF97" s="60"/>
      <c r="HG97" s="60"/>
      <c r="HH97" s="60"/>
      <c r="HI97" s="60"/>
      <c r="HJ97" s="60"/>
      <c r="HK97" s="60"/>
      <c r="HL97" s="60"/>
      <c r="HM97" s="60"/>
      <c r="HN97" s="60"/>
      <c r="HO97" s="60"/>
      <c r="HP97" s="60"/>
      <c r="HQ97" s="60"/>
      <c r="HR97" s="60"/>
      <c r="HS97" s="60"/>
      <c r="HT97" s="60"/>
      <c r="HU97" s="60"/>
      <c r="HV97" s="60"/>
      <c r="HW97" s="60"/>
      <c r="HX97" s="60"/>
      <c r="HY97" s="60"/>
      <c r="HZ97" s="60"/>
      <c r="IA97" s="60"/>
      <c r="IB97" s="60"/>
      <c r="IC97" s="60"/>
      <c r="ID97" s="60"/>
      <c r="IE97" s="60"/>
      <c r="IF97" s="60"/>
      <c r="IG97" s="60"/>
      <c r="IH97" s="60"/>
      <c r="II97" s="60"/>
      <c r="IJ97" s="60"/>
      <c r="IK97" s="60"/>
      <c r="IL97" s="60"/>
      <c r="IM97" s="60"/>
      <c r="IN97" s="60"/>
      <c r="IO97" s="60"/>
      <c r="IP97" s="60"/>
      <c r="IQ97" s="60"/>
      <c r="IR97" s="60"/>
      <c r="IS97" s="60"/>
      <c r="IT97" s="60"/>
      <c r="IU97" s="60"/>
      <c r="IV97" s="60"/>
      <c r="IW97" s="60"/>
      <c r="IX97" s="60"/>
      <c r="IY97" s="60"/>
      <c r="IZ97" s="60"/>
      <c r="JA97" s="60"/>
      <c r="JB97" s="60"/>
      <c r="JC97" s="60"/>
      <c r="JD97" s="60"/>
      <c r="JE97" s="60"/>
      <c r="JF97" s="60"/>
      <c r="JG97" s="60"/>
      <c r="JH97" s="60"/>
      <c r="JI97" s="60"/>
      <c r="JJ97" s="60"/>
      <c r="JK97" s="60"/>
      <c r="JL97" s="60"/>
      <c r="JM97" s="60"/>
      <c r="JN97" s="60"/>
      <c r="JO97" s="60"/>
      <c r="JP97" s="60"/>
      <c r="JQ97" s="60"/>
      <c r="JR97" s="60"/>
      <c r="JS97" s="60"/>
      <c r="JT97" s="60"/>
      <c r="JU97" s="60"/>
      <c r="JV97" s="60"/>
      <c r="JW97" s="60"/>
      <c r="JX97" s="60"/>
      <c r="JY97" s="60"/>
      <c r="JZ97" s="60"/>
      <c r="KA97" s="60"/>
      <c r="KB97" s="60"/>
      <c r="KC97" s="60"/>
      <c r="KD97" s="60"/>
      <c r="KE97" s="60"/>
      <c r="KF97" s="60"/>
      <c r="KG97" s="60"/>
      <c r="KH97" s="60"/>
      <c r="KI97" s="60"/>
      <c r="KJ97" s="60"/>
      <c r="KK97" s="60"/>
      <c r="KL97" s="60"/>
      <c r="KM97" s="60"/>
      <c r="KN97" s="60"/>
      <c r="KO97" s="60"/>
      <c r="KP97" s="60"/>
      <c r="KQ97" s="60"/>
      <c r="KR97" s="60"/>
      <c r="KS97" s="60"/>
      <c r="KT97" s="60"/>
      <c r="KU97" s="60"/>
      <c r="KV97" s="60"/>
      <c r="KW97" s="60"/>
    </row>
    <row r="98" spans="1:309" s="23" customFormat="1" ht="18" customHeight="1" x14ac:dyDescent="0.3">
      <c r="A98" s="85"/>
    </row>
    <row r="99" spans="1:309" s="23" customFormat="1" ht="18" customHeight="1" thickBot="1" x14ac:dyDescent="0.35">
      <c r="A99" s="84" t="s">
        <v>205</v>
      </c>
      <c r="B99" s="23" t="s">
        <v>270</v>
      </c>
      <c r="C99" s="23">
        <f>+MAX(B100:AY100)</f>
        <v>1.9972003764331847</v>
      </c>
    </row>
    <row r="100" spans="1:309" s="23" customFormat="1" ht="27.65" customHeight="1" thickTop="1" x14ac:dyDescent="0.3">
      <c r="A100" s="50" t="s">
        <v>14</v>
      </c>
      <c r="B100" s="23">
        <f xml:space="preserve"> Base!B76</f>
        <v>0.83</v>
      </c>
      <c r="C100" s="67">
        <f>B100+Base!$B82*(C101-(Base!$B$80/Base!$B79)*B100-Base!$B83*(B100-B102))</f>
        <v>0.93327295505360208</v>
      </c>
      <c r="D100" s="67">
        <f>C100+Base!$B82*(D101-(Base!$B$80/Base!$B79)*C100-Base!$B83*(C100-C102))</f>
        <v>1.0387189886324566</v>
      </c>
      <c r="E100" s="67">
        <f>D100+Base!$B82*(E101-(Base!$B$80/Base!$B79)*D100-Base!$B83*(D100-D102))</f>
        <v>1.1457482800287877</v>
      </c>
      <c r="F100" s="67">
        <f>E100+Base!$B82*(F101-(Base!$B$80/Base!$B79)*E100-Base!$B83*(E100-E102))</f>
        <v>1.2533617782998827</v>
      </c>
      <c r="G100" s="67">
        <f>F100+Base!$B82*(G101-(Base!$B$80/Base!$B79)*F100-Base!$B83*(F100-F102))</f>
        <v>1.3601388124544229</v>
      </c>
      <c r="H100" s="67">
        <f>G100+Base!$B82*(H101-(Base!$B$80/Base!$B79)*G100-Base!$B83*(G100-G102))</f>
        <v>1.4642296741210414</v>
      </c>
      <c r="I100" s="67">
        <f>H100+Base!$B82*(I101-(Base!$B$80/Base!$B79)*H100-Base!$B83*(H100-H102))</f>
        <v>1.5633438393134449</v>
      </c>
      <c r="J100" s="67">
        <f>I100+Base!$B82*(J101-(Base!$B$80/Base!$B79)*I100-Base!$B83*(I100-I102))</f>
        <v>1.6547233481252352</v>
      </c>
      <c r="K100" s="67">
        <f>J100+Base!$B82*(K101-(Base!$B$80/Base!$B79)*J100-Base!$B83*(J100-J102))</f>
        <v>1.7350862726649421</v>
      </c>
      <c r="L100" s="67">
        <f>K100+Base!$B82*(L101-(Base!$B$80/Base!$B79)*K100-Base!$B83*(K100-K102))</f>
        <v>1.8005127899526534</v>
      </c>
      <c r="M100" s="67">
        <f>L100+Base!$B82*(M101-(Base!$B$80/Base!$B79)*L100-Base!$B83*(L100-L102))</f>
        <v>1.8512217209828543</v>
      </c>
      <c r="N100" s="67">
        <f>M100+Base!$B82*(N101-(Base!$B$80/Base!$B79)*M100-Base!$B83*(M100-M102))</f>
        <v>1.890236287339442</v>
      </c>
      <c r="O100" s="67">
        <f>N100+Base!$B82*(O101-(Base!$B$80/Base!$B79)*N100-Base!$B83*(N100-N102))</f>
        <v>1.9200731701488229</v>
      </c>
      <c r="P100" s="67">
        <f>O100+Base!$B82*(P101-(Base!$B$80/Base!$B79)*O100-Base!$B83*(O100-O102))</f>
        <v>1.9428169588126818</v>
      </c>
      <c r="Q100" s="67">
        <f>P100+Base!$B82*(Q101-(Base!$B$80/Base!$B79)*P100-Base!$B83*(P100-P102))</f>
        <v>1.9601849279419679</v>
      </c>
      <c r="R100" s="67">
        <f>Q100+Base!$B82*(R101-(Base!$B$80/Base!$B79)*Q100-Base!$B83*(Q100-Q102))</f>
        <v>1.9735832267160129</v>
      </c>
      <c r="S100" s="67">
        <f>R100+Base!$B82*(S101-(Base!$B$80/Base!$B79)*R100-Base!$B83*(R100-R102))</f>
        <v>1.9841554626337836</v>
      </c>
      <c r="T100" s="67">
        <f>S100+Base!$B82*(T101-(Base!$B$80/Base!$B79)*S100-Base!$B83*(S100-S102))</f>
        <v>1.9928245696357241</v>
      </c>
      <c r="U100" s="67">
        <f>T100+Base!$B82*(U101-(Base!$B$80/Base!$B79)*T100-Base!$B83*(T100-T102))</f>
        <v>1.9967927662773899</v>
      </c>
      <c r="V100" s="67">
        <f>U100+Base!$B82*(V101-(Base!$B$80/Base!$B79)*U100-Base!$B83*(U100-U102))</f>
        <v>1.9971133889490218</v>
      </c>
      <c r="W100" s="67">
        <f>V100+Base!$B82*(W101-(Base!$B$80/Base!$B79)*V100-Base!$B83*(V100-V102))</f>
        <v>1.9971572589464095</v>
      </c>
      <c r="X100" s="67">
        <f>W100+Base!$B82*(X101-(Base!$B$80/Base!$B79)*W100-Base!$B83*(W100-W102))</f>
        <v>1.9972003764331847</v>
      </c>
      <c r="Y100" s="67">
        <f>X100+Base!$B82*(Y101-(Base!$B$80/Base!$B79)*X100-Base!$B83*(X100-X102))</f>
        <v>1.9970212846088709</v>
      </c>
      <c r="Z100" s="67">
        <f>Y100+Base!$B82*(Z101-(Base!$B$80/Base!$B79)*Y100-Base!$B83*(Y100-Y102))</f>
        <v>1.9944591024360292</v>
      </c>
      <c r="AA100" s="67">
        <f>Z100+Base!$B82*(AA101-(Base!$B$80/Base!$B79)*Z100-Base!$B83*(Z100-Z102))</f>
        <v>1.9901220608261225</v>
      </c>
      <c r="AB100" s="67">
        <f>AA100+Base!$B82*(AB101-(Base!$B$80/Base!$B79)*AA100-Base!$B83*(AA100-AA102))</f>
        <v>1.9845017123178366</v>
      </c>
      <c r="AC100" s="67">
        <f>AB100+Base!$B82*(AC101-(Base!$B$80/Base!$B79)*AB100-Base!$B83*(AB100-AB102))</f>
        <v>1.977992567844798</v>
      </c>
      <c r="AD100" s="67">
        <f>AC100+Base!$B82*(AD101-(Base!$B$80/Base!$B79)*AC100-Base!$B83*(AC100-AC102))</f>
        <v>1.9709087012923685</v>
      </c>
      <c r="AE100" s="67">
        <f>AD100+Base!$B82*(AE101-(Base!$B$80/Base!$B79)*AD100-Base!$B83*(AD100-AD102))</f>
        <v>1.9634977555973097</v>
      </c>
      <c r="AF100" s="67">
        <f>AE100+Base!$B82*(AF101-(Base!$B$80/Base!$B79)*AE100-Base!$B83*(AE100-AE102))</f>
        <v>1.9559527274568103</v>
      </c>
      <c r="AG100" s="67">
        <f>AF100+Base!$B82*(AG101-(Base!$B$80/Base!$B79)*AF100-Base!$B83*(AF100-AF102))</f>
        <v>1.9484218574717385</v>
      </c>
      <c r="AH100" s="67">
        <f>AG100+Base!$B82*(AH101-(Base!$B$80/Base!$B79)*AG100-Base!$B83*(AG100-AG102))</f>
        <v>1.9410169082052158</v>
      </c>
      <c r="AI100" s="67">
        <f>AH100+Base!$B82*(AI101-(Base!$B$80/Base!$B79)*AH100-Base!$B83*(AH100-AH102))</f>
        <v>1.9338200736544831</v>
      </c>
      <c r="AJ100" s="67">
        <f>AI100+Base!$B82*(AJ101-(Base!$B$80/Base!$B79)*AI100-Base!$B83*(AI100-AI102))</f>
        <v>1.9268897294918883</v>
      </c>
      <c r="AK100" s="67">
        <f>AJ100+Base!$B82*(AK101-(Base!$B$80/Base!$B79)*AJ100-Base!$B83*(AJ100-AJ102))</f>
        <v>1.9202652036337149</v>
      </c>
      <c r="AL100" s="67">
        <f>AK100+Base!$B82*(AL101-(Base!$B$80/Base!$B79)*AK100-Base!$B83*(AK100-AK102))</f>
        <v>1.9139707207761909</v>
      </c>
      <c r="AM100" s="67">
        <f>AL100+Base!$B82*(AM101-(Base!$B$80/Base!$B79)*AL100-Base!$B83*(AL100-AL102))</f>
        <v>1.9080186520611664</v>
      </c>
      <c r="AN100" s="67">
        <f>AM100+Base!$B82*(AN101-(Base!$B$80/Base!$B79)*AM100-Base!$B83*(AM100-AM102))</f>
        <v>1.9024121815985608</v>
      </c>
      <c r="AO100" s="67">
        <f>AN100+Base!$B82*(AO101-(Base!$B$80/Base!$B79)*AN100-Base!$B83*(AN100-AN102))</f>
        <v>1.8971474848125185</v>
      </c>
      <c r="AP100" s="67">
        <f>AO100+Base!$B82*(AP101-(Base!$B$80/Base!$B79)*AO100-Base!$B83*(AO100-AO102))</f>
        <v>1.892215499161723</v>
      </c>
      <c r="AQ100" s="67">
        <f>AP100+Base!$B82*(AQ101-(Base!$B$80/Base!$B79)*AP100-Base!$B83*(AP100-AP102))</f>
        <v>1.8876033554134151</v>
      </c>
      <c r="AR100" s="67">
        <f>AQ100+Base!$B82*(AR101-(Base!$B$80/Base!$B79)*AQ100-Base!$B83*(AQ100-AQ102))</f>
        <v>1.8832955270591647</v>
      </c>
      <c r="AS100" s="67">
        <f>AR100+Base!$B82*(AS101-(Base!$B$80/Base!$B79)*AR100-Base!$B83*(AR100-AR102))</f>
        <v>1.879274746412041</v>
      </c>
      <c r="AT100" s="67">
        <f>AS100+Base!$B82*(AT101-(Base!$B$80/Base!$B79)*AS100-Base!$B83*(AS100-AS102))</f>
        <v>1.875522728210723</v>
      </c>
      <c r="AU100" s="67">
        <f>AT100+Base!$B82*(AU101-(Base!$B$80/Base!$B79)*AT100-Base!$B83*(AT100-AT102))</f>
        <v>1.8720207349927653</v>
      </c>
      <c r="AV100" s="67">
        <f>AU100+Base!$B82*(AV101-(Base!$B$80/Base!$B79)*AU100-Base!$B83*(AU100-AU102))</f>
        <v>1.8687500129259054</v>
      </c>
      <c r="AW100" s="67">
        <f>AV100+Base!$B82*(AW101-(Base!$B$80/Base!$B79)*AV100-Base!$B83*(AV100-AV102))</f>
        <v>1.8656921220627776</v>
      </c>
      <c r="AX100" s="67">
        <f>AW100+Base!$B82*(AX101-(Base!$B$80/Base!$B79)*AW100-Base!$B83*(AW100-AW102))</f>
        <v>1.8628291809887088</v>
      </c>
      <c r="AY100" s="67">
        <f>AX100+Base!$B82*(AY101-(Base!$B$80/Base!$B79)*AX100-Base!$B83*(AX100-AX102))</f>
        <v>1.8601440424587261</v>
      </c>
      <c r="AZ100" s="67">
        <f>AY100+Base!$B82*(AZ101-(Base!$B$80/Base!$B79)*AY100-Base!$B83*(AY100-AY102))</f>
        <v>1.8576204137771029</v>
      </c>
      <c r="BA100" s="67">
        <f>AZ100+Base!$B82*(BA101-(Base!$B$80/Base!$B79)*AZ100-Base!$B83*(AZ100-AZ102))</f>
        <v>1.8552429332819136</v>
      </c>
      <c r="BB100" s="67">
        <f>BA100+Base!$B82*(BB101-(Base!$B$80/Base!$B79)*BA100-Base!$B83*(BA100-BA102))</f>
        <v>1.8529972122903404</v>
      </c>
      <c r="BC100" s="67">
        <f>BB100+Base!$B82*(BC101-(Base!$B$80/Base!$B79)*BB100-Base!$B83*(BB100-BB102))</f>
        <v>1.8508698501796828</v>
      </c>
      <c r="BD100" s="67">
        <f>BC100+Base!$B82*(BD101-(Base!$B$80/Base!$B79)*BC100-Base!$B83*(BC100-BC102))</f>
        <v>1.8488484288742912</v>
      </c>
      <c r="BE100" s="67">
        <f>BD100+Base!$B82*(BE101-(Base!$B$80/Base!$B79)*BD100-Base!$B83*(BD100-BD102))</f>
        <v>1.8469214918373329</v>
      </c>
      <c r="BF100" s="67">
        <f>BE100+Base!$B82*(BF101-(Base!$B$80/Base!$B79)*BE100-Base!$B83*(BE100-BE102))</f>
        <v>1.8450785116920096</v>
      </c>
      <c r="BG100" s="67">
        <f>BF100+Base!$B82*(BG101-(Base!$B$80/Base!$B79)*BF100-Base!$B83*(BF100-BF102))</f>
        <v>1.8433098497885576</v>
      </c>
      <c r="BH100" s="67">
        <f>BG100+Base!$B82*(BH101-(Base!$B$80/Base!$B79)*BG100-Base!$B83*(BG100-BG102))</f>
        <v>1.8621739819361063</v>
      </c>
      <c r="BI100" s="67">
        <f>BH100+Base!$B82*(BI101-(Base!$B$80/Base!$B79)*BH100-Base!$B83*(BH100-BH102))</f>
        <v>1.9282814302297044</v>
      </c>
      <c r="BJ100" s="67"/>
      <c r="BK100" s="67"/>
      <c r="BL100" s="67"/>
      <c r="BM100" s="67"/>
      <c r="BN100" s="67"/>
      <c r="BO100" s="67"/>
      <c r="BP100" s="67"/>
      <c r="BQ100" s="67"/>
      <c r="BR100" s="67"/>
      <c r="BS100" s="67"/>
      <c r="BT100" s="67"/>
      <c r="BU100" s="67"/>
      <c r="BV100" s="67"/>
      <c r="BW100" s="67"/>
      <c r="BX100" s="67"/>
      <c r="BY100" s="67"/>
      <c r="BZ100" s="67"/>
      <c r="CA100" s="67"/>
      <c r="CB100" s="67"/>
      <c r="CC100" s="67"/>
      <c r="CD100" s="67"/>
      <c r="CE100" s="67"/>
      <c r="CF100" s="67"/>
      <c r="CG100" s="67"/>
      <c r="CH100" s="67"/>
      <c r="CI100" s="67"/>
      <c r="CJ100" s="67"/>
      <c r="CK100" s="67"/>
      <c r="CL100" s="67"/>
      <c r="CM100" s="67"/>
      <c r="CN100" s="67"/>
      <c r="CO100" s="67"/>
      <c r="CP100" s="67"/>
      <c r="CQ100" s="67"/>
      <c r="CR100" s="67"/>
      <c r="CS100" s="67"/>
      <c r="CT100" s="67"/>
      <c r="CU100" s="67"/>
      <c r="CV100" s="67"/>
      <c r="CW100" s="67"/>
      <c r="CX100" s="67"/>
      <c r="CY100" s="67"/>
      <c r="CZ100" s="67"/>
      <c r="DA100" s="67"/>
      <c r="DB100" s="67"/>
      <c r="DC100" s="67"/>
      <c r="DD100" s="67"/>
      <c r="DE100" s="67"/>
      <c r="DF100" s="67"/>
      <c r="DG100" s="67"/>
      <c r="DH100" s="67"/>
      <c r="DI100" s="67"/>
      <c r="DJ100" s="67"/>
      <c r="DK100" s="67"/>
      <c r="DL100" s="67"/>
      <c r="DM100" s="67"/>
      <c r="DN100" s="67"/>
      <c r="DO100" s="67"/>
      <c r="DP100" s="67"/>
      <c r="DQ100" s="67"/>
      <c r="DR100" s="67"/>
      <c r="DS100" s="67"/>
      <c r="DT100" s="67"/>
      <c r="DU100" s="67"/>
      <c r="DV100" s="67"/>
      <c r="DW100" s="67"/>
      <c r="DX100" s="67"/>
    </row>
    <row r="101" spans="1:309" s="23" customFormat="1" ht="27.65" customHeight="1" x14ac:dyDescent="0.3">
      <c r="A101" s="15" t="s">
        <v>87</v>
      </c>
      <c r="B101" s="68">
        <f>Base!$B$80*(LOG(B87/Parameters!$B$71))/LOG(2)+Base!B73</f>
        <v>1.8244793195909872</v>
      </c>
      <c r="C101" s="68">
        <f>Base!$B$80*(LOG(C87/Parameters!$B$71))/LOG(2)+Base!C73</f>
        <v>2.051075783207712</v>
      </c>
      <c r="D101" s="68">
        <f>Base!$B$80*(LOG(D87/Parameters!$B$71))/LOG(2)+Base!D73</f>
        <v>2.2018843831983168</v>
      </c>
      <c r="E101" s="68">
        <f>Base!$B$80*(LOG(E87/Parameters!$B$71))/LOG(2)+Base!E73</f>
        <v>2.3496114673873802</v>
      </c>
      <c r="F101" s="68">
        <f>Base!$B$80*(LOG(F87/Parameters!$B$71))/LOG(2)+Base!F73</f>
        <v>2.4895695806967422</v>
      </c>
      <c r="G101" s="68">
        <f>Base!$B$80*(LOG(G87/Parameters!$B$71))/LOG(2)+Base!G73</f>
        <v>2.6164314654819085</v>
      </c>
      <c r="H101" s="68">
        <f>Base!$B$80*(LOG(H87/Parameters!$B$71))/LOG(2)+Base!H73</f>
        <v>2.7242629383747721</v>
      </c>
      <c r="I101" s="68">
        <f>Base!$B$80*(LOG(I87/Parameters!$B$71))/LOG(2)+Base!I73</f>
        <v>2.8064723709990913</v>
      </c>
      <c r="J101" s="68">
        <f>Base!$B$80*(LOG(J87/Parameters!$B$71))/LOG(2)+Base!J73</f>
        <v>2.8556538223890033</v>
      </c>
      <c r="K101" s="68">
        <f>Base!$B$80*(LOG(K87/Parameters!$B$71))/LOG(2)+Base!K73</f>
        <v>2.863266343704213</v>
      </c>
      <c r="L101" s="68">
        <f>Base!$B$80*(LOG(L87/Parameters!$B$71))/LOG(2)+Base!L73</f>
        <v>2.8190109049661749</v>
      </c>
      <c r="M101" s="68">
        <f>Base!$B$80*(LOG(M87/Parameters!$B$71))/LOG(2)+Base!M73</f>
        <v>2.757709804580335</v>
      </c>
      <c r="N101" s="68">
        <f>Base!$B$80*(LOG(N87/Parameters!$B$71))/LOG(2)+Base!N73</f>
        <v>2.7066428571594696</v>
      </c>
      <c r="O101" s="68">
        <f>Base!$B$80*(LOG(O87/Parameters!$B$71))/LOG(2)+Base!O73</f>
        <v>2.6648295543033345</v>
      </c>
      <c r="P101" s="68">
        <f>Base!$B$80*(LOG(P87/Parameters!$B$71))/LOG(2)+Base!P73</f>
        <v>2.6313516485255866</v>
      </c>
      <c r="Q101" s="68">
        <f>Base!$B$80*(LOG(Q87/Parameters!$B$71))/LOG(2)+Base!Q73</f>
        <v>2.6053564164345282</v>
      </c>
      <c r="R101" s="68">
        <f>Base!$B$80*(LOG(R87/Parameters!$B$71))/LOG(2)+Base!R73</f>
        <v>2.5860578144300437</v>
      </c>
      <c r="S101" s="68">
        <f>Base!$B$80*(LOG(S87/Parameters!$B$71))/LOG(2)+Base!S73</f>
        <v>2.5727359527911413</v>
      </c>
      <c r="T101" s="68">
        <f>Base!$B$80*(LOG(T87/Parameters!$B$71))/LOG(2)+Base!T73</f>
        <v>2.5647352792940907</v>
      </c>
      <c r="U101" s="68">
        <f>Base!$B$80*(LOG(U87/Parameters!$B$71))/LOG(2)+Base!U73</f>
        <v>2.5274618173855572</v>
      </c>
      <c r="V101" s="68">
        <f>Base!$B$80*(LOG(V87/Parameters!$B$71))/LOG(2)+Base!V73</f>
        <v>2.4943797529669607</v>
      </c>
      <c r="W101" s="68">
        <f>Base!$B$80*(LOG(W87/Parameters!$B$71))/LOG(2)+Base!W73</f>
        <v>2.489124987960722</v>
      </c>
      <c r="X101" s="68">
        <f>Base!$B$80*(LOG(X87/Parameters!$B$71))/LOG(2)+Base!X73</f>
        <v>2.4862454331712782</v>
      </c>
      <c r="Y101" s="68">
        <f>Base!$B$80*(LOG(Y87/Parameters!$B$71))/LOG(2)+Base!Y73</f>
        <v>2.4813086366105832</v>
      </c>
      <c r="Z101" s="68">
        <f>Base!$B$80*(LOG(Z87/Parameters!$B$71))/LOG(2)+Base!Z73</f>
        <v>2.4553819940551542</v>
      </c>
      <c r="AA101" s="68">
        <f>Base!$B$80*(LOG(AA87/Parameters!$B$71))/LOG(2)+Base!AA73</f>
        <v>2.4323340849273531</v>
      </c>
      <c r="AB101" s="68">
        <f>Base!$B$80*(LOG(AB87/Parameters!$B$71))/LOG(2)+Base!AB73</f>
        <v>2.4118222933475058</v>
      </c>
      <c r="AC101" s="68">
        <f>Base!$B$80*(LOG(AC87/Parameters!$B$71))/LOG(2)+Base!AC73</f>
        <v>2.3935425698120851</v>
      </c>
      <c r="AD101" s="68">
        <f>Base!$B$80*(LOG(AD87/Parameters!$B$71))/LOG(2)+Base!AD73</f>
        <v>2.3772256143449257</v>
      </c>
      <c r="AE101" s="68">
        <f>Base!$B$80*(LOG(AE87/Parameters!$B$71))/LOG(2)+Base!AE73</f>
        <v>2.3626333122638781</v>
      </c>
      <c r="AF101" s="68">
        <f>Base!$B$80*(LOG(AF87/Parameters!$B$71))/LOG(2)+Base!AF73</f>
        <v>2.3495554386792259</v>
      </c>
      <c r="AG101" s="68">
        <f>Base!$B$80*(LOG(AG87/Parameters!$B$71))/LOG(2)+Base!AG73</f>
        <v>2.3378066363605936</v>
      </c>
      <c r="AH101" s="68">
        <f>Base!$B$80*(LOG(AH87/Parameters!$B$71))/LOG(2)+Base!AH73</f>
        <v>2.3272236632370165</v>
      </c>
      <c r="AI101" s="68">
        <f>Base!$B$80*(LOG(AI87/Parameters!$B$71))/LOG(2)+Base!AI73</f>
        <v>2.3176628999153999</v>
      </c>
      <c r="AJ101" s="68">
        <f>Base!$B$80*(LOG(AJ87/Parameters!$B$71))/LOG(2)+Base!AJ73</f>
        <v>2.3089981036831824</v>
      </c>
      <c r="AK101" s="68">
        <f>Base!$B$80*(LOG(AK87/Parameters!$B$71))/LOG(2)+Base!AK73</f>
        <v>2.3011183930517594</v>
      </c>
      <c r="AL101" s="68">
        <f>Base!$B$80*(LOG(AL87/Parameters!$B$71))/LOG(2)+Base!AL73</f>
        <v>2.2939264456279913</v>
      </c>
      <c r="AM101" s="68">
        <f>Base!$B$80*(LOG(AM87/Parameters!$B$71))/LOG(2)+Base!AM73</f>
        <v>2.2873368916725245</v>
      </c>
      <c r="AN101" s="68">
        <f>Base!$B$80*(LOG(AN87/Parameters!$B$71))/LOG(2)+Base!AN73</f>
        <v>2.28127488587835</v>
      </c>
      <c r="AO101" s="68">
        <f>Base!$B$80*(LOG(AO87/Parameters!$B$71))/LOG(2)+Base!AO73</f>
        <v>2.2756748404951539</v>
      </c>
      <c r="AP101" s="68">
        <f>Base!$B$80*(LOG(AP87/Parameters!$B$71))/LOG(2)+Base!AP73</f>
        <v>2.2704793037925768</v>
      </c>
      <c r="AQ101" s="68">
        <f>Base!$B$80*(LOG(AQ87/Parameters!$B$71))/LOG(2)+Base!AQ73</f>
        <v>2.2656379688903292</v>
      </c>
      <c r="AR101" s="68">
        <f>Base!$B$80*(LOG(AR87/Parameters!$B$71))/LOG(2)+Base!AR73</f>
        <v>2.2611067991056792</v>
      </c>
      <c r="AS101" s="68">
        <f>Base!$B$80*(LOG(AS87/Parameters!$B$71))/LOG(2)+Base!AS73</f>
        <v>2.256847257120933</v>
      </c>
      <c r="AT101" s="68">
        <f>Base!$B$80*(LOG(AT87/Parameters!$B$71))/LOG(2)+Base!AT73</f>
        <v>2.2528256264142619</v>
      </c>
      <c r="AU101" s="68">
        <f>Base!$B$80*(LOG(AU87/Parameters!$B$71))/LOG(2)+Base!AU73</f>
        <v>2.2490124144984556</v>
      </c>
      <c r="AV101" s="68">
        <f>Base!$B$80*(LOG(AV87/Parameters!$B$71))/LOG(2)+Base!AV73</f>
        <v>2.2453818285557148</v>
      </c>
      <c r="AW101" s="68">
        <f>Base!$B$80*(LOG(AW87/Parameters!$B$71))/LOG(2)+Base!AW73</f>
        <v>2.2419113150316066</v>
      </c>
      <c r="AX101" s="68">
        <f>Base!$B$80*(LOG(AX87/Parameters!$B$71))/LOG(2)+Base!AX73</f>
        <v>2.2385811556521049</v>
      </c>
      <c r="AY101" s="68">
        <f>Base!$B$80*(LOG(AY87/Parameters!$B$71))/LOG(2)+Base!AY73</f>
        <v>2.2353741131525897</v>
      </c>
      <c r="AZ101" s="68">
        <f>Base!$B$80*(LOG(AZ87/Parameters!$B$71))/LOG(2)+Base!AZ73</f>
        <v>2.2322751207577483</v>
      </c>
      <c r="BA101" s="68">
        <f>Base!$B$80*(LOG(BA87/Parameters!$B$71))/LOG(2)+Base!BA73</f>
        <v>2.2292710101292852</v>
      </c>
      <c r="BB101" s="68">
        <f>Base!$B$80*(LOG(BB87/Parameters!$B$71))/LOG(2)+Base!BB73</f>
        <v>2.2263502731080265</v>
      </c>
      <c r="BC101" s="68">
        <f>Base!$B$80*(LOG(BC87/Parameters!$B$71))/LOG(2)+Base!BC73</f>
        <v>2.2235028531232102</v>
      </c>
      <c r="BD101" s="68">
        <f>Base!$B$80*(LOG(BD87/Parameters!$B$71))/LOG(2)+Base!BD73</f>
        <v>2.2207199626291985</v>
      </c>
      <c r="BE101" s="68">
        <f>Base!$B$80*(LOG(BE87/Parameters!$B$71))/LOG(2)+Base!BE73</f>
        <v>2.2179939233637134</v>
      </c>
      <c r="BF101" s="68">
        <f>Base!$B$80*(LOG(BF87/Parameters!$B$71))/LOG(2)+Base!BF73</f>
        <v>2.2153180266068686</v>
      </c>
      <c r="BG101" s="68">
        <f>Base!$B$80*(LOG(BG87/Parameters!$B$71))/LOG(2)+Base!BG73</f>
        <v>2.2126864109613948</v>
      </c>
      <c r="BH101" s="68">
        <f>Base!$B$80*(LOG(BH87/Parameters!$B$71))/LOG(2)+Base!BH73</f>
        <v>2.4078561821243483</v>
      </c>
      <c r="BI101" s="68">
        <f>Base!$B$80*(LOG(BI87/Parameters!$B$71))/LOG(2)+Base!BI73</f>
        <v>2.8852415416923649</v>
      </c>
      <c r="BJ101" s="68"/>
      <c r="BK101" s="68"/>
      <c r="BL101" s="68"/>
      <c r="BM101" s="68"/>
      <c r="BN101" s="68"/>
      <c r="BO101" s="68"/>
      <c r="BP101" s="68"/>
      <c r="BQ101" s="68"/>
      <c r="BR101" s="68"/>
      <c r="BS101" s="68"/>
      <c r="BT101" s="68"/>
      <c r="BU101" s="68"/>
      <c r="BV101" s="68"/>
      <c r="BW101" s="68"/>
      <c r="BX101" s="68"/>
      <c r="BY101" s="68"/>
      <c r="BZ101" s="68"/>
      <c r="CA101" s="68"/>
      <c r="CB101" s="68"/>
      <c r="CC101" s="68"/>
      <c r="CD101" s="68"/>
      <c r="CE101" s="68"/>
      <c r="CF101" s="68"/>
      <c r="CG101" s="68"/>
      <c r="CH101" s="68"/>
      <c r="CI101" s="68"/>
      <c r="CJ101" s="68"/>
      <c r="CK101" s="68"/>
      <c r="CL101" s="68"/>
      <c r="CM101" s="68"/>
      <c r="CN101" s="68"/>
      <c r="CO101" s="68"/>
      <c r="CP101" s="68"/>
      <c r="CQ101" s="68"/>
      <c r="CR101" s="68"/>
      <c r="CS101" s="68"/>
      <c r="CT101" s="68"/>
      <c r="CU101" s="68"/>
      <c r="CV101" s="68"/>
      <c r="CW101" s="68"/>
      <c r="CX101" s="68"/>
      <c r="CY101" s="68"/>
      <c r="CZ101" s="68"/>
      <c r="DA101" s="68"/>
      <c r="DB101" s="68"/>
      <c r="DC101" s="68"/>
      <c r="DD101" s="68"/>
      <c r="DE101" s="68"/>
      <c r="DF101" s="68"/>
      <c r="DG101" s="68"/>
      <c r="DH101" s="68"/>
      <c r="DI101" s="68"/>
      <c r="DJ101" s="68"/>
      <c r="DK101" s="68"/>
      <c r="DL101" s="68"/>
      <c r="DM101" s="68"/>
      <c r="DN101" s="68"/>
      <c r="DO101" s="68"/>
      <c r="DP101" s="68"/>
      <c r="DQ101" s="68"/>
      <c r="DR101" s="68"/>
      <c r="DS101" s="68"/>
      <c r="DT101" s="68"/>
      <c r="DU101" s="68"/>
      <c r="DV101" s="68"/>
      <c r="DW101" s="68"/>
      <c r="DX101" s="68"/>
    </row>
    <row r="102" spans="1:309" s="23" customFormat="1" ht="27.65" customHeight="1" x14ac:dyDescent="0.3">
      <c r="A102" s="15" t="s">
        <v>44</v>
      </c>
      <c r="B102" s="23">
        <f xml:space="preserve"> Base!B77</f>
        <v>6.7999999999999996E-3</v>
      </c>
      <c r="C102" s="23">
        <f>B102+ Base!$B84*(B100-B102)</f>
        <v>2.7380000000000002E-2</v>
      </c>
      <c r="D102" s="23">
        <f>C102+ Base!$B84*(C100-C102)</f>
        <v>5.0027323876340055E-2</v>
      </c>
      <c r="E102" s="23">
        <f>D102+ Base!$B84*(D100-D102)</f>
        <v>7.4744615495242972E-2</v>
      </c>
      <c r="F102" s="23">
        <f>E102+ Base!$B84*(E100-E102)</f>
        <v>0.10151970710858159</v>
      </c>
      <c r="G102" s="23">
        <f>F102+ Base!$B84*(F100-F102)</f>
        <v>0.13031575888836411</v>
      </c>
      <c r="H102" s="23">
        <f>G102+ Base!$B84*(G100-G102)</f>
        <v>0.16106133522751559</v>
      </c>
      <c r="I102" s="23">
        <f>H102+ Base!$B84*(H100-H102)</f>
        <v>0.19364054369985373</v>
      </c>
      <c r="J102" s="23">
        <f>I102+ Base!$B84*(I100-I102)</f>
        <v>0.22788312609019351</v>
      </c>
      <c r="K102" s="23">
        <f>J102+ Base!$B84*(J100-J102)</f>
        <v>0.26355413164106956</v>
      </c>
      <c r="L102" s="23">
        <f>K102+ Base!$B84*(K100-K102)</f>
        <v>0.30034243516666637</v>
      </c>
      <c r="M102" s="23">
        <f>L102+ Base!$B84*(L100-L102)</f>
        <v>0.33784669403631606</v>
      </c>
      <c r="N102" s="23">
        <f>M102+ Base!$B84*(M100-M102)</f>
        <v>0.3756810697099795</v>
      </c>
      <c r="O102" s="23">
        <f>N102+ Base!$B84*(N100-N102)</f>
        <v>0.41354495015071607</v>
      </c>
      <c r="P102" s="23">
        <f>O102+ Base!$B84*(O100-O102)</f>
        <v>0.45120815565066874</v>
      </c>
      <c r="Q102" s="23">
        <f>P102+ Base!$B84*(P100-P102)</f>
        <v>0.48849837572971905</v>
      </c>
      <c r="R102" s="23">
        <f>Q102+ Base!$B84*(Q100-Q102)</f>
        <v>0.52529053953502525</v>
      </c>
      <c r="S102" s="23">
        <f>R102+ Base!$B84*(R100-R102)</f>
        <v>0.56149785671454988</v>
      </c>
      <c r="T102" s="23">
        <f>S102+ Base!$B84*(S100-S102)</f>
        <v>0.59706429686253071</v>
      </c>
      <c r="U102" s="23">
        <f>T102+ Base!$B84*(T100-T102)</f>
        <v>0.63195830368186057</v>
      </c>
      <c r="V102" s="23">
        <f>U102+ Base!$B84*(U100-U102)</f>
        <v>0.66607916524674882</v>
      </c>
      <c r="W102" s="23">
        <f>V102+ Base!$B84*(V100-V102)</f>
        <v>0.69935502083930567</v>
      </c>
      <c r="X102" s="23">
        <f>W102+ Base!$B84*(W100-W102)</f>
        <v>0.73180007679198322</v>
      </c>
      <c r="Y102" s="23">
        <f>X102+ Base!$B84*(X100-X102)</f>
        <v>0.76343508428301321</v>
      </c>
      <c r="Z102" s="23">
        <f>Y102+ Base!$B84*(Y100-Y102)</f>
        <v>0.79427473929115966</v>
      </c>
      <c r="AA102" s="23">
        <f>Z102+ Base!$B84*(Z100-Z102)</f>
        <v>0.82427934836978145</v>
      </c>
      <c r="AB102" s="23">
        <f>AA102+ Base!$B84*(AA100-AA102)</f>
        <v>0.85342541618118994</v>
      </c>
      <c r="AC102" s="23">
        <f>AB102+ Base!$B84*(AB100-AB102)</f>
        <v>0.8817023235846061</v>
      </c>
      <c r="AD102" s="23">
        <f>AC102+ Base!$B84*(AC100-AC102)</f>
        <v>0.90910957969111084</v>
      </c>
      <c r="AE102" s="23">
        <f>AD102+ Base!$B84*(AD100-AD102)</f>
        <v>0.93565455773114226</v>
      </c>
      <c r="AF102" s="23">
        <f>AE102+ Base!$B84*(AE100-AE102)</f>
        <v>0.96135063767779649</v>
      </c>
      <c r="AG102" s="23">
        <f>AF102+ Base!$B84*(AF100-AF102)</f>
        <v>0.98621568992227182</v>
      </c>
      <c r="AH102" s="23">
        <f>AG102+ Base!$B84*(AG100-AG102)</f>
        <v>1.0102708441110084</v>
      </c>
      <c r="AI102" s="23">
        <f>AH102+ Base!$B84*(AH100-AH102)</f>
        <v>1.0335394957133637</v>
      </c>
      <c r="AJ102" s="23">
        <f>AI102+ Base!$B84*(AI100-AI102)</f>
        <v>1.0560465101618917</v>
      </c>
      <c r="AK102" s="23">
        <f>AJ102+ Base!$B84*(AJ100-AJ102)</f>
        <v>1.0778175906451415</v>
      </c>
      <c r="AL102" s="23">
        <f>AK102+ Base!$B84*(AK100-AK102)</f>
        <v>1.0988787809698559</v>
      </c>
      <c r="AM102" s="23">
        <f>AL102+ Base!$B84*(AL100-AL102)</f>
        <v>1.1192560794650144</v>
      </c>
      <c r="AN102" s="23">
        <f>AM102+ Base!$B84*(AM100-AM102)</f>
        <v>1.1389751437799183</v>
      </c>
      <c r="AO102" s="23">
        <f>AN102+ Base!$B84*(AN100-AN102)</f>
        <v>1.1580610697253844</v>
      </c>
      <c r="AP102" s="23">
        <f>AO102+ Base!$B84*(AO100-AO102)</f>
        <v>1.1765382301025626</v>
      </c>
      <c r="AQ102" s="23">
        <f>AP102+ Base!$B84*(AP100-AP102)</f>
        <v>1.1944301618290416</v>
      </c>
      <c r="AR102" s="23">
        <f>AQ102+ Base!$B84*(AQ100-AQ102)</f>
        <v>1.2117594916686509</v>
      </c>
      <c r="AS102" s="23">
        <f>AR102+ Base!$B84*(AR100-AR102)</f>
        <v>1.2285478925534137</v>
      </c>
      <c r="AT102" s="23">
        <f>AS102+ Base!$B84*(AS100-AS102)</f>
        <v>1.2448160638998793</v>
      </c>
      <c r="AU102" s="23">
        <f>AT102+ Base!$B84*(AT100-AT102)</f>
        <v>1.2605837305076504</v>
      </c>
      <c r="AV102" s="23">
        <f>AU102+ Base!$B84*(AU100-AU102)</f>
        <v>1.2758696556197782</v>
      </c>
      <c r="AW102" s="23">
        <f>AV102+ Base!$B84*(AV100-AV102)</f>
        <v>1.2906916645524313</v>
      </c>
      <c r="AX102" s="23">
        <f>AW102+ Base!$B84*(AW100-AW102)</f>
        <v>1.3050666759901901</v>
      </c>
      <c r="AY102" s="23">
        <f>AX102+ Base!$B84*(AX100-AX102)</f>
        <v>1.3190107386151531</v>
      </c>
      <c r="AZ102" s="23">
        <f>AY102+ Base!$B84*(AY100-AY102)</f>
        <v>1.3325390712112424</v>
      </c>
      <c r="BA102" s="23">
        <f>AZ102+ Base!$B84*(AZ100-AZ102)</f>
        <v>1.3456661047753888</v>
      </c>
      <c r="BB102" s="23">
        <f>BA102+ Base!$B84*(BA100-BA102)</f>
        <v>1.358405525488052</v>
      </c>
      <c r="BC102" s="23">
        <f>BB102+ Base!$B84*(BB100-BB102)</f>
        <v>1.3707703176581092</v>
      </c>
      <c r="BD102" s="23">
        <f>BC102+ Base!$B84*(BC100-BC102)</f>
        <v>1.3827728059711486</v>
      </c>
      <c r="BE102" s="23">
        <f>BD102+ Base!$B84*(BD100-BD102)</f>
        <v>1.3944246965437272</v>
      </c>
      <c r="BF102" s="23">
        <f>BE102+ Base!$B84*(BE100-BE102)</f>
        <v>1.4057371164260675</v>
      </c>
      <c r="BG102" s="23">
        <f>BF102+ Base!$B84*(BF100-BF102)</f>
        <v>1.416720651307716</v>
      </c>
      <c r="BH102" s="23">
        <f>BG102+ Base!$B84*(BG100-BG102)</f>
        <v>1.427385381269737</v>
      </c>
      <c r="BI102" s="23">
        <f>BH102+ Base!$B84*(BH100-BH102)</f>
        <v>1.4382550962863963</v>
      </c>
    </row>
    <row r="103" spans="1:309" ht="18" customHeight="1" thickBot="1" x14ac:dyDescent="0.4">
      <c r="A103" s="81" t="s">
        <v>202</v>
      </c>
    </row>
    <row r="104" spans="1:309" ht="18" customHeight="1" thickTop="1" thickBot="1" x14ac:dyDescent="0.4">
      <c r="A104" s="82" t="s">
        <v>56</v>
      </c>
      <c r="B104" s="3"/>
    </row>
    <row r="105" spans="1:309" ht="24.65" customHeight="1" thickTop="1" x14ac:dyDescent="0.35">
      <c r="A105" s="15" t="s">
        <v>57</v>
      </c>
      <c r="B105" s="3">
        <f t="shared" ref="B105:BI105" si="13">B21*B118^$B5*(B53/1000)^(1-$B5)</f>
        <v>63.542187841812257</v>
      </c>
      <c r="C105" s="3">
        <f t="shared" si="13"/>
        <v>75.85999786058855</v>
      </c>
      <c r="D105" s="3">
        <f t="shared" si="13"/>
        <v>89.593493804754985</v>
      </c>
      <c r="E105" s="3">
        <f t="shared" si="13"/>
        <v>104.79403320315009</v>
      </c>
      <c r="F105" s="3">
        <f t="shared" si="13"/>
        <v>121.47182630986519</v>
      </c>
      <c r="G105" s="3">
        <f t="shared" si="13"/>
        <v>139.63256752265463</v>
      </c>
      <c r="H105" s="3">
        <f t="shared" si="13"/>
        <v>159.27613603448128</v>
      </c>
      <c r="I105" s="3">
        <f t="shared" si="13"/>
        <v>180.39517533729909</v>
      </c>
      <c r="J105" s="3">
        <f t="shared" si="13"/>
        <v>202.97312712475195</v>
      </c>
      <c r="K105" s="3">
        <f t="shared" si="13"/>
        <v>226.98208735740312</v>
      </c>
      <c r="L105" s="3">
        <f t="shared" si="13"/>
        <v>252.379404271927</v>
      </c>
      <c r="M105" s="3">
        <f t="shared" si="13"/>
        <v>279.37285496507809</v>
      </c>
      <c r="N105" s="3">
        <f t="shared" si="13"/>
        <v>308.11626066795014</v>
      </c>
      <c r="O105" s="3">
        <f t="shared" si="13"/>
        <v>338.58527511569235</v>
      </c>
      <c r="P105" s="3">
        <f t="shared" si="13"/>
        <v>370.75908741739971</v>
      </c>
      <c r="Q105" s="3">
        <f t="shared" si="13"/>
        <v>404.61805203031798</v>
      </c>
      <c r="R105" s="3">
        <f t="shared" si="13"/>
        <v>440.14104136155936</v>
      </c>
      <c r="S105" s="3">
        <f t="shared" si="13"/>
        <v>477.30193929533579</v>
      </c>
      <c r="T105" s="3">
        <f t="shared" si="13"/>
        <v>516.06402846319588</v>
      </c>
      <c r="U105" s="3">
        <f t="shared" si="13"/>
        <v>556.36992991332329</v>
      </c>
      <c r="V105" s="3">
        <f t="shared" si="13"/>
        <v>598.13637321976591</v>
      </c>
      <c r="W105" s="3">
        <f t="shared" si="13"/>
        <v>641.29382327786777</v>
      </c>
      <c r="X105" s="3">
        <f t="shared" si="13"/>
        <v>685.77799423178578</v>
      </c>
      <c r="Y105" s="3">
        <f t="shared" si="13"/>
        <v>731.69804785804183</v>
      </c>
      <c r="Z105" s="3">
        <f t="shared" si="13"/>
        <v>778.93720673558641</v>
      </c>
      <c r="AA105" s="3">
        <f t="shared" si="13"/>
        <v>827.53392682162109</v>
      </c>
      <c r="AB105" s="3">
        <f t="shared" si="13"/>
        <v>877.44367629595786</v>
      </c>
      <c r="AC105" s="3">
        <f t="shared" si="13"/>
        <v>928.63784691942362</v>
      </c>
      <c r="AD105" s="3">
        <f t="shared" si="13"/>
        <v>981.1146064999499</v>
      </c>
      <c r="AE105" s="3">
        <f t="shared" si="13"/>
        <v>1032.8943495157384</v>
      </c>
      <c r="AF105" s="3">
        <f t="shared" si="13"/>
        <v>1085.9748940662823</v>
      </c>
      <c r="AG105" s="3">
        <f t="shared" si="13"/>
        <v>1140.2171522256122</v>
      </c>
      <c r="AH105" s="3">
        <f t="shared" si="13"/>
        <v>1195.5019675123142</v>
      </c>
      <c r="AI105" s="3">
        <f t="shared" si="13"/>
        <v>1251.7247942100382</v>
      </c>
      <c r="AJ105" s="3">
        <f t="shared" si="13"/>
        <v>1308.7917948493575</v>
      </c>
      <c r="AK105" s="3">
        <f t="shared" si="13"/>
        <v>1366.6170078940099</v>
      </c>
      <c r="AL105" s="3">
        <f t="shared" si="13"/>
        <v>1425.1203145353766</v>
      </c>
      <c r="AM105" s="3">
        <f t="shared" si="13"/>
        <v>1484.2259972880122</v>
      </c>
      <c r="AN105" s="3">
        <f t="shared" si="13"/>
        <v>1543.8617337966762</v>
      </c>
      <c r="AO105" s="3">
        <f t="shared" si="13"/>
        <v>1603.957908562784</v>
      </c>
      <c r="AP105" s="3">
        <f t="shared" si="13"/>
        <v>1664.4471552527189</v>
      </c>
      <c r="AQ105" s="3">
        <f t="shared" si="13"/>
        <v>1725.264064839801</v>
      </c>
      <c r="AR105" s="3">
        <f t="shared" si="13"/>
        <v>1786.3450117450006</v>
      </c>
      <c r="AS105" s="3">
        <f t="shared" si="13"/>
        <v>1847.6280627436631</v>
      </c>
      <c r="AT105" s="3">
        <f t="shared" si="13"/>
        <v>1909.0529427646968</v>
      </c>
      <c r="AU105" s="3">
        <f t="shared" si="13"/>
        <v>1970.5610386443361</v>
      </c>
      <c r="AV105" s="3">
        <f t="shared" si="13"/>
        <v>2032.0954270288687</v>
      </c>
      <c r="AW105" s="3">
        <f t="shared" si="13"/>
        <v>2093.6009164155184</v>
      </c>
      <c r="AX105" s="3">
        <f t="shared" si="13"/>
        <v>2155.0240961249992</v>
      </c>
      <c r="AY105" s="3">
        <f t="shared" si="13"/>
        <v>2216.3133870713727</v>
      </c>
      <c r="AZ105" s="3">
        <f t="shared" si="13"/>
        <v>2277.4190907255647</v>
      </c>
      <c r="BA105" s="3">
        <f t="shared" si="13"/>
        <v>2338.2934337995512</v>
      </c>
      <c r="BB105" s="3">
        <f t="shared" si="13"/>
        <v>2398.8906070128783</v>
      </c>
      <c r="BC105" s="3">
        <f t="shared" si="13"/>
        <v>2459.1667969186974</v>
      </c>
      <c r="BD105" s="3">
        <f t="shared" si="13"/>
        <v>2519.0802102195098</v>
      </c>
      <c r="BE105" s="3">
        <f t="shared" si="13"/>
        <v>2578.5910903349109</v>
      </c>
      <c r="BF105" s="3">
        <f t="shared" si="13"/>
        <v>2637.6617262258701</v>
      </c>
      <c r="BG105" s="3">
        <f t="shared" si="13"/>
        <v>2696.2564536549139</v>
      </c>
      <c r="BH105" s="3">
        <f t="shared" si="13"/>
        <v>2754.5297835247707</v>
      </c>
      <c r="BI105" s="3">
        <f t="shared" si="13"/>
        <v>2812.297028411941</v>
      </c>
    </row>
    <row r="106" spans="1:309" ht="18" customHeight="1" x14ac:dyDescent="0.35">
      <c r="A106" s="15" t="s">
        <v>125</v>
      </c>
      <c r="B106" s="3">
        <f>($B25*B100+$B26*B100^$B$27+$B$30*(B100/$B$28)^$B$29)*Parameters!$B$29</f>
        <v>1.8350573750000002E-3</v>
      </c>
      <c r="C106" s="3">
        <f>($B25*C100+$B26*C100^$B$27+$B$30*(C100/$B$28)^$B$29)*Parameters!$B$29</f>
        <v>2.3201220110001036E-3</v>
      </c>
      <c r="D106" s="3">
        <f>($B25*D100+$B26*D100^$B$27+$B$30*(D100/$B$28)^$B$29)*Parameters!$B$29</f>
        <v>2.8740187996044316E-3</v>
      </c>
      <c r="E106" s="3">
        <f>($B25*E100+$B26*E100^$B$27+$B$30*(E100/$B$28)^$B$29)*Parameters!$B$29</f>
        <v>3.496808834067E-3</v>
      </c>
      <c r="F106" s="3">
        <f>($B25*F100+$B26*F100^$B$27+$B$30*(F100/$B$28)^$B$29)*Parameters!$B$29</f>
        <v>4.1845268218784846E-3</v>
      </c>
      <c r="G106" s="3">
        <f>($B25*G100+$B26*G100^$B$27+$B$30*(G100/$B$28)^$B$29)*Parameters!$B$29</f>
        <v>4.9278778030848024E-3</v>
      </c>
      <c r="H106" s="3">
        <f>($B25*H100+$B26*H100^$B$27+$B$30*(H100/$B$28)^$B$29)*Parameters!$B$29</f>
        <v>5.7109961946334494E-3</v>
      </c>
      <c r="I106" s="3">
        <f>($B25*I100+$B26*I100^$B$27+$B$30*(I100/$B$28)^$B$29)*Parameters!$B$29</f>
        <v>6.5103220982350414E-3</v>
      </c>
      <c r="J106" s="3">
        <f>($B25*J100+$B26*J100^$B$27+$B$30*(J100/$B$28)^$B$29)*Parameters!$B$29</f>
        <v>7.2936388045855135E-3</v>
      </c>
      <c r="K106" s="3">
        <f>($B25*K100+$B26*K100^$B$27+$B$30*(K100/$B$28)^$B$29)*Parameters!$B$29</f>
        <v>8.0192843001512196E-3</v>
      </c>
      <c r="L106" s="3">
        <f>($B25*L100+$B26*L100^$B$27+$B$30*(L100/$B$28)^$B$29)*Parameters!$B$29</f>
        <v>8.63546809969345E-3</v>
      </c>
      <c r="M106" s="3">
        <f>($B25*M100+$B26*M100^$B$27+$B$30*(M100/$B$28)^$B$29)*Parameters!$B$29</f>
        <v>9.128729480210894E-3</v>
      </c>
      <c r="N106" s="3">
        <f>($B25*N100+$B26*N100^$B$27+$B$30*(N100/$B$28)^$B$29)*Parameters!$B$29</f>
        <v>9.5175606950353674E-3</v>
      </c>
      <c r="O106" s="3">
        <f>($B25*O100+$B26*O100^$B$27+$B$30*(O100/$B$28)^$B$29)*Parameters!$B$29</f>
        <v>9.820396457079654E-3</v>
      </c>
      <c r="P106" s="3">
        <f>($B25*P100+$B26*P100^$B$27+$B$30*(P100/$B$28)^$B$29)*Parameters!$B$29</f>
        <v>1.0054424892805358E-2</v>
      </c>
      <c r="Q106" s="3">
        <f>($B25*Q100+$B26*Q100^$B$27+$B$30*(Q100/$B$28)^$B$29)*Parameters!$B$29</f>
        <v>1.0234993090173073E-2</v>
      </c>
      <c r="R106" s="3">
        <f>($B25*R100+$B26*R100^$B$27+$B$30*(R100/$B$28)^$B$29)*Parameters!$B$29</f>
        <v>1.0375388167703847E-2</v>
      </c>
      <c r="S106" s="3">
        <f>($B25*S100+$B26*S100^$B$27+$B$30*(S100/$B$28)^$B$29)*Parameters!$B$29</f>
        <v>1.0486845187107251E-2</v>
      </c>
      <c r="T106" s="3">
        <f>($B25*T100+$B26*T100^$B$27+$B$30*(T100/$B$28)^$B$29)*Parameters!$B$29</f>
        <v>1.0578682937434572E-2</v>
      </c>
      <c r="U106" s="3">
        <f>($B25*U100+$B26*U100^$B$27+$B$30*(U100/$B$28)^$B$29)*Parameters!$B$29</f>
        <v>1.0620854324945479E-2</v>
      </c>
      <c r="V106" s="3">
        <f>($B25*V100+$B26*V100^$B$27+$B$30*(V100/$B$28)^$B$29)*Parameters!$B$29</f>
        <v>1.0624265355010928E-2</v>
      </c>
      <c r="W106" s="3">
        <f>($B25*W100+$B26*W100^$B$27+$B$30*(W100/$B$28)^$B$29)*Parameters!$B$29</f>
        <v>1.0624732120308423E-2</v>
      </c>
      <c r="X106" s="3">
        <f>($B25*X100+$B26*X100^$B$27+$B$30*(X100/$B$28)^$B$29)*Parameters!$B$29</f>
        <v>1.0625190889080708E-2</v>
      </c>
      <c r="Y106" s="3">
        <f>($B25*Y100+$B26*Y100^$B$27+$B$30*(Y100/$B$28)^$B$29)*Parameters!$B$29</f>
        <v>1.0623285422283029E-2</v>
      </c>
      <c r="Z106" s="3">
        <f>($B25*Z100+$B26*Z100^$B$27+$B$30*(Z100/$B$28)^$B$29)*Parameters!$B$29</f>
        <v>1.0596043517698555E-2</v>
      </c>
      <c r="AA106" s="3">
        <f>($B25*AA100+$B26*AA100^$B$27+$B$30*(AA100/$B$28)^$B$29)*Parameters!$B$29</f>
        <v>1.0550010469998624E-2</v>
      </c>
      <c r="AB106" s="3">
        <f>($B25*AB100+$B26*AB100^$B$27+$B$30*(AB100/$B$28)^$B$29)*Parameters!$B$29</f>
        <v>1.0490505569295075E-2</v>
      </c>
      <c r="AC106" s="3">
        <f>($B25*AC100+$B26*AC100^$B$27+$B$30*(AC100/$B$28)^$B$29)*Parameters!$B$29</f>
        <v>1.0421800936619213E-2</v>
      </c>
      <c r="AD106" s="3">
        <f>($B25*AD100+$B26*AD100^$B$27+$B$30*(AD100/$B$28)^$B$29)*Parameters!$B$29</f>
        <v>1.0347286553645835E-2</v>
      </c>
      <c r="AE106" s="3">
        <f>($B25*AE100+$B26*AE100^$B$27+$B$30*(AE100/$B$28)^$B$29)*Parameters!$B$29</f>
        <v>1.0269617803272773E-2</v>
      </c>
      <c r="AF106" s="3">
        <f>($B25*AF100+$B26*AF100^$B$27+$B$30*(AF100/$B$28)^$B$29)*Parameters!$B$29</f>
        <v>1.0190844418161827E-2</v>
      </c>
      <c r="AG106" s="3">
        <f>($B25*AG100+$B26*AG100^$B$27+$B$30*(AG100/$B$28)^$B$29)*Parameters!$B$29</f>
        <v>1.0112521278236855E-2</v>
      </c>
      <c r="AH106" s="3">
        <f>($B25*AH100+$B26*AH100^$B$27+$B$30*(AH100/$B$28)^$B$29)*Parameters!$B$29</f>
        <v>1.0035802356808773E-2</v>
      </c>
      <c r="AI106" s="3">
        <f>($B25*AI100+$B26*AI100^$B$27+$B$30*(AI100/$B$28)^$B$29)*Parameters!$B$29</f>
        <v>9.9615195308253805E-3</v>
      </c>
      <c r="AJ106" s="3">
        <f>($B25*AJ100+$B26*AJ100^$B$27+$B$30*(AJ100/$B$28)^$B$29)*Parameters!$B$29</f>
        <v>9.8902481089037982E-3</v>
      </c>
      <c r="AK106" s="3">
        <f>($B25*AK100+$B26*AK100^$B$27+$B$30*(AK100/$B$28)^$B$29)*Parameters!$B$29</f>
        <v>9.8223609022779854E-3</v>
      </c>
      <c r="AL106" s="3">
        <f>($B25*AL100+$B26*AL100^$B$27+$B$30*(AL100/$B$28)^$B$29)*Parameters!$B$29</f>
        <v>9.7580725418694534E-3</v>
      </c>
      <c r="AM106" s="3">
        <f>($B25*AM100+$B26*AM100^$B$27+$B$30*(AM100/$B$28)^$B$29)*Parameters!$B$29</f>
        <v>9.6974755767037062E-3</v>
      </c>
      <c r="AN106" s="3">
        <f>($B25*AN100+$B26*AN100^$B$27+$B$30*(AN100/$B$28)^$B$29)*Parameters!$B$29</f>
        <v>9.6405697045352304E-3</v>
      </c>
      <c r="AO106" s="3">
        <f>($B25*AO100+$B26*AO100^$B$27+$B$30*(AO100/$B$28)^$B$29)*Parameters!$B$29</f>
        <v>9.5872853026587775E-3</v>
      </c>
      <c r="AP106" s="3">
        <f>($B25*AP100+$B26*AP100^$B$27+$B$30*(AP100/$B$28)^$B$29)*Parameters!$B$29</f>
        <v>9.5375022555197336E-3</v>
      </c>
      <c r="AQ106" s="3">
        <f>($B25*AQ100+$B26*AQ100^$B$27+$B$30*(AQ100/$B$28)^$B$29)*Parameters!$B$29</f>
        <v>9.4910649209014666E-3</v>
      </c>
      <c r="AR106" s="3">
        <f>($B25*AR100+$B26*AR100^$B$27+$B$30*(AR100/$B$28)^$B$29)*Parameters!$B$29</f>
        <v>9.4477939400196172E-3</v>
      </c>
      <c r="AS106" s="3">
        <f>($B25*AS100+$B26*AS100^$B$27+$B$30*(AS100/$B$28)^$B$29)*Parameters!$B$29</f>
        <v>9.4074954787523122E-3</v>
      </c>
      <c r="AT106" s="3">
        <f>($B25*AT100+$B26*AT100^$B$27+$B$30*(AT100/$B$28)^$B$29)*Parameters!$B$29</f>
        <v>9.369968386373214E-3</v>
      </c>
      <c r="AU106" s="3">
        <f>($B25*AU100+$B26*AU100^$B$27+$B$30*(AU100/$B$28)^$B$29)*Parameters!$B$29</f>
        <v>9.3350096728869007E-3</v>
      </c>
      <c r="AV106" s="3">
        <f>($B25*AV100+$B26*AV100^$B$27+$B$30*(AV100/$B$28)^$B$29)*Parameters!$B$29</f>
        <v>9.3024186345466615E-3</v>
      </c>
      <c r="AW106" s="3">
        <f>($B25*AW100+$B26*AW100^$B$27+$B$30*(AW100/$B$28)^$B$29)*Parameters!$B$29</f>
        <v>9.2719998975138405E-3</v>
      </c>
      <c r="AX106" s="3">
        <f>($B25*AX100+$B26*AX100^$B$27+$B$30*(AX100/$B$28)^$B$29)*Parameters!$B$29</f>
        <v>9.2435656001553356E-3</v>
      </c>
      <c r="AY106" s="3">
        <f>($B25*AY100+$B26*AY100^$B$27+$B$30*(AY100/$B$28)^$B$29)*Parameters!$B$29</f>
        <v>9.216936893597984E-3</v>
      </c>
      <c r="AZ106" s="3">
        <f>($B25*AZ100+$B26*AZ100^$B$27+$B$30*(AZ100/$B$28)^$B$29)*Parameters!$B$29</f>
        <v>9.1919449064788699E-3</v>
      </c>
      <c r="BA106" s="3">
        <f>($B25*BA100+$B26*BA100^$B$27+$B$30*(BA100/$B$28)^$B$29)*Parameters!$B$29</f>
        <v>9.1684312921505914E-3</v>
      </c>
      <c r="BB106" s="3">
        <f>($B25*BB100+$B26*BB100^$B$27+$B$30*(BB100/$B$28)^$B$29)*Parameters!$B$29</f>
        <v>9.1462484538981908E-3</v>
      </c>
      <c r="BC106" s="3">
        <f>($B25*BC100+$B26*BC100^$B$27+$B$30*(BC100/$B$28)^$B$29)*Parameters!$B$29</f>
        <v>9.1252595251377112E-3</v>
      </c>
      <c r="BD106" s="3">
        <f>($B25*BD100+$B26*BD100^$B$27+$B$30*(BD100/$B$28)^$B$29)*Parameters!$B$29</f>
        <v>9.1053381663730535E-3</v>
      </c>
      <c r="BE106" s="3">
        <f>($B25*BE100+$B26*BE100^$B$27+$B$30*(BE100/$B$28)^$B$29)*Parameters!$B$29</f>
        <v>9.0863682282870915E-3</v>
      </c>
      <c r="BF106" s="3">
        <f>($B25*BF100+$B26*BF100^$B$27+$B$30*(BF100/$B$28)^$B$29)*Parameters!$B$29</f>
        <v>9.0682433202368736E-3</v>
      </c>
      <c r="BG106" s="3">
        <f>($B25*BG100+$B26*BG100^$B$27+$B$30*(BG100/$B$28)^$B$29)*Parameters!$B$29</f>
        <v>9.0508663151999194E-3</v>
      </c>
      <c r="BH106" s="3">
        <f>($B25*BH100+$B26*BH100^$B$27+$B$30*(BH100/$B$28)^$B$29)*Parameters!$B$29</f>
        <v>9.2370644025106478E-3</v>
      </c>
      <c r="BI106" s="3">
        <f>($B25*BI100+$B26*BI100^$B$27+$B$30*(BI100/$B$28)^$B$29)*Parameters!$B$29</f>
        <v>9.9045397790669155E-3</v>
      </c>
    </row>
    <row r="107" spans="1:309" ht="18" customHeight="1" x14ac:dyDescent="0.35">
      <c r="A107" s="15" t="s">
        <v>126</v>
      </c>
      <c r="B107" s="3">
        <f>+B105*B106/(1+B106^Parameters!$B$56)</f>
        <v>0.11660356042275292</v>
      </c>
      <c r="C107" s="3">
        <f>+C105*C106/(1+C106^Parameters!$B$56)</f>
        <v>0.17600445079077226</v>
      </c>
      <c r="D107" s="3">
        <f>+D105*D106/(1+D106^Parameters!$B$56)</f>
        <v>0.25749338551710899</v>
      </c>
      <c r="E107" s="3">
        <f>+E105*E106/(1+E106^Parameters!$B$56)</f>
        <v>0.36644470106228577</v>
      </c>
      <c r="F107" s="3">
        <f>+F105*F106/(1+F106^Parameters!$B$56)</f>
        <v>0.50830211529619551</v>
      </c>
      <c r="G107" s="3">
        <f>+G105*G106/(1+G106^Parameters!$B$56)</f>
        <v>0.68809223008262965</v>
      </c>
      <c r="H107" s="3">
        <f>+H105*H106/(1+H106^Parameters!$B$56)</f>
        <v>0.90962540678884218</v>
      </c>
      <c r="I107" s="3">
        <f>+I105*I106/(1+I106^Parameters!$B$56)</f>
        <v>1.1744306964134033</v>
      </c>
      <c r="J107" s="3">
        <f>+J105*J106/(1+J106^Parameters!$B$56)</f>
        <v>1.4804126762851593</v>
      </c>
      <c r="K107" s="3">
        <f>+K105*K106/(1+K106^Parameters!$B$56)</f>
        <v>1.8202338895607755</v>
      </c>
      <c r="L107" s="3">
        <f>+L105*L106/(1+L106^Parameters!$B$56)</f>
        <v>2.1794142946098622</v>
      </c>
      <c r="M107" s="3">
        <f>+M105*M106/(1+M106^Parameters!$B$56)</f>
        <v>2.550319217090391</v>
      </c>
      <c r="N107" s="3">
        <f>+N105*N106/(1+N106^Parameters!$B$56)</f>
        <v>2.9325152120345539</v>
      </c>
      <c r="O107" s="3">
        <f>+O105*O106/(1+O106^Parameters!$B$56)</f>
        <v>3.3250416361654853</v>
      </c>
      <c r="P107" s="3">
        <f>+P105*P106/(1+P106^Parameters!$B$56)</f>
        <v>3.7277693977633017</v>
      </c>
      <c r="Q107" s="3">
        <f>+Q105*Q106/(1+Q106^Parameters!$B$56)</f>
        <v>4.1412629666895935</v>
      </c>
      <c r="R107" s="3">
        <f>+R105*R106/(1+R106^Parameters!$B$56)</f>
        <v>4.5666341526635721</v>
      </c>
      <c r="S107" s="3">
        <f>+S105*S106/(1+S106^Parameters!$B$56)</f>
        <v>5.0053915448962494</v>
      </c>
      <c r="T107" s="3">
        <f>+T105*T106/(1+T106^Parameters!$B$56)</f>
        <v>5.4592777325273598</v>
      </c>
      <c r="U107" s="3">
        <f>+U105*U106/(1+U106^Parameters!$B$56)</f>
        <v>5.9091239763895329</v>
      </c>
      <c r="V107" s="3">
        <f>+V105*V106/(1+V106^Parameters!$B$56)</f>
        <v>6.3547595475706453</v>
      </c>
      <c r="W107" s="3">
        <f>+W105*W106/(1+W106^Parameters!$B$56)</f>
        <v>6.8135750827357553</v>
      </c>
      <c r="X107" s="3">
        <f>+X105*X106/(1+X106^Parameters!$B$56)</f>
        <v>7.2865220962436128</v>
      </c>
      <c r="Y107" s="3">
        <f>+Y105*Y106/(1+Y106^Parameters!$B$56)</f>
        <v>7.7730372053232859</v>
      </c>
      <c r="Z107" s="3">
        <f>+Z105*Z106/(1+Z106^Parameters!$B$56)</f>
        <v>8.2536525401248291</v>
      </c>
      <c r="AA107" s="3">
        <f>+AA105*AA106/(1+AA106^Parameters!$B$56)</f>
        <v>8.7304915922471782</v>
      </c>
      <c r="AB107" s="3">
        <f>+AB105*AB106/(1+AB106^Parameters!$B$56)</f>
        <v>9.2048277729254906</v>
      </c>
      <c r="AC107" s="3">
        <f>+AC105*AC106/(1+AC106^Parameters!$B$56)</f>
        <v>9.6780787828048975</v>
      </c>
      <c r="AD107" s="3">
        <f>+AD105*AD106/(1+AD106^Parameters!$B$56)</f>
        <v>10.151873975422456</v>
      </c>
      <c r="AE107" s="3">
        <f>+AE105*AE106/(1+AE106^Parameters!$B$56)</f>
        <v>10.607430200686677</v>
      </c>
      <c r="AF107" s="3">
        <f>+AF105*AF106/(1+AF106^Parameters!$B$56)</f>
        <v>11.067001187459255</v>
      </c>
      <c r="AG107" s="3">
        <f>+AG105*AG106/(1+AG106^Parameters!$B$56)</f>
        <v>11.530470213692134</v>
      </c>
      <c r="AH107" s="3">
        <f>+AH105*AH106/(1+AH106^Parameters!$B$56)</f>
        <v>11.997821463129608</v>
      </c>
      <c r="AI107" s="3">
        <f>+AI105*AI106/(1+AI106^Parameters!$B$56)</f>
        <v>12.469080984741677</v>
      </c>
      <c r="AJ107" s="3">
        <f>+AJ105*AJ106/(1+AJ106^Parameters!$B$56)</f>
        <v>12.944275573957666</v>
      </c>
      <c r="AK107" s="3">
        <f>+AK105*AK106/(1+AK106^Parameters!$B$56)</f>
        <v>13.423405466726248</v>
      </c>
      <c r="AL107" s="3">
        <f>+AL105*AL106/(1+AL106^Parameters!$B$56)</f>
        <v>13.906427410128018</v>
      </c>
      <c r="AM107" s="3">
        <f>+AM105*AM106/(1+AM106^Parameters!$B$56)</f>
        <v>14.3932453590092</v>
      </c>
      <c r="AN107" s="3">
        <f>+AN105*AN106/(1+AN106^Parameters!$B$56)</f>
        <v>14.883706658831471</v>
      </c>
      <c r="AO107" s="3">
        <f>+AO105*AO106/(1+AO106^Parameters!$B$56)</f>
        <v>15.377602082847291</v>
      </c>
      <c r="AP107" s="3">
        <f>+AP105*AP106/(1+AP106^Parameters!$B$56)</f>
        <v>15.874668497416211</v>
      </c>
      <c r="AQ107" s="3">
        <f>+AQ105*AQ106/(1+AQ106^Parameters!$B$56)</f>
        <v>16.37459324509291</v>
      </c>
      <c r="AR107" s="3">
        <f>+AR105*AR106/(1+AR106^Parameters!$B$56)</f>
        <v>16.87701957674869</v>
      </c>
      <c r="AS107" s="3">
        <f>+AS105*AS106/(1+AS106^Parameters!$B$56)</f>
        <v>17.381552646676905</v>
      </c>
      <c r="AT107" s="3">
        <f>+AT105*AT106/(1+AT106^Parameters!$B$56)</f>
        <v>17.887765721617964</v>
      </c>
      <c r="AU107" s="3">
        <f>+AU105*AU106/(1+AU106^Parameters!$B$56)</f>
        <v>18.395206356758937</v>
      </c>
      <c r="AV107" s="3">
        <f>+AV105*AV106/(1+AV106^Parameters!$B$56)</f>
        <v>18.903402367570404</v>
      </c>
      <c r="AW107" s="3">
        <f>+AW105*AW106/(1+AW106^Parameters!$B$56)</f>
        <v>19.411867482439568</v>
      </c>
      <c r="AX107" s="3">
        <f>+AX105*AX106/(1+AX106^Parameters!$B$56)</f>
        <v>19.920106602446889</v>
      </c>
      <c r="AY107" s="3">
        <f>+AY105*AY106/(1+AY106^Parameters!$B$56)</f>
        <v>20.427620625073246</v>
      </c>
      <c r="AZ107" s="3">
        <f>+AZ105*AZ106/(1+AZ106^Parameters!$B$56)</f>
        <v>20.933910810912593</v>
      </c>
      <c r="BA107" s="3">
        <f>+BA105*BA106/(1+BA106^Parameters!$B$56)</f>
        <v>21.438482688678061</v>
      </c>
      <c r="BB107" s="3">
        <f>+BB105*BB106/(1+BB106^Parameters!$B$56)</f>
        <v>21.940849505462431</v>
      </c>
      <c r="BC107" s="3">
        <f>+BC105*BC106/(1+BC106^Parameters!$B$56)</f>
        <v>22.440535237484738</v>
      </c>
      <c r="BD107" s="3">
        <f>+BD105*BD106/(1+BD106^Parameters!$B$56)</f>
        <v>22.937077182266759</v>
      </c>
      <c r="BE107" s="3">
        <f>+BE105*BE106/(1+BE106^Parameters!$B$56)</f>
        <v>23.430028156963303</v>
      </c>
      <c r="BF107" s="3">
        <f>+BF105*BF106/(1+BF106^Parameters!$B$56)</f>
        <v>23.918958329892209</v>
      </c>
      <c r="BG107" s="3">
        <f>+BG105*BG106/(1+BG106^Parameters!$B$56)</f>
        <v>24.403456713525653</v>
      </c>
      <c r="BH107" s="3">
        <f>+BH105*BH106/(1+BH106^Parameters!$B$56)</f>
        <v>25.443769009052019</v>
      </c>
      <c r="BI107" s="3">
        <f>+BI105*BI106/(1+BI106^Parameters!$B$56)</f>
        <v>27.854507788457749</v>
      </c>
    </row>
    <row r="108" spans="1:309" ht="18" customHeight="1" x14ac:dyDescent="0.35">
      <c r="A108" s="15" t="s">
        <v>9</v>
      </c>
      <c r="B108" s="3">
        <f t="shared" ref="B108:BI108" si="14">+B105-B107</f>
        <v>63.425584281389504</v>
      </c>
      <c r="C108" s="3">
        <f t="shared" si="14"/>
        <v>75.683993409797779</v>
      </c>
      <c r="D108" s="3">
        <f t="shared" si="14"/>
        <v>89.336000419237877</v>
      </c>
      <c r="E108" s="3">
        <f t="shared" si="14"/>
        <v>104.4275885020878</v>
      </c>
      <c r="F108" s="3">
        <f t="shared" si="14"/>
        <v>120.963524194569</v>
      </c>
      <c r="G108" s="3">
        <f t="shared" si="14"/>
        <v>138.94447529257201</v>
      </c>
      <c r="H108" s="3">
        <f t="shared" si="14"/>
        <v>158.36651062769243</v>
      </c>
      <c r="I108" s="3">
        <f t="shared" si="14"/>
        <v>179.2207446408857</v>
      </c>
      <c r="J108" s="3">
        <f t="shared" si="14"/>
        <v>201.49271444846678</v>
      </c>
      <c r="K108" s="3">
        <f t="shared" si="14"/>
        <v>225.16185346784235</v>
      </c>
      <c r="L108" s="3">
        <f t="shared" si="14"/>
        <v>250.19998997731713</v>
      </c>
      <c r="M108" s="3">
        <f t="shared" si="14"/>
        <v>276.82253574798767</v>
      </c>
      <c r="N108" s="3">
        <f t="shared" si="14"/>
        <v>305.18374545591558</v>
      </c>
      <c r="O108" s="3">
        <f t="shared" si="14"/>
        <v>335.26023347952685</v>
      </c>
      <c r="P108" s="3">
        <f t="shared" si="14"/>
        <v>367.03131801963639</v>
      </c>
      <c r="Q108" s="3">
        <f t="shared" si="14"/>
        <v>400.47678906362842</v>
      </c>
      <c r="R108" s="3">
        <f t="shared" si="14"/>
        <v>435.57440720889576</v>
      </c>
      <c r="S108" s="3">
        <f t="shared" si="14"/>
        <v>472.29654775043952</v>
      </c>
      <c r="T108" s="3">
        <f t="shared" si="14"/>
        <v>510.60475073066851</v>
      </c>
      <c r="U108" s="3">
        <f t="shared" si="14"/>
        <v>550.46080593693375</v>
      </c>
      <c r="V108" s="3">
        <f t="shared" si="14"/>
        <v>591.78161367219525</v>
      </c>
      <c r="W108" s="3">
        <f t="shared" si="14"/>
        <v>634.48024819513205</v>
      </c>
      <c r="X108" s="3">
        <f t="shared" si="14"/>
        <v>678.49147213554215</v>
      </c>
      <c r="Y108" s="3">
        <f t="shared" si="14"/>
        <v>723.92501065271858</v>
      </c>
      <c r="Z108" s="3">
        <f t="shared" si="14"/>
        <v>770.68355419546162</v>
      </c>
      <c r="AA108" s="3">
        <f t="shared" si="14"/>
        <v>818.80343522937392</v>
      </c>
      <c r="AB108" s="3">
        <f t="shared" si="14"/>
        <v>868.2388485230324</v>
      </c>
      <c r="AC108" s="3">
        <f t="shared" si="14"/>
        <v>918.95976813661878</v>
      </c>
      <c r="AD108" s="3">
        <f t="shared" si="14"/>
        <v>970.9627325245275</v>
      </c>
      <c r="AE108" s="3">
        <f t="shared" si="14"/>
        <v>1022.2869193150518</v>
      </c>
      <c r="AF108" s="3">
        <f t="shared" si="14"/>
        <v>1074.9078928788231</v>
      </c>
      <c r="AG108" s="3">
        <f t="shared" si="14"/>
        <v>1128.6866820119201</v>
      </c>
      <c r="AH108" s="3">
        <f t="shared" si="14"/>
        <v>1183.5041460491846</v>
      </c>
      <c r="AI108" s="3">
        <f t="shared" si="14"/>
        <v>1239.2557132252966</v>
      </c>
      <c r="AJ108" s="3">
        <f t="shared" si="14"/>
        <v>1295.8475192753999</v>
      </c>
      <c r="AK108" s="3">
        <f t="shared" si="14"/>
        <v>1353.1936024272836</v>
      </c>
      <c r="AL108" s="3">
        <f t="shared" si="14"/>
        <v>1411.2138871252484</v>
      </c>
      <c r="AM108" s="3">
        <f t="shared" si="14"/>
        <v>1469.8327519290031</v>
      </c>
      <c r="AN108" s="3">
        <f t="shared" si="14"/>
        <v>1528.9780271378447</v>
      </c>
      <c r="AO108" s="3">
        <f t="shared" si="14"/>
        <v>1588.5803064799368</v>
      </c>
      <c r="AP108" s="3">
        <f t="shared" si="14"/>
        <v>1648.5724867553026</v>
      </c>
      <c r="AQ108" s="3">
        <f t="shared" si="14"/>
        <v>1708.8894715947081</v>
      </c>
      <c r="AR108" s="3">
        <f t="shared" si="14"/>
        <v>1769.4679921682521</v>
      </c>
      <c r="AS108" s="3">
        <f t="shared" si="14"/>
        <v>1830.2465100969862</v>
      </c>
      <c r="AT108" s="3">
        <f t="shared" si="14"/>
        <v>1891.1651770430788</v>
      </c>
      <c r="AU108" s="3">
        <f t="shared" si="14"/>
        <v>1952.1658322875771</v>
      </c>
      <c r="AV108" s="3">
        <f t="shared" si="14"/>
        <v>2013.1920246612983</v>
      </c>
      <c r="AW108" s="3">
        <f t="shared" si="14"/>
        <v>2074.189048933079</v>
      </c>
      <c r="AX108" s="3">
        <f t="shared" si="14"/>
        <v>2135.1039895225522</v>
      </c>
      <c r="AY108" s="3">
        <f t="shared" si="14"/>
        <v>2195.8857664462994</v>
      </c>
      <c r="AZ108" s="3">
        <f t="shared" si="14"/>
        <v>2256.4851799146522</v>
      </c>
      <c r="BA108" s="3">
        <f t="shared" si="14"/>
        <v>2316.8549511108731</v>
      </c>
      <c r="BB108" s="3">
        <f t="shared" si="14"/>
        <v>2376.9497575074161</v>
      </c>
      <c r="BC108" s="3">
        <f t="shared" si="14"/>
        <v>2436.7262616812127</v>
      </c>
      <c r="BD108" s="3">
        <f t="shared" si="14"/>
        <v>2496.1431330372429</v>
      </c>
      <c r="BE108" s="3">
        <f t="shared" si="14"/>
        <v>2555.1610621779478</v>
      </c>
      <c r="BF108" s="3">
        <f t="shared" si="14"/>
        <v>2613.742767895978</v>
      </c>
      <c r="BG108" s="3">
        <f t="shared" si="14"/>
        <v>2671.8529969413885</v>
      </c>
      <c r="BH108" s="3">
        <f t="shared" si="14"/>
        <v>2729.0860145157185</v>
      </c>
      <c r="BI108" s="3">
        <f t="shared" si="14"/>
        <v>2784.4425206234832</v>
      </c>
    </row>
    <row r="109" spans="1:309" ht="18" customHeight="1" x14ac:dyDescent="0.35">
      <c r="A109" s="15" t="s">
        <v>69</v>
      </c>
      <c r="B109" s="3">
        <f t="shared" ref="B109:BI109" si="15">(B32*(B137)^$B39)*B47^(1-$B$39)</f>
        <v>6.8066931387862328E-6</v>
      </c>
      <c r="C109" s="3">
        <f t="shared" si="15"/>
        <v>2.5164332649157545E-3</v>
      </c>
      <c r="D109" s="3">
        <f t="shared" si="15"/>
        <v>3.4722359582322841E-3</v>
      </c>
      <c r="E109" s="3">
        <f t="shared" si="15"/>
        <v>4.7623043151744848E-3</v>
      </c>
      <c r="F109" s="3">
        <f t="shared" si="15"/>
        <v>6.4868237249685523E-3</v>
      </c>
      <c r="G109" s="3">
        <f t="shared" si="15"/>
        <v>8.770242465674415E-3</v>
      </c>
      <c r="H109" s="3">
        <f t="shared" si="15"/>
        <v>1.176424595186917E-2</v>
      </c>
      <c r="I109" s="3">
        <f t="shared" si="15"/>
        <v>1.5650907494036616E-2</v>
      </c>
      <c r="J109" s="3">
        <f t="shared" si="15"/>
        <v>2.0648902794422243E-2</v>
      </c>
      <c r="K109" s="3">
        <f t="shared" si="15"/>
        <v>2.703231356081923E-2</v>
      </c>
      <c r="L109" s="3">
        <f t="shared" si="15"/>
        <v>2.8602526431127418E-2</v>
      </c>
      <c r="M109" s="3">
        <f t="shared" si="15"/>
        <v>2.6592173981650886E-2</v>
      </c>
      <c r="N109" s="3">
        <f t="shared" si="15"/>
        <v>2.4728988975051856E-2</v>
      </c>
      <c r="O109" s="3">
        <f t="shared" si="15"/>
        <v>2.3001779375133119E-2</v>
      </c>
      <c r="P109" s="3">
        <f t="shared" si="15"/>
        <v>2.1400235350313431E-2</v>
      </c>
      <c r="Q109" s="3">
        <f t="shared" si="15"/>
        <v>1.9914857345015261E-2</v>
      </c>
      <c r="R109" s="3">
        <f t="shared" si="15"/>
        <v>1.8536890205941146E-2</v>
      </c>
      <c r="S109" s="3">
        <f t="shared" si="15"/>
        <v>1.7258262837873999E-2</v>
      </c>
      <c r="T109" s="3">
        <f t="shared" si="15"/>
        <v>1.607153291055036E-2</v>
      </c>
      <c r="U109" s="3">
        <f t="shared" si="15"/>
        <v>1.4969836180765498E-2</v>
      </c>
      <c r="V109" s="3">
        <f t="shared" si="15"/>
        <v>1.3043890126393709E-2</v>
      </c>
      <c r="W109" s="3">
        <f t="shared" si="15"/>
        <v>1.2138695156182083E-2</v>
      </c>
      <c r="X109" s="3">
        <f t="shared" si="15"/>
        <v>1.1425526889447171E-2</v>
      </c>
      <c r="Y109" s="3">
        <f t="shared" si="15"/>
        <v>1.1293833032752996E-2</v>
      </c>
      <c r="Z109" s="3">
        <f t="shared" si="15"/>
        <v>1.0531526438518816E-2</v>
      </c>
      <c r="AA109" s="3">
        <f t="shared" si="15"/>
        <v>9.8228579064871049E-3</v>
      </c>
      <c r="AB109" s="3">
        <f t="shared" si="15"/>
        <v>9.163903329942262E-3</v>
      </c>
      <c r="AC109" s="3">
        <f t="shared" si="15"/>
        <v>8.5510363979174973E-3</v>
      </c>
      <c r="AD109" s="3">
        <f t="shared" si="15"/>
        <v>7.9809052016832499E-3</v>
      </c>
      <c r="AE109" s="3">
        <f t="shared" si="15"/>
        <v>7.4504107399169326E-3</v>
      </c>
      <c r="AF109" s="3">
        <f t="shared" si="15"/>
        <v>6.9566871636085629E-3</v>
      </c>
      <c r="AG109" s="3">
        <f t="shared" si="15"/>
        <v>6.497083615458683E-3</v>
      </c>
      <c r="AH109" s="3">
        <f t="shared" si="15"/>
        <v>6.0691475310152045E-3</v>
      </c>
      <c r="AI109" s="3">
        <f t="shared" si="15"/>
        <v>5.6706092801773935E-3</v>
      </c>
      <c r="AJ109" s="3">
        <f t="shared" si="15"/>
        <v>5.299368038076303E-3</v>
      </c>
      <c r="AK109" s="3">
        <f t="shared" si="15"/>
        <v>4.9534787838078596E-3</v>
      </c>
      <c r="AL109" s="3">
        <f t="shared" si="15"/>
        <v>4.631140334130277E-3</v>
      </c>
      <c r="AM109" s="3">
        <f t="shared" si="15"/>
        <v>4.3306843271184161E-3</v>
      </c>
      <c r="AN109" s="3">
        <f t="shared" si="15"/>
        <v>4.0505650779612068E-3</v>
      </c>
      <c r="AO109" s="3">
        <f t="shared" si="15"/>
        <v>3.7893502356536506E-3</v>
      </c>
      <c r="AP109" s="3">
        <f t="shared" si="15"/>
        <v>3.5457121753327409E-3</v>
      </c>
      <c r="AQ109" s="3">
        <f t="shared" si="15"/>
        <v>3.3184200664834141E-3</v>
      </c>
      <c r="AR109" s="3">
        <f t="shared" si="15"/>
        <v>3.1063325622451227E-3</v>
      </c>
      <c r="AS109" s="3">
        <f t="shared" si="15"/>
        <v>2.9083910596229097E-3</v>
      </c>
      <c r="AT109" s="3">
        <f t="shared" si="15"/>
        <v>2.7236134845870928E-3</v>
      </c>
      <c r="AU109" s="3">
        <f t="shared" si="15"/>
        <v>2.5510885598679436E-3</v>
      </c>
      <c r="AV109" s="3">
        <f t="shared" si="15"/>
        <v>2.3899705167470565E-3</v>
      </c>
      <c r="AW109" s="3">
        <f t="shared" si="15"/>
        <v>2.2394742153443556E-3</v>
      </c>
      <c r="AX109" s="3">
        <f t="shared" si="15"/>
        <v>2.0988706408258074E-3</v>
      </c>
      <c r="AY109" s="3">
        <f t="shared" si="15"/>
        <v>1.9674827456336989E-3</v>
      </c>
      <c r="AZ109" s="3">
        <f t="shared" si="15"/>
        <v>1.8446816102926501E-3</v>
      </c>
      <c r="BA109" s="3">
        <f t="shared" si="15"/>
        <v>1.7298828975886378E-3</v>
      </c>
      <c r="BB109" s="3">
        <f t="shared" si="15"/>
        <v>1.6225435769735177E-3</v>
      </c>
      <c r="BC109" s="3">
        <f t="shared" si="15"/>
        <v>1.5221588979303421E-3</v>
      </c>
      <c r="BD109" s="3">
        <f t="shared" si="15"/>
        <v>1.4282595927598738E-3</v>
      </c>
      <c r="BE109" s="3">
        <f t="shared" si="15"/>
        <v>1.3404092908297566E-3</v>
      </c>
      <c r="BF109" s="3">
        <f t="shared" si="15"/>
        <v>1.2582021277771501E-3</v>
      </c>
      <c r="BG109" s="3">
        <f t="shared" si="15"/>
        <v>6.4841854940145835E-4</v>
      </c>
      <c r="BH109" s="3">
        <f t="shared" si="15"/>
        <v>1.3960719949338677E-4</v>
      </c>
      <c r="BI109" s="3">
        <f t="shared" si="15"/>
        <v>2.6168660493646875E-9</v>
      </c>
    </row>
    <row r="110" spans="1:309" ht="18" customHeight="1" x14ac:dyDescent="0.35">
      <c r="A110" s="15" t="s">
        <v>70</v>
      </c>
      <c r="B110" s="3">
        <f t="shared" ref="B110:BI110" si="16">+B105*B109</f>
        <v>4.325121740063295E-4</v>
      </c>
      <c r="C110" s="3">
        <f t="shared" si="16"/>
        <v>0.19089662209282299</v>
      </c>
      <c r="D110" s="3">
        <f t="shared" si="16"/>
        <v>0.31108975081253165</v>
      </c>
      <c r="E110" s="3">
        <f t="shared" si="16"/>
        <v>0.49906107652789994</v>
      </c>
      <c r="F110" s="3">
        <f t="shared" si="16"/>
        <v>0.78796632482209272</v>
      </c>
      <c r="G110" s="3">
        <f t="shared" si="16"/>
        <v>1.2246114732783357</v>
      </c>
      <c r="H110" s="3">
        <f t="shared" si="16"/>
        <v>1.8737636385730096</v>
      </c>
      <c r="I110" s="3">
        <f t="shared" si="16"/>
        <v>2.8233482015745839</v>
      </c>
      <c r="J110" s="3">
        <f t="shared" si="16"/>
        <v>4.1911723718789116</v>
      </c>
      <c r="K110" s="3">
        <f t="shared" si="16"/>
        <v>6.1358509581345837</v>
      </c>
      <c r="L110" s="3">
        <f t="shared" si="16"/>
        <v>7.2186885813599844</v>
      </c>
      <c r="M110" s="3">
        <f t="shared" si="16"/>
        <v>7.4291315649818763</v>
      </c>
      <c r="N110" s="3">
        <f t="shared" si="16"/>
        <v>7.6194036130919427</v>
      </c>
      <c r="O110" s="3">
        <f t="shared" si="16"/>
        <v>7.7880637978799054</v>
      </c>
      <c r="P110" s="3">
        <f t="shared" si="16"/>
        <v>7.9343317289997852</v>
      </c>
      <c r="Q110" s="3">
        <f t="shared" si="16"/>
        <v>8.0579107854017451</v>
      </c>
      <c r="R110" s="3">
        <f t="shared" si="16"/>
        <v>8.158846158847826</v>
      </c>
      <c r="S110" s="3">
        <f t="shared" si="16"/>
        <v>8.2374023213858845</v>
      </c>
      <c r="T110" s="3">
        <f t="shared" si="16"/>
        <v>8.2939400173974498</v>
      </c>
      <c r="U110" s="3">
        <f t="shared" si="16"/>
        <v>8.3287667067064319</v>
      </c>
      <c r="V110" s="3">
        <f t="shared" si="16"/>
        <v>7.8020251328782466</v>
      </c>
      <c r="W110" s="3">
        <f t="shared" si="16"/>
        <v>7.7844702263125418</v>
      </c>
      <c r="X110" s="3">
        <f t="shared" si="16"/>
        <v>7.8353749132864152</v>
      </c>
      <c r="Y110" s="3">
        <f t="shared" si="16"/>
        <v>8.263675582900035</v>
      </c>
      <c r="Z110" s="3">
        <f t="shared" si="16"/>
        <v>8.2033977866818244</v>
      </c>
      <c r="AA110" s="3">
        <f t="shared" si="16"/>
        <v>8.1287481759660825</v>
      </c>
      <c r="AB110" s="3">
        <f t="shared" si="16"/>
        <v>8.0408090270453076</v>
      </c>
      <c r="AC110" s="3">
        <f t="shared" si="16"/>
        <v>7.940816029491728</v>
      </c>
      <c r="AD110" s="3">
        <f t="shared" si="16"/>
        <v>7.8301826664628651</v>
      </c>
      <c r="AE110" s="3">
        <f t="shared" si="16"/>
        <v>7.6954871548315715</v>
      </c>
      <c r="AF110" s="3">
        <f t="shared" si="16"/>
        <v>7.5547876055520753</v>
      </c>
      <c r="AG110" s="3">
        <f t="shared" si="16"/>
        <v>7.4080861777899836</v>
      </c>
      <c r="AH110" s="3">
        <f t="shared" si="16"/>
        <v>7.2556778144511807</v>
      </c>
      <c r="AI110" s="3">
        <f t="shared" si="16"/>
        <v>7.0980422342755807</v>
      </c>
      <c r="AJ110" s="3">
        <f t="shared" si="16"/>
        <v>6.935769406121203</v>
      </c>
      <c r="AK110" s="3">
        <f t="shared" si="16"/>
        <v>6.769508354193956</v>
      </c>
      <c r="AL110" s="3">
        <f t="shared" si="16"/>
        <v>6.5999321696332096</v>
      </c>
      <c r="AM110" s="3">
        <f t="shared" si="16"/>
        <v>6.4277142643568954</v>
      </c>
      <c r="AN110" s="3">
        <f t="shared" si="16"/>
        <v>6.2535124241174573</v>
      </c>
      <c r="AO110" s="3">
        <f t="shared" si="16"/>
        <v>6.0779582787909225</v>
      </c>
      <c r="AP110" s="3">
        <f t="shared" si="16"/>
        <v>5.9016505435775102</v>
      </c>
      <c r="AQ110" s="3">
        <f t="shared" si="16"/>
        <v>5.7251508927471377</v>
      </c>
      <c r="AR110" s="3">
        <f t="shared" si="16"/>
        <v>5.5489816773876415</v>
      </c>
      <c r="AS110" s="3">
        <f t="shared" si="16"/>
        <v>5.3736249391920659</v>
      </c>
      <c r="AT110" s="3">
        <f t="shared" si="16"/>
        <v>5.1995223377045994</v>
      </c>
      <c r="AU110" s="3">
        <f t="shared" si="16"/>
        <v>5.0270757222070586</v>
      </c>
      <c r="AV110" s="3">
        <f t="shared" si="16"/>
        <v>4.8566481578155161</v>
      </c>
      <c r="AW110" s="3">
        <f t="shared" si="16"/>
        <v>4.6885652695338669</v>
      </c>
      <c r="AX110" s="3">
        <f t="shared" si="16"/>
        <v>4.5231168056289333</v>
      </c>
      <c r="AY110" s="3">
        <f t="shared" si="16"/>
        <v>4.3605583479799073</v>
      </c>
      <c r="AZ110" s="3">
        <f t="shared" si="16"/>
        <v>4.2011131155908581</v>
      </c>
      <c r="BA110" s="3">
        <f t="shared" si="16"/>
        <v>4.0449738206736532</v>
      </c>
      <c r="BB110" s="3">
        <f t="shared" si="16"/>
        <v>3.8923045462708488</v>
      </c>
      <c r="BC110" s="3">
        <f t="shared" si="16"/>
        <v>3.7432426214246539</v>
      </c>
      <c r="BD110" s="3">
        <f t="shared" si="16"/>
        <v>3.5979004751775743</v>
      </c>
      <c r="BE110" s="3">
        <f t="shared" si="16"/>
        <v>3.4563674547357466</v>
      </c>
      <c r="BF110" s="3">
        <f t="shared" si="16"/>
        <v>3.3187115962937406</v>
      </c>
      <c r="BG110" s="3">
        <f t="shared" si="16"/>
        <v>1.7483026984932397</v>
      </c>
      <c r="BH110" s="3">
        <f t="shared" si="16"/>
        <v>0.38455218899901811</v>
      </c>
      <c r="BI110" s="3">
        <f t="shared" si="16"/>
        <v>7.3594046143804061E-6</v>
      </c>
    </row>
    <row r="111" spans="1:309" ht="18" customHeight="1" x14ac:dyDescent="0.35">
      <c r="A111" s="15" t="s">
        <v>11</v>
      </c>
      <c r="B111" s="3">
        <f>+B108-B110</f>
        <v>63.425151769215496</v>
      </c>
      <c r="C111" s="3">
        <f>+C108-C110</f>
        <v>75.493096787704957</v>
      </c>
      <c r="D111" s="3">
        <f>+D108-D110</f>
        <v>89.024910668425349</v>
      </c>
      <c r="E111" s="3">
        <f>+E108-E110</f>
        <v>103.92852742555991</v>
      </c>
      <c r="F111" s="3">
        <f>+F108-F110</f>
        <v>120.17555786974691</v>
      </c>
      <c r="G111" s="3">
        <f t="shared" ref="G111:BI111" si="17">+G108-G110</f>
        <v>137.71986381929366</v>
      </c>
      <c r="H111" s="3">
        <f t="shared" si="17"/>
        <v>156.49274698911944</v>
      </c>
      <c r="I111" s="3">
        <f t="shared" si="17"/>
        <v>176.39739643931111</v>
      </c>
      <c r="J111" s="3">
        <f t="shared" si="17"/>
        <v>197.30154207658788</v>
      </c>
      <c r="K111" s="3">
        <f t="shared" si="17"/>
        <v>219.02600250970775</v>
      </c>
      <c r="L111" s="3">
        <f t="shared" si="17"/>
        <v>242.98130139595713</v>
      </c>
      <c r="M111" s="3">
        <f t="shared" si="17"/>
        <v>269.39340418300577</v>
      </c>
      <c r="N111" s="3">
        <f t="shared" si="17"/>
        <v>297.56434184282364</v>
      </c>
      <c r="O111" s="3">
        <f t="shared" si="17"/>
        <v>327.47216968164696</v>
      </c>
      <c r="P111" s="3">
        <f t="shared" si="17"/>
        <v>359.09698629063661</v>
      </c>
      <c r="Q111" s="3">
        <f t="shared" si="17"/>
        <v>392.41887827822666</v>
      </c>
      <c r="R111" s="3">
        <f t="shared" si="17"/>
        <v>427.41556105004793</v>
      </c>
      <c r="S111" s="3">
        <f t="shared" si="17"/>
        <v>464.05914542905361</v>
      </c>
      <c r="T111" s="3">
        <f t="shared" si="17"/>
        <v>502.31081071327105</v>
      </c>
      <c r="U111" s="3">
        <f t="shared" si="17"/>
        <v>542.13203923022729</v>
      </c>
      <c r="V111" s="3">
        <f t="shared" si="17"/>
        <v>583.97958853931698</v>
      </c>
      <c r="W111" s="3">
        <f t="shared" si="17"/>
        <v>626.69577796881947</v>
      </c>
      <c r="X111" s="3">
        <f t="shared" si="17"/>
        <v>670.65609722225577</v>
      </c>
      <c r="Y111" s="3">
        <f t="shared" si="17"/>
        <v>715.66133506981851</v>
      </c>
      <c r="Z111" s="3">
        <f t="shared" si="17"/>
        <v>762.48015640877975</v>
      </c>
      <c r="AA111" s="3">
        <f t="shared" si="17"/>
        <v>810.67468705340787</v>
      </c>
      <c r="AB111" s="3">
        <f t="shared" si="17"/>
        <v>860.19803949598713</v>
      </c>
      <c r="AC111" s="3">
        <f t="shared" si="17"/>
        <v>911.01895210712701</v>
      </c>
      <c r="AD111" s="3">
        <f t="shared" si="17"/>
        <v>963.13254985806464</v>
      </c>
      <c r="AE111" s="3">
        <f t="shared" si="17"/>
        <v>1014.5914321602203</v>
      </c>
      <c r="AF111" s="3">
        <f t="shared" si="17"/>
        <v>1067.353105273271</v>
      </c>
      <c r="AG111" s="3">
        <f t="shared" si="17"/>
        <v>1121.2785958341301</v>
      </c>
      <c r="AH111" s="3">
        <f t="shared" si="17"/>
        <v>1176.2484682347333</v>
      </c>
      <c r="AI111" s="3">
        <f t="shared" si="17"/>
        <v>1232.157670991021</v>
      </c>
      <c r="AJ111" s="3">
        <f t="shared" si="17"/>
        <v>1288.9117498692788</v>
      </c>
      <c r="AK111" s="3">
        <f t="shared" si="17"/>
        <v>1346.4240940730897</v>
      </c>
      <c r="AL111" s="3">
        <f t="shared" si="17"/>
        <v>1404.6139549556153</v>
      </c>
      <c r="AM111" s="3">
        <f t="shared" si="17"/>
        <v>1463.4050376646462</v>
      </c>
      <c r="AN111" s="3">
        <f t="shared" si="17"/>
        <v>1522.7245147137273</v>
      </c>
      <c r="AO111" s="3">
        <f t="shared" si="17"/>
        <v>1582.5023482011459</v>
      </c>
      <c r="AP111" s="3">
        <f t="shared" si="17"/>
        <v>1642.6708362117251</v>
      </c>
      <c r="AQ111" s="3">
        <f t="shared" si="17"/>
        <v>1703.1643207019611</v>
      </c>
      <c r="AR111" s="3">
        <f t="shared" si="17"/>
        <v>1763.9190104908644</v>
      </c>
      <c r="AS111" s="3">
        <f t="shared" si="17"/>
        <v>1824.8728851577941</v>
      </c>
      <c r="AT111" s="3">
        <f t="shared" si="17"/>
        <v>1885.9656547053742</v>
      </c>
      <c r="AU111" s="3">
        <f t="shared" si="17"/>
        <v>1947.1387565653702</v>
      </c>
      <c r="AV111" s="3">
        <f t="shared" si="17"/>
        <v>2008.3353765034828</v>
      </c>
      <c r="AW111" s="3">
        <f t="shared" si="17"/>
        <v>2069.5004836635453</v>
      </c>
      <c r="AX111" s="3">
        <f t="shared" si="17"/>
        <v>2130.5808727169233</v>
      </c>
      <c r="AY111" s="3">
        <f t="shared" si="17"/>
        <v>2191.5252080983196</v>
      </c>
      <c r="AZ111" s="3">
        <f t="shared" si="17"/>
        <v>2252.2840667990613</v>
      </c>
      <c r="BA111" s="3">
        <f t="shared" si="17"/>
        <v>2312.8099772901996</v>
      </c>
      <c r="BB111" s="3">
        <f t="shared" si="17"/>
        <v>2373.0574529611454</v>
      </c>
      <c r="BC111" s="3">
        <f t="shared" si="17"/>
        <v>2432.9830190597881</v>
      </c>
      <c r="BD111" s="3">
        <f t="shared" si="17"/>
        <v>2492.5452325620654</v>
      </c>
      <c r="BE111" s="3">
        <f t="shared" si="17"/>
        <v>2551.704694723212</v>
      </c>
      <c r="BF111" s="3">
        <f t="shared" si="17"/>
        <v>2610.4240562996843</v>
      </c>
      <c r="BG111" s="3">
        <f t="shared" si="17"/>
        <v>2670.1046942428952</v>
      </c>
      <c r="BH111" s="3">
        <f t="shared" si="17"/>
        <v>2728.7014623267196</v>
      </c>
      <c r="BI111" s="3">
        <f t="shared" si="17"/>
        <v>2784.4425132640786</v>
      </c>
    </row>
    <row r="112" spans="1:309" ht="18" customHeight="1" thickBot="1" x14ac:dyDescent="0.4">
      <c r="A112" s="82" t="s">
        <v>38</v>
      </c>
      <c r="B112" s="3"/>
    </row>
    <row r="113" spans="1:124" ht="15" thickTop="1" x14ac:dyDescent="0.35">
      <c r="A113" s="15" t="s">
        <v>235</v>
      </c>
      <c r="B113" s="3">
        <f t="shared" ref="B113:BI113" si="18">+B114+B44</f>
        <v>31.399705321427348</v>
      </c>
      <c r="C113" s="3">
        <f t="shared" si="18"/>
        <v>24.844393313734837</v>
      </c>
      <c r="D113" s="3">
        <f t="shared" si="18"/>
        <v>25.521162495487168</v>
      </c>
      <c r="E113" s="3">
        <f t="shared" si="18"/>
        <v>25.581006266472848</v>
      </c>
      <c r="F113" s="3">
        <f t="shared" si="18"/>
        <v>24.853497110301642</v>
      </c>
      <c r="G113" s="3">
        <f t="shared" si="18"/>
        <v>23.167080454270064</v>
      </c>
      <c r="H113" s="3">
        <f t="shared" si="18"/>
        <v>20.350867550443844</v>
      </c>
      <c r="I113" s="3">
        <f t="shared" si="18"/>
        <v>16.236434672575353</v>
      </c>
      <c r="J113" s="3">
        <f t="shared" si="18"/>
        <v>10.656792138304988</v>
      </c>
      <c r="K113" s="3">
        <f t="shared" si="18"/>
        <v>3.4356973108918543</v>
      </c>
      <c r="L113" s="3">
        <f t="shared" si="18"/>
        <v>0.16532617612492809</v>
      </c>
      <c r="M113" s="3">
        <f t="shared" si="18"/>
        <v>0.13226094089996021</v>
      </c>
      <c r="N113" s="3">
        <f t="shared" si="18"/>
        <v>0.10580875271995399</v>
      </c>
      <c r="O113" s="3">
        <f t="shared" si="18"/>
        <v>8.4647002175963201E-2</v>
      </c>
      <c r="P113" s="3">
        <f t="shared" si="18"/>
        <v>6.7717601740811442E-2</v>
      </c>
      <c r="Q113" s="3">
        <f t="shared" si="18"/>
        <v>5.4174081392616452E-2</v>
      </c>
      <c r="R113" s="3">
        <f t="shared" si="18"/>
        <v>4.3339265114093167E-2</v>
      </c>
      <c r="S113" s="3">
        <f t="shared" si="18"/>
        <v>3.4671412091377564E-2</v>
      </c>
      <c r="T113" s="3">
        <f t="shared" si="18"/>
        <v>2.7737129673078738E-2</v>
      </c>
      <c r="U113" s="3">
        <f t="shared" si="18"/>
        <v>2.2189703738452232E-2</v>
      </c>
      <c r="V113" s="3">
        <f t="shared" si="18"/>
        <v>2.6790031134771399</v>
      </c>
      <c r="W113" s="3">
        <f t="shared" si="18"/>
        <v>2.7961696003702974</v>
      </c>
      <c r="X113" s="3">
        <f t="shared" si="18"/>
        <v>2.4522078672617957</v>
      </c>
      <c r="Y113" s="3">
        <f t="shared" si="18"/>
        <v>9.0889026512550753E-3</v>
      </c>
      <c r="Z113" s="3">
        <f t="shared" si="18"/>
        <v>7.2711221211129492E-3</v>
      </c>
      <c r="AA113" s="3">
        <f t="shared" si="18"/>
        <v>5.8168976968032485E-3</v>
      </c>
      <c r="AB113" s="3">
        <f t="shared" si="18"/>
        <v>4.6535181574706673E-3</v>
      </c>
      <c r="AC113" s="3">
        <f t="shared" si="18"/>
        <v>3.7228145260251545E-3</v>
      </c>
      <c r="AD113" s="3">
        <f t="shared" si="18"/>
        <v>2.9782516207632632E-3</v>
      </c>
      <c r="AE113" s="3">
        <f t="shared" si="18"/>
        <v>2.3826012967989997E-3</v>
      </c>
      <c r="AF113" s="3">
        <f t="shared" si="18"/>
        <v>1.9060810372884887E-3</v>
      </c>
      <c r="AG113" s="3">
        <f t="shared" si="18"/>
        <v>1.524864829830791E-3</v>
      </c>
      <c r="AH113" s="3">
        <f t="shared" si="18"/>
        <v>1.2198918639973058E-3</v>
      </c>
      <c r="AI113" s="3">
        <f t="shared" si="18"/>
        <v>9.7591349109170638E-4</v>
      </c>
      <c r="AJ113" s="3">
        <f t="shared" si="18"/>
        <v>7.8073079287336515E-4</v>
      </c>
      <c r="AK113" s="3">
        <f t="shared" si="18"/>
        <v>6.2458463449159953E-4</v>
      </c>
      <c r="AL113" s="3">
        <f t="shared" si="18"/>
        <v>4.9966770743895374E-4</v>
      </c>
      <c r="AM113" s="3">
        <f t="shared" si="18"/>
        <v>3.9973416595116303E-4</v>
      </c>
      <c r="AN113" s="3">
        <f t="shared" si="18"/>
        <v>3.1978733276093044E-4</v>
      </c>
      <c r="AO113" s="3">
        <f t="shared" si="18"/>
        <v>2.5582986620874439E-4</v>
      </c>
      <c r="AP113" s="3">
        <f t="shared" si="18"/>
        <v>2.0466389296699552E-4</v>
      </c>
      <c r="AQ113" s="3">
        <f t="shared" si="18"/>
        <v>1.6373111437359642E-4</v>
      </c>
      <c r="AR113" s="3">
        <f t="shared" si="18"/>
        <v>1.3098489155696552E-4</v>
      </c>
      <c r="AS113" s="3">
        <f t="shared" si="18"/>
        <v>1.0478791319910172E-4</v>
      </c>
      <c r="AT113" s="3">
        <f t="shared" si="18"/>
        <v>8.3830330559281379E-5</v>
      </c>
      <c r="AU113" s="3">
        <f t="shared" si="18"/>
        <v>6.7064264717119014E-5</v>
      </c>
      <c r="AV113" s="3">
        <f t="shared" si="18"/>
        <v>5.3651411698588278E-5</v>
      </c>
      <c r="AW113" s="3">
        <f t="shared" si="18"/>
        <v>4.2921129246352076E-5</v>
      </c>
      <c r="AX113" s="3">
        <f t="shared" si="18"/>
        <v>3.4336903397081661E-5</v>
      </c>
      <c r="AY113" s="3">
        <f t="shared" si="18"/>
        <v>2.7469522717665329E-5</v>
      </c>
      <c r="AZ113" s="3">
        <f t="shared" si="18"/>
        <v>2.1975618174132264E-5</v>
      </c>
      <c r="BA113" s="3">
        <f t="shared" si="18"/>
        <v>1.7580494539305812E-5</v>
      </c>
      <c r="BB113" s="3">
        <f t="shared" si="18"/>
        <v>1.4064395631444651E-5</v>
      </c>
      <c r="BC113" s="3">
        <f t="shared" si="18"/>
        <v>1.1251516505155721E-5</v>
      </c>
      <c r="BD113" s="3">
        <f t="shared" si="18"/>
        <v>9.0012132041245777E-6</v>
      </c>
      <c r="BE113" s="3">
        <f t="shared" si="18"/>
        <v>7.2009705632996627E-6</v>
      </c>
      <c r="BF113" s="3">
        <f t="shared" si="18"/>
        <v>5.7607764506397308E-6</v>
      </c>
      <c r="BG113" s="3">
        <f t="shared" si="18"/>
        <v>21.164429583458631</v>
      </c>
      <c r="BH113" s="3">
        <f t="shared" si="18"/>
        <v>56.479782192662604</v>
      </c>
      <c r="BI113" s="3">
        <f t="shared" si="18"/>
        <v>105.14900080608179</v>
      </c>
    </row>
    <row r="114" spans="1:124" x14ac:dyDescent="0.35">
      <c r="A114" s="15" t="s">
        <v>236</v>
      </c>
      <c r="B114" s="51">
        <f t="shared" ref="B114:BI114" si="19">+B41*B105*(1-B137)</f>
        <v>29.859985321427349</v>
      </c>
      <c r="C114" s="51">
        <f t="shared" si="19"/>
        <v>23.612617313734837</v>
      </c>
      <c r="D114" s="51">
        <f t="shared" si="19"/>
        <v>24.535741695487168</v>
      </c>
      <c r="E114" s="51">
        <f t="shared" si="19"/>
        <v>24.792669626472847</v>
      </c>
      <c r="F114" s="51">
        <f t="shared" si="19"/>
        <v>24.222827798301644</v>
      </c>
      <c r="G114" s="51">
        <f t="shared" si="19"/>
        <v>22.662545004670065</v>
      </c>
      <c r="H114" s="51">
        <f t="shared" si="19"/>
        <v>19.947239190763845</v>
      </c>
      <c r="I114" s="51">
        <f t="shared" si="19"/>
        <v>15.913531984831353</v>
      </c>
      <c r="J114" s="51">
        <f t="shared" si="19"/>
        <v>10.398469988109788</v>
      </c>
      <c r="K114" s="51">
        <f t="shared" si="19"/>
        <v>3.2290395907356944</v>
      </c>
      <c r="L114" s="51">
        <f t="shared" si="19"/>
        <v>0</v>
      </c>
      <c r="M114" s="51">
        <f t="shared" si="19"/>
        <v>1.7738916565973303E-14</v>
      </c>
      <c r="N114" s="51">
        <f t="shared" si="19"/>
        <v>0</v>
      </c>
      <c r="O114" s="51">
        <f t="shared" si="19"/>
        <v>0</v>
      </c>
      <c r="P114" s="51">
        <f t="shared" si="19"/>
        <v>4.0880438371358545E-14</v>
      </c>
      <c r="Q114" s="51">
        <f t="shared" si="19"/>
        <v>0</v>
      </c>
      <c r="R114" s="51">
        <f t="shared" si="19"/>
        <v>0</v>
      </c>
      <c r="S114" s="51">
        <f t="shared" si="19"/>
        <v>1.0303010417323245E-13</v>
      </c>
      <c r="T114" s="51">
        <f t="shared" si="19"/>
        <v>5.9109546928846614E-14</v>
      </c>
      <c r="U114" s="51">
        <f t="shared" si="19"/>
        <v>3.6527846780201913E-14</v>
      </c>
      <c r="V114" s="51">
        <f t="shared" si="19"/>
        <v>2.6612513504864075</v>
      </c>
      <c r="W114" s="51">
        <f t="shared" si="19"/>
        <v>2.7819681899777113</v>
      </c>
      <c r="X114" s="51">
        <f t="shared" si="19"/>
        <v>2.4408467389477271</v>
      </c>
      <c r="Y114" s="51">
        <f t="shared" si="19"/>
        <v>0</v>
      </c>
      <c r="Z114" s="51">
        <f t="shared" si="19"/>
        <v>1.0888869677338937E-13</v>
      </c>
      <c r="AA114" s="51">
        <f t="shared" si="19"/>
        <v>0</v>
      </c>
      <c r="AB114" s="51">
        <f t="shared" si="19"/>
        <v>2.806852257959874E-14</v>
      </c>
      <c r="AC114" s="51">
        <f t="shared" si="19"/>
        <v>7.1075567107529221E-14</v>
      </c>
      <c r="AD114" s="51">
        <f t="shared" si="19"/>
        <v>0</v>
      </c>
      <c r="AE114" s="51">
        <f t="shared" si="19"/>
        <v>1.8838895332868469E-13</v>
      </c>
      <c r="AF114" s="51">
        <f t="shared" si="19"/>
        <v>0</v>
      </c>
      <c r="AG114" s="51">
        <f t="shared" si="19"/>
        <v>0</v>
      </c>
      <c r="AH114" s="51">
        <f t="shared" si="19"/>
        <v>1.3267302014966253E-13</v>
      </c>
      <c r="AI114" s="51">
        <f t="shared" si="19"/>
        <v>0</v>
      </c>
      <c r="AJ114" s="51">
        <f t="shared" si="19"/>
        <v>0</v>
      </c>
      <c r="AK114" s="51">
        <f t="shared" si="19"/>
        <v>1.9290733884050077E-13</v>
      </c>
      <c r="AL114" s="51">
        <f t="shared" si="19"/>
        <v>0</v>
      </c>
      <c r="AM114" s="51">
        <f t="shared" si="19"/>
        <v>0</v>
      </c>
      <c r="AN114" s="51">
        <f t="shared" si="19"/>
        <v>0</v>
      </c>
      <c r="AO114" s="51">
        <f t="shared" si="19"/>
        <v>0</v>
      </c>
      <c r="AP114" s="51">
        <f t="shared" si="19"/>
        <v>0</v>
      </c>
      <c r="AQ114" s="51">
        <f t="shared" si="19"/>
        <v>0</v>
      </c>
      <c r="AR114" s="51">
        <f t="shared" si="19"/>
        <v>5.8088376863234418E-14</v>
      </c>
      <c r="AS114" s="51">
        <f t="shared" si="19"/>
        <v>0</v>
      </c>
      <c r="AT114" s="51">
        <f t="shared" si="19"/>
        <v>0</v>
      </c>
      <c r="AU114" s="51">
        <f t="shared" si="19"/>
        <v>2.6969391025217886E-13</v>
      </c>
      <c r="AV114" s="51">
        <f t="shared" si="19"/>
        <v>1.4064818701508135E-13</v>
      </c>
      <c r="AW114" s="51">
        <f t="shared" si="19"/>
        <v>0</v>
      </c>
      <c r="AX114" s="51">
        <f t="shared" si="19"/>
        <v>0</v>
      </c>
      <c r="AY114" s="51">
        <f t="shared" si="19"/>
        <v>0</v>
      </c>
      <c r="AZ114" s="51">
        <f t="shared" si="19"/>
        <v>0</v>
      </c>
      <c r="BA114" s="51">
        <f t="shared" si="19"/>
        <v>0</v>
      </c>
      <c r="BB114" s="51">
        <f t="shared" si="19"/>
        <v>0</v>
      </c>
      <c r="BC114" s="51">
        <f t="shared" si="19"/>
        <v>0</v>
      </c>
      <c r="BD114" s="51">
        <f t="shared" si="19"/>
        <v>0</v>
      </c>
      <c r="BE114" s="51">
        <f t="shared" si="19"/>
        <v>0</v>
      </c>
      <c r="BF114" s="51">
        <f t="shared" si="19"/>
        <v>0</v>
      </c>
      <c r="BG114" s="51">
        <f t="shared" si="19"/>
        <v>21.16442497483747</v>
      </c>
      <c r="BH114" s="51">
        <f t="shared" si="19"/>
        <v>56.479778505765672</v>
      </c>
      <c r="BI114" s="51">
        <f t="shared" si="19"/>
        <v>105.14899785656425</v>
      </c>
      <c r="BJ114" s="51"/>
      <c r="BK114" s="51"/>
      <c r="BL114" s="51"/>
      <c r="BM114" s="51"/>
      <c r="BN114" s="51"/>
      <c r="BO114" s="51"/>
      <c r="BP114" s="51"/>
      <c r="BQ114" s="51"/>
      <c r="BR114" s="51"/>
      <c r="BS114" s="51"/>
      <c r="BT114" s="51"/>
      <c r="BU114" s="51"/>
      <c r="BV114" s="51"/>
      <c r="BW114" s="51"/>
      <c r="BX114" s="51"/>
      <c r="BY114" s="51"/>
      <c r="BZ114" s="51"/>
      <c r="CA114" s="51"/>
      <c r="CB114" s="51"/>
      <c r="CC114" s="51"/>
      <c r="CD114" s="51"/>
      <c r="CE114" s="51"/>
      <c r="CF114" s="51"/>
      <c r="CG114" s="51"/>
      <c r="CH114" s="51"/>
      <c r="CI114" s="51"/>
      <c r="CJ114" s="51"/>
      <c r="CK114" s="51"/>
      <c r="CL114" s="51"/>
      <c r="CM114" s="51"/>
      <c r="CN114" s="51"/>
      <c r="CO114" s="51"/>
      <c r="CP114" s="51"/>
      <c r="CQ114" s="51"/>
      <c r="CR114" s="51"/>
      <c r="CS114" s="51"/>
      <c r="CT114" s="51"/>
      <c r="CU114" s="51"/>
      <c r="CV114" s="51"/>
      <c r="CW114" s="51"/>
      <c r="CX114" s="51"/>
      <c r="CY114" s="51"/>
      <c r="CZ114" s="51"/>
      <c r="DA114" s="51"/>
      <c r="DB114" s="51"/>
      <c r="DC114" s="51"/>
      <c r="DD114" s="51"/>
      <c r="DE114" s="51"/>
      <c r="DF114" s="51"/>
      <c r="DG114" s="51"/>
      <c r="DH114" s="51"/>
      <c r="DI114" s="51"/>
      <c r="DJ114" s="51"/>
      <c r="DK114" s="51"/>
      <c r="DL114" s="51"/>
      <c r="DM114" s="51"/>
      <c r="DN114" s="51"/>
      <c r="DO114" s="51"/>
      <c r="DP114" s="51"/>
      <c r="DQ114" s="51"/>
      <c r="DR114" s="51"/>
      <c r="DS114" s="51"/>
      <c r="DT114" s="51"/>
    </row>
    <row r="115" spans="1:124" s="69" customFormat="1" x14ac:dyDescent="0.35">
      <c r="A115" s="15" t="s">
        <v>100</v>
      </c>
      <c r="B115" s="51">
        <f t="shared" ref="B115:BI115" si="20">+B114/B105</f>
        <v>0.46992378348324315</v>
      </c>
      <c r="C115" s="51">
        <f t="shared" si="20"/>
        <v>0.31126572606986946</v>
      </c>
      <c r="D115" s="51">
        <f t="shared" si="20"/>
        <v>0.27385628859341332</v>
      </c>
      <c r="E115" s="51">
        <f t="shared" si="20"/>
        <v>0.23658474503420088</v>
      </c>
      <c r="F115" s="51">
        <f t="shared" si="20"/>
        <v>0.19941107773016511</v>
      </c>
      <c r="G115" s="51">
        <f t="shared" si="20"/>
        <v>0.16230128405390232</v>
      </c>
      <c r="H115" s="51">
        <f t="shared" si="20"/>
        <v>0.12523683514299669</v>
      </c>
      <c r="I115" s="51">
        <f t="shared" si="20"/>
        <v>8.8214842526007503E-2</v>
      </c>
      <c r="J115" s="51">
        <f t="shared" si="20"/>
        <v>5.1230771951986775E-2</v>
      </c>
      <c r="K115" s="51">
        <f t="shared" si="20"/>
        <v>1.4225966587624553E-2</v>
      </c>
      <c r="L115" s="51">
        <f t="shared" si="20"/>
        <v>0</v>
      </c>
      <c r="M115" s="51">
        <f t="shared" si="20"/>
        <v>6.3495490885077895E-17</v>
      </c>
      <c r="N115" s="51">
        <f t="shared" si="20"/>
        <v>0</v>
      </c>
      <c r="O115" s="51">
        <f t="shared" si="20"/>
        <v>0</v>
      </c>
      <c r="P115" s="51">
        <f t="shared" si="20"/>
        <v>1.1026146022777169E-16</v>
      </c>
      <c r="Q115" s="51">
        <f t="shared" si="20"/>
        <v>0</v>
      </c>
      <c r="R115" s="51">
        <f t="shared" si="20"/>
        <v>0</v>
      </c>
      <c r="S115" s="51">
        <f t="shared" si="20"/>
        <v>2.1585938729966368E-16</v>
      </c>
      <c r="T115" s="51">
        <f t="shared" si="20"/>
        <v>1.1453917279386995E-16</v>
      </c>
      <c r="U115" s="51">
        <f t="shared" si="20"/>
        <v>6.5653883893208559E-17</v>
      </c>
      <c r="V115" s="51">
        <f t="shared" si="20"/>
        <v>4.449238450691272E-3</v>
      </c>
      <c r="W115" s="51">
        <f t="shared" si="20"/>
        <v>4.3380554887588645E-3</v>
      </c>
      <c r="X115" s="51">
        <f t="shared" si="20"/>
        <v>3.5592374784232965E-3</v>
      </c>
      <c r="Y115" s="51">
        <f t="shared" si="20"/>
        <v>0</v>
      </c>
      <c r="Z115" s="51">
        <f t="shared" si="20"/>
        <v>1.397913667903042E-16</v>
      </c>
      <c r="AA115" s="51">
        <f t="shared" si="20"/>
        <v>0</v>
      </c>
      <c r="AB115" s="51">
        <f t="shared" si="20"/>
        <v>3.1988973580717164E-17</v>
      </c>
      <c r="AC115" s="51">
        <f t="shared" si="20"/>
        <v>7.6537443895172555E-17</v>
      </c>
      <c r="AD115" s="51">
        <f t="shared" si="20"/>
        <v>0</v>
      </c>
      <c r="AE115" s="51">
        <f t="shared" si="20"/>
        <v>1.8238937352790132E-16</v>
      </c>
      <c r="AF115" s="51">
        <f t="shared" si="20"/>
        <v>0</v>
      </c>
      <c r="AG115" s="51">
        <f t="shared" si="20"/>
        <v>0</v>
      </c>
      <c r="AH115" s="51">
        <f t="shared" si="20"/>
        <v>1.1097683128513624E-16</v>
      </c>
      <c r="AI115" s="51">
        <f t="shared" si="20"/>
        <v>0</v>
      </c>
      <c r="AJ115" s="51">
        <f t="shared" si="20"/>
        <v>0</v>
      </c>
      <c r="AK115" s="51">
        <f t="shared" si="20"/>
        <v>1.4115684037752148E-16</v>
      </c>
      <c r="AL115" s="51">
        <f t="shared" si="20"/>
        <v>0</v>
      </c>
      <c r="AM115" s="51">
        <f t="shared" si="20"/>
        <v>0</v>
      </c>
      <c r="AN115" s="51">
        <f t="shared" si="20"/>
        <v>0</v>
      </c>
      <c r="AO115" s="51">
        <f t="shared" si="20"/>
        <v>0</v>
      </c>
      <c r="AP115" s="51">
        <f t="shared" si="20"/>
        <v>0</v>
      </c>
      <c r="AQ115" s="51">
        <f t="shared" si="20"/>
        <v>0</v>
      </c>
      <c r="AR115" s="51">
        <f t="shared" si="20"/>
        <v>3.2518005470001834E-17</v>
      </c>
      <c r="AS115" s="51">
        <f t="shared" si="20"/>
        <v>0</v>
      </c>
      <c r="AT115" s="51">
        <f t="shared" si="20"/>
        <v>0</v>
      </c>
      <c r="AU115" s="51">
        <f t="shared" si="20"/>
        <v>1.3686148511173093E-16</v>
      </c>
      <c r="AV115" s="51">
        <f t="shared" si="20"/>
        <v>6.9213377061097652E-17</v>
      </c>
      <c r="AW115" s="51">
        <f t="shared" si="20"/>
        <v>0</v>
      </c>
      <c r="AX115" s="51">
        <f t="shared" si="20"/>
        <v>0</v>
      </c>
      <c r="AY115" s="51">
        <f t="shared" si="20"/>
        <v>0</v>
      </c>
      <c r="AZ115" s="51">
        <f t="shared" si="20"/>
        <v>0</v>
      </c>
      <c r="BA115" s="51">
        <f t="shared" si="20"/>
        <v>0</v>
      </c>
      <c r="BB115" s="51">
        <f t="shared" si="20"/>
        <v>0</v>
      </c>
      <c r="BC115" s="51">
        <f t="shared" si="20"/>
        <v>0</v>
      </c>
      <c r="BD115" s="51">
        <f t="shared" si="20"/>
        <v>0</v>
      </c>
      <c r="BE115" s="51">
        <f t="shared" si="20"/>
        <v>0</v>
      </c>
      <c r="BF115" s="51">
        <f t="shared" si="20"/>
        <v>0</v>
      </c>
      <c r="BG115" s="51">
        <f t="shared" si="20"/>
        <v>7.8495593199778921E-3</v>
      </c>
      <c r="BH115" s="51">
        <f t="shared" si="20"/>
        <v>2.0504326670773051E-2</v>
      </c>
      <c r="BI115" s="51">
        <f t="shared" si="20"/>
        <v>3.7389008626851981E-2</v>
      </c>
      <c r="BJ115" s="51"/>
      <c r="BK115" s="51"/>
      <c r="BL115" s="51"/>
      <c r="BM115" s="51"/>
      <c r="BN115" s="51"/>
      <c r="BO115" s="51"/>
      <c r="BP115" s="51"/>
      <c r="BQ115" s="51"/>
      <c r="BR115" s="51"/>
      <c r="BS115" s="51"/>
      <c r="BT115" s="51"/>
      <c r="BU115" s="51"/>
      <c r="BV115" s="51"/>
      <c r="BW115" s="51"/>
      <c r="BX115" s="51"/>
      <c r="BY115" s="51"/>
      <c r="BZ115" s="51"/>
      <c r="CA115" s="51"/>
      <c r="CB115" s="51"/>
      <c r="CC115" s="51"/>
      <c r="CD115" s="51"/>
      <c r="CE115" s="51"/>
      <c r="CF115" s="51"/>
      <c r="CG115" s="51"/>
      <c r="CH115" s="51"/>
      <c r="CI115" s="51"/>
      <c r="CJ115" s="51"/>
      <c r="CK115" s="51"/>
      <c r="CL115" s="51"/>
      <c r="CM115" s="51"/>
      <c r="CN115" s="51"/>
      <c r="CO115" s="51"/>
      <c r="CP115" s="51"/>
      <c r="CQ115" s="51"/>
      <c r="CR115" s="51"/>
      <c r="CS115" s="51"/>
      <c r="CT115" s="51"/>
      <c r="CU115" s="51"/>
      <c r="CV115" s="51"/>
      <c r="CW115" s="51"/>
      <c r="CX115" s="51"/>
      <c r="CY115" s="51"/>
      <c r="CZ115" s="51"/>
      <c r="DA115" s="51"/>
      <c r="DB115" s="51"/>
      <c r="DC115" s="51"/>
      <c r="DD115" s="51"/>
      <c r="DE115" s="51"/>
      <c r="DF115" s="51"/>
      <c r="DG115" s="51"/>
      <c r="DH115" s="51"/>
      <c r="DI115" s="51"/>
      <c r="DJ115" s="51"/>
      <c r="DK115" s="51"/>
      <c r="DL115" s="51"/>
      <c r="DM115" s="51"/>
      <c r="DN115" s="51"/>
      <c r="DO115" s="51"/>
      <c r="DP115" s="51"/>
      <c r="DQ115" s="51"/>
    </row>
    <row r="116" spans="1:124" ht="17.5" thickBot="1" x14ac:dyDescent="0.4">
      <c r="A116" s="82" t="s">
        <v>12</v>
      </c>
    </row>
    <row r="117" spans="1:124" ht="15" thickTop="1" x14ac:dyDescent="0.35">
      <c r="A117" s="15" t="s">
        <v>132</v>
      </c>
      <c r="B117" s="51">
        <f t="shared" ref="B117:BI117" si="21">(B132)*B111</f>
        <v>16.437086598465882</v>
      </c>
      <c r="C117" s="3">
        <f t="shared" si="21"/>
        <v>19.347893815767126</v>
      </c>
      <c r="D117" s="3">
        <f t="shared" si="21"/>
        <v>22.601969538747117</v>
      </c>
      <c r="E117" s="3">
        <f t="shared" si="21"/>
        <v>26.167461392234138</v>
      </c>
      <c r="F117" s="3">
        <f t="shared" si="21"/>
        <v>30.041310395128303</v>
      </c>
      <c r="G117" s="3">
        <f t="shared" si="21"/>
        <v>34.216636592782699</v>
      </c>
      <c r="H117" s="3">
        <f t="shared" si="21"/>
        <v>38.681668228791644</v>
      </c>
      <c r="I117" s="3">
        <f t="shared" si="21"/>
        <v>43.417983758364542</v>
      </c>
      <c r="J117" s="3">
        <f t="shared" si="21"/>
        <v>48.398998851018341</v>
      </c>
      <c r="K117" s="3">
        <f t="shared" si="21"/>
        <v>53.58679992865779</v>
      </c>
      <c r="L117" s="3">
        <f t="shared" si="21"/>
        <v>59.335282605412523</v>
      </c>
      <c r="M117" s="3">
        <f t="shared" si="21"/>
        <v>65.700479834443513</v>
      </c>
      <c r="N117" s="3">
        <f t="shared" si="21"/>
        <v>72.518689456395109</v>
      </c>
      <c r="O117" s="3">
        <f t="shared" si="21"/>
        <v>79.790066942026129</v>
      </c>
      <c r="P117" s="3">
        <f t="shared" si="21"/>
        <v>87.514365609762393</v>
      </c>
      <c r="Q117" s="3">
        <f t="shared" si="21"/>
        <v>95.689082155261687</v>
      </c>
      <c r="R117" s="3">
        <f t="shared" si="21"/>
        <v>104.30634829328535</v>
      </c>
      <c r="S117" s="3">
        <f t="shared" si="21"/>
        <v>113.34707257520047</v>
      </c>
      <c r="T117" s="3">
        <f t="shared" si="21"/>
        <v>122.76960915434566</v>
      </c>
      <c r="U117" s="3">
        <f t="shared" si="21"/>
        <v>132.51000933099601</v>
      </c>
      <c r="V117" s="3">
        <f t="shared" si="21"/>
        <v>142.55121462493099</v>
      </c>
      <c r="W117" s="3">
        <f t="shared" si="21"/>
        <v>152.87283879156411</v>
      </c>
      <c r="X117" s="3">
        <f t="shared" si="21"/>
        <v>163.73785716980163</v>
      </c>
      <c r="Y117" s="3">
        <f t="shared" si="21"/>
        <v>174.87107683484774</v>
      </c>
      <c r="Z117" s="3">
        <f t="shared" si="21"/>
        <v>186.47425565567275</v>
      </c>
      <c r="AA117" s="3">
        <f t="shared" si="21"/>
        <v>198.46160229588881</v>
      </c>
      <c r="AB117" s="3">
        <f t="shared" si="21"/>
        <v>210.85602325560839</v>
      </c>
      <c r="AC117" s="3">
        <f t="shared" si="21"/>
        <v>223.71182208730482</v>
      </c>
      <c r="AD117" s="3">
        <f t="shared" si="21"/>
        <v>233.66319475968078</v>
      </c>
      <c r="AE117" s="3">
        <f t="shared" si="21"/>
        <v>246.14750633159895</v>
      </c>
      <c r="AF117" s="3">
        <f t="shared" si="21"/>
        <v>258.94788474501485</v>
      </c>
      <c r="AG117" s="3">
        <f t="shared" si="21"/>
        <v>272.03061401762665</v>
      </c>
      <c r="AH117" s="3">
        <f t="shared" si="21"/>
        <v>285.36671817333172</v>
      </c>
      <c r="AI117" s="3">
        <f t="shared" si="21"/>
        <v>298.93071093261091</v>
      </c>
      <c r="AJ117" s="3">
        <f t="shared" si="21"/>
        <v>312.6996769885198</v>
      </c>
      <c r="AK117" s="3">
        <f t="shared" si="21"/>
        <v>326.65260391094733</v>
      </c>
      <c r="AL117" s="3">
        <f t="shared" si="21"/>
        <v>340.76990147132574</v>
      </c>
      <c r="AM117" s="3">
        <f t="shared" si="21"/>
        <v>355.03305996513558</v>
      </c>
      <c r="AN117" s="3">
        <f t="shared" si="21"/>
        <v>369.42441089684741</v>
      </c>
      <c r="AO117" s="3">
        <f t="shared" si="21"/>
        <v>383.92696254515471</v>
      </c>
      <c r="AP117" s="3">
        <f t="shared" si="21"/>
        <v>398.52428991663993</v>
      </c>
      <c r="AQ117" s="3">
        <f t="shared" si="21"/>
        <v>413.20046387651365</v>
      </c>
      <c r="AR117" s="3">
        <f t="shared" si="21"/>
        <v>427.94000820486241</v>
      </c>
      <c r="AS117" s="3">
        <f t="shared" si="21"/>
        <v>442.72787628154089</v>
      </c>
      <c r="AT117" s="3">
        <f t="shared" si="21"/>
        <v>457.54944130009221</v>
      </c>
      <c r="AU117" s="3">
        <f t="shared" si="21"/>
        <v>472.39049554135164</v>
      </c>
      <c r="AV117" s="3">
        <f t="shared" si="21"/>
        <v>487.23725544510603</v>
      </c>
      <c r="AW117" s="3">
        <f t="shared" si="21"/>
        <v>502.07637011207953</v>
      </c>
      <c r="AX117" s="3">
        <f t="shared" si="21"/>
        <v>516.89493152969521</v>
      </c>
      <c r="AY117" s="3">
        <f t="shared" si="21"/>
        <v>531.68048530401325</v>
      </c>
      <c r="AZ117" s="3">
        <f t="shared" si="21"/>
        <v>546.42104104170437</v>
      </c>
      <c r="BA117" s="3">
        <f t="shared" si="21"/>
        <v>561.1050817930859</v>
      </c>
      <c r="BB117" s="3">
        <f t="shared" si="21"/>
        <v>575.72157216458663</v>
      </c>
      <c r="BC117" s="3">
        <f t="shared" si="21"/>
        <v>590.25996485462167</v>
      </c>
      <c r="BD117" s="3">
        <f t="shared" si="21"/>
        <v>604.71020547409955</v>
      </c>
      <c r="BE117" s="3">
        <f t="shared" si="21"/>
        <v>619.0627355914495</v>
      </c>
      <c r="BF117" s="3">
        <f t="shared" si="21"/>
        <v>633.30849399949977</v>
      </c>
      <c r="BG117" s="3">
        <f t="shared" si="21"/>
        <v>647.78746527833528</v>
      </c>
      <c r="BH117" s="3">
        <f t="shared" si="21"/>
        <v>662.00348158375061</v>
      </c>
      <c r="BI117" s="3">
        <f t="shared" si="21"/>
        <v>675.52667944805785</v>
      </c>
    </row>
    <row r="118" spans="1:124" x14ac:dyDescent="0.35">
      <c r="A118" s="15" t="s">
        <v>133</v>
      </c>
      <c r="B118" s="51">
        <f>+B12</f>
        <v>135</v>
      </c>
      <c r="C118" s="3">
        <f t="shared" ref="C118:BI118" si="22">+B118*(1-$B$10)^(C2-B2)+B117*(C2-B2)</f>
        <v>161.90158299232945</v>
      </c>
      <c r="D118" s="3">
        <f t="shared" si="22"/>
        <v>192.34073481997626</v>
      </c>
      <c r="E118" s="3">
        <f t="shared" si="22"/>
        <v>226.5851281975834</v>
      </c>
      <c r="F118" s="3">
        <f t="shared" si="22"/>
        <v>264.63355931056174</v>
      </c>
      <c r="G118" s="3">
        <f t="shared" si="22"/>
        <v>306.47002241293512</v>
      </c>
      <c r="H118" s="3">
        <f t="shared" si="22"/>
        <v>352.05066649852756</v>
      </c>
      <c r="I118" s="3">
        <f t="shared" si="22"/>
        <v>401.29073920467386</v>
      </c>
      <c r="J118" s="3">
        <f t="shared" si="22"/>
        <v>454.04808738479062</v>
      </c>
      <c r="K118" s="3">
        <f t="shared" si="22"/>
        <v>510.10584937493684</v>
      </c>
      <c r="L118" s="3">
        <f t="shared" si="22"/>
        <v>569.14640264069544</v>
      </c>
      <c r="M118" s="3">
        <f t="shared" si="22"/>
        <v>632.75167232236697</v>
      </c>
      <c r="N118" s="3">
        <f t="shared" si="22"/>
        <v>702.13593416185222</v>
      </c>
      <c r="O118" s="3">
        <f t="shared" si="22"/>
        <v>777.19769504520787</v>
      </c>
      <c r="P118" s="3">
        <f t="shared" si="22"/>
        <v>857.87780165737558</v>
      </c>
      <c r="Q118" s="3">
        <f t="shared" si="22"/>
        <v>944.14009114947589</v>
      </c>
      <c r="R118" s="3">
        <f t="shared" si="22"/>
        <v>1035.9506931991627</v>
      </c>
      <c r="S118" s="3">
        <f t="shared" si="22"/>
        <v>1133.2502662936006</v>
      </c>
      <c r="T118" s="3">
        <f t="shared" si="22"/>
        <v>1235.9083126197106</v>
      </c>
      <c r="U118" s="3">
        <f t="shared" si="22"/>
        <v>1343.6395452905413</v>
      </c>
      <c r="V118" s="3">
        <f t="shared" si="22"/>
        <v>1455.955761753592</v>
      </c>
      <c r="W118" s="3">
        <f t="shared" si="22"/>
        <v>1572.4833908825337</v>
      </c>
      <c r="X118" s="3">
        <f t="shared" si="22"/>
        <v>1692.8999114400481</v>
      </c>
      <c r="Y118" s="3">
        <f t="shared" si="22"/>
        <v>1818.3297545552423</v>
      </c>
      <c r="Z118" s="3">
        <f t="shared" si="22"/>
        <v>1948.0609209415641</v>
      </c>
      <c r="AA118" s="3">
        <f t="shared" si="22"/>
        <v>2082.6817714851481</v>
      </c>
      <c r="AB118" s="3">
        <f t="shared" si="22"/>
        <v>2222.1107707237097</v>
      </c>
      <c r="AC118" s="3">
        <f t="shared" si="22"/>
        <v>2366.4143052826857</v>
      </c>
      <c r="AD118" s="3">
        <f t="shared" si="22"/>
        <v>2515.903093562898</v>
      </c>
      <c r="AE118" s="3">
        <f t="shared" si="22"/>
        <v>2653.9315915163597</v>
      </c>
      <c r="AF118" s="3">
        <f t="shared" si="22"/>
        <v>2797.8575971324904</v>
      </c>
      <c r="AG118" s="3">
        <f t="shared" si="22"/>
        <v>2946.8463562558391</v>
      </c>
      <c r="AH118" s="3">
        <f t="shared" si="22"/>
        <v>3100.2363749936439</v>
      </c>
      <c r="AI118" s="3">
        <f t="shared" si="22"/>
        <v>3257.4921679366562</v>
      </c>
      <c r="AJ118" s="3">
        <f t="shared" si="22"/>
        <v>3418.1701049079711</v>
      </c>
      <c r="AK118" s="3">
        <f t="shared" si="22"/>
        <v>3581.8936501897074</v>
      </c>
      <c r="AL118" s="3">
        <f t="shared" si="22"/>
        <v>3748.3354010552575</v>
      </c>
      <c r="AM118" s="3">
        <f t="shared" si="22"/>
        <v>3917.2040783257485</v>
      </c>
      <c r="AN118" s="3">
        <f t="shared" si="22"/>
        <v>4088.23513603625</v>
      </c>
      <c r="AO118" s="3">
        <f t="shared" si="22"/>
        <v>4261.1840199622829</v>
      </c>
      <c r="AP118" s="3">
        <f t="shared" si="22"/>
        <v>4435.8213646733029</v>
      </c>
      <c r="AQ118" s="3">
        <f t="shared" si="22"/>
        <v>4611.9296072091392</v>
      </c>
      <c r="AR118" s="3">
        <f t="shared" si="22"/>
        <v>4789.3006331434935</v>
      </c>
      <c r="AS118" s="3">
        <f t="shared" si="22"/>
        <v>4967.7341718892148</v>
      </c>
      <c r="AT118" s="3">
        <f t="shared" si="22"/>
        <v>5147.0367325665684</v>
      </c>
      <c r="AU118" s="3">
        <f t="shared" si="22"/>
        <v>5327.0209267136952</v>
      </c>
      <c r="AV118" s="3">
        <f t="shared" si="22"/>
        <v>5507.5050647219286</v>
      </c>
      <c r="AW118" s="3">
        <f t="shared" si="22"/>
        <v>5688.3129428931825</v>
      </c>
      <c r="AX118" s="3">
        <f t="shared" si="22"/>
        <v>5869.2737602093939</v>
      </c>
      <c r="AY118" s="3">
        <f t="shared" si="22"/>
        <v>6050.2221203145218</v>
      </c>
      <c r="AZ118" s="3">
        <f t="shared" si="22"/>
        <v>6230.998086344589</v>
      </c>
      <c r="BA118" s="3">
        <f t="shared" si="22"/>
        <v>6411.4472652141394</v>
      </c>
      <c r="BB118" s="3">
        <f t="shared" si="22"/>
        <v>6591.4209046017277</v>
      </c>
      <c r="BC118" s="3">
        <f t="shared" si="22"/>
        <v>6770.7759907812087</v>
      </c>
      <c r="BD118" s="3">
        <f t="shared" si="22"/>
        <v>6949.3753390695056</v>
      </c>
      <c r="BE118" s="3">
        <f t="shared" si="22"/>
        <v>7127.087671337651</v>
      </c>
      <c r="BF118" s="3">
        <f t="shared" si="22"/>
        <v>7303.787677005419</v>
      </c>
      <c r="BG118" s="3">
        <f t="shared" si="22"/>
        <v>7479.3560553924308</v>
      </c>
      <c r="BH118" s="3">
        <f t="shared" si="22"/>
        <v>7655.4222835403543</v>
      </c>
      <c r="BI118" s="3">
        <f t="shared" si="22"/>
        <v>7830.4677121264976</v>
      </c>
    </row>
    <row r="119" spans="1:124" ht="17.5" thickBot="1" x14ac:dyDescent="0.4">
      <c r="A119" s="82" t="s">
        <v>96</v>
      </c>
    </row>
    <row r="120" spans="1:124" ht="15" thickTop="1" x14ac:dyDescent="0.35">
      <c r="A120" s="15" t="s">
        <v>97</v>
      </c>
      <c r="B120" s="51">
        <f t="shared" ref="B120:BI120" si="23">+B15</f>
        <v>1.4999999999999999E-2</v>
      </c>
      <c r="C120" s="3">
        <f t="shared" si="23"/>
        <v>1.4999999999999999E-2</v>
      </c>
      <c r="D120" s="3">
        <f t="shared" si="23"/>
        <v>1.4999999999999999E-2</v>
      </c>
      <c r="E120" s="3">
        <f t="shared" si="23"/>
        <v>1.4999999999999999E-2</v>
      </c>
      <c r="F120" s="3">
        <f t="shared" si="23"/>
        <v>1.4999999999999999E-2</v>
      </c>
      <c r="G120" s="3">
        <f t="shared" si="23"/>
        <v>1.4999999999999999E-2</v>
      </c>
      <c r="H120" s="3">
        <f t="shared" si="23"/>
        <v>1.4999999999999999E-2</v>
      </c>
      <c r="I120" s="3">
        <f t="shared" si="23"/>
        <v>1.4999999999999999E-2</v>
      </c>
      <c r="J120" s="3">
        <f t="shared" si="23"/>
        <v>1.4999999999999999E-2</v>
      </c>
      <c r="K120" s="3">
        <f t="shared" si="23"/>
        <v>1.4999999999999999E-2</v>
      </c>
      <c r="L120" s="3">
        <f t="shared" si="23"/>
        <v>1.4999999999999999E-2</v>
      </c>
      <c r="M120" s="3">
        <f t="shared" si="23"/>
        <v>1.4999999999999999E-2</v>
      </c>
      <c r="N120" s="3">
        <f t="shared" si="23"/>
        <v>1.4999999999999999E-2</v>
      </c>
      <c r="O120" s="3">
        <f t="shared" si="23"/>
        <v>1.4999999999999999E-2</v>
      </c>
      <c r="P120" s="3">
        <f t="shared" si="23"/>
        <v>1.4999999999999999E-2</v>
      </c>
      <c r="Q120" s="3">
        <f t="shared" si="23"/>
        <v>1.4999999999999999E-2</v>
      </c>
      <c r="R120" s="3">
        <f t="shared" si="23"/>
        <v>1.4999999999999999E-2</v>
      </c>
      <c r="S120" s="3">
        <f t="shared" si="23"/>
        <v>1.4999999999999999E-2</v>
      </c>
      <c r="T120" s="3">
        <f t="shared" si="23"/>
        <v>1.4999999999999999E-2</v>
      </c>
      <c r="U120" s="3">
        <f t="shared" si="23"/>
        <v>1.4999999999999999E-2</v>
      </c>
      <c r="V120" s="3">
        <f t="shared" si="23"/>
        <v>1.4999999999999999E-2</v>
      </c>
      <c r="W120" s="3">
        <f t="shared" si="23"/>
        <v>1.4999999999999999E-2</v>
      </c>
      <c r="X120" s="3">
        <f t="shared" si="23"/>
        <v>1.4999999999999999E-2</v>
      </c>
      <c r="Y120" s="3">
        <f t="shared" si="23"/>
        <v>1.4999999999999999E-2</v>
      </c>
      <c r="Z120" s="3">
        <f t="shared" si="23"/>
        <v>1.4999999999999999E-2</v>
      </c>
      <c r="AA120" s="3">
        <f t="shared" si="23"/>
        <v>1.4999999999999999E-2</v>
      </c>
      <c r="AB120" s="3">
        <f t="shared" si="23"/>
        <v>1.4999999999999999E-2</v>
      </c>
      <c r="AC120" s="3">
        <f t="shared" si="23"/>
        <v>1.4999999999999999E-2</v>
      </c>
      <c r="AD120" s="3">
        <f t="shared" si="23"/>
        <v>1.4999999999999999E-2</v>
      </c>
      <c r="AE120" s="3">
        <f t="shared" si="23"/>
        <v>1.4999999999999999E-2</v>
      </c>
      <c r="AF120" s="3">
        <f t="shared" si="23"/>
        <v>1.4999999999999999E-2</v>
      </c>
      <c r="AG120" s="3">
        <f t="shared" si="23"/>
        <v>1.4999999999999999E-2</v>
      </c>
      <c r="AH120" s="3">
        <f t="shared" si="23"/>
        <v>1.4999999999999999E-2</v>
      </c>
      <c r="AI120" s="3">
        <f t="shared" si="23"/>
        <v>1.4999999999999999E-2</v>
      </c>
      <c r="AJ120" s="3">
        <f t="shared" si="23"/>
        <v>1.4999999999999999E-2</v>
      </c>
      <c r="AK120" s="3">
        <f t="shared" si="23"/>
        <v>1.4999999999999999E-2</v>
      </c>
      <c r="AL120" s="3">
        <f t="shared" si="23"/>
        <v>1.4999999999999999E-2</v>
      </c>
      <c r="AM120" s="3">
        <f t="shared" si="23"/>
        <v>1.4999999999999999E-2</v>
      </c>
      <c r="AN120" s="3">
        <f t="shared" si="23"/>
        <v>1.4999999999999999E-2</v>
      </c>
      <c r="AO120" s="3">
        <f t="shared" si="23"/>
        <v>1.4999999999999999E-2</v>
      </c>
      <c r="AP120" s="3">
        <f t="shared" si="23"/>
        <v>1.4999999999999999E-2</v>
      </c>
      <c r="AQ120" s="3">
        <f t="shared" si="23"/>
        <v>1.4999999999999999E-2</v>
      </c>
      <c r="AR120" s="3">
        <f t="shared" si="23"/>
        <v>1.4999999999999999E-2</v>
      </c>
      <c r="AS120" s="3">
        <f t="shared" si="23"/>
        <v>1.4999999999999999E-2</v>
      </c>
      <c r="AT120" s="3">
        <f t="shared" si="23"/>
        <v>1.4999999999999999E-2</v>
      </c>
      <c r="AU120" s="3">
        <f t="shared" si="23"/>
        <v>1.4999999999999999E-2</v>
      </c>
      <c r="AV120" s="3">
        <f t="shared" si="23"/>
        <v>1.4999999999999999E-2</v>
      </c>
      <c r="AW120" s="3">
        <f t="shared" si="23"/>
        <v>1.4999999999999999E-2</v>
      </c>
      <c r="AX120" s="3">
        <f t="shared" si="23"/>
        <v>1.4999999999999999E-2</v>
      </c>
      <c r="AY120" s="3">
        <f t="shared" si="23"/>
        <v>1.4999999999999999E-2</v>
      </c>
      <c r="AZ120" s="3">
        <f t="shared" si="23"/>
        <v>1.4999999999999999E-2</v>
      </c>
      <c r="BA120" s="3">
        <f t="shared" si="23"/>
        <v>1.4999999999999999E-2</v>
      </c>
      <c r="BB120" s="3">
        <f t="shared" si="23"/>
        <v>1.4999999999999999E-2</v>
      </c>
      <c r="BC120" s="3">
        <f t="shared" si="23"/>
        <v>1.4999999999999999E-2</v>
      </c>
      <c r="BD120" s="3">
        <f t="shared" si="23"/>
        <v>1.4999999999999999E-2</v>
      </c>
      <c r="BE120" s="3">
        <f t="shared" si="23"/>
        <v>1.4999999999999999E-2</v>
      </c>
      <c r="BF120" s="3">
        <f t="shared" si="23"/>
        <v>1.4999999999999999E-2</v>
      </c>
      <c r="BG120" s="3">
        <f t="shared" si="23"/>
        <v>1.4999999999999999E-2</v>
      </c>
      <c r="BH120" s="3">
        <f t="shared" si="23"/>
        <v>1.4999999999999999E-2</v>
      </c>
      <c r="BI120" s="3">
        <f t="shared" si="23"/>
        <v>1.4999999999999999E-2</v>
      </c>
    </row>
    <row r="121" spans="1:124" x14ac:dyDescent="0.35">
      <c r="A121" s="15" t="s">
        <v>32</v>
      </c>
      <c r="B121" s="51">
        <f t="shared" ref="B121:BI121" si="24">+$B$5*B105/B118</f>
        <v>0.14120486187069389</v>
      </c>
      <c r="C121" s="3">
        <f t="shared" si="24"/>
        <v>0.14056687363739237</v>
      </c>
      <c r="D121" s="3">
        <f t="shared" si="24"/>
        <v>0.13974183974384491</v>
      </c>
      <c r="E121" s="3">
        <f t="shared" si="24"/>
        <v>0.13874789670013446</v>
      </c>
      <c r="F121" s="3">
        <f t="shared" si="24"/>
        <v>0.13770569382016071</v>
      </c>
      <c r="G121" s="3">
        <f t="shared" si="24"/>
        <v>0.13668472344206789</v>
      </c>
      <c r="H121" s="3">
        <f t="shared" si="24"/>
        <v>0.13572717042574958</v>
      </c>
      <c r="I121" s="3">
        <f t="shared" si="24"/>
        <v>0.13486120489211481</v>
      </c>
      <c r="J121" s="3">
        <f t="shared" si="24"/>
        <v>0.13410900701762388</v>
      </c>
      <c r="K121" s="3">
        <f t="shared" si="24"/>
        <v>0.13349116911845127</v>
      </c>
      <c r="L121" s="3">
        <f t="shared" si="24"/>
        <v>0.1330304837740959</v>
      </c>
      <c r="M121" s="3">
        <f t="shared" si="24"/>
        <v>0.13245615958929291</v>
      </c>
      <c r="N121" s="3">
        <f t="shared" si="24"/>
        <v>0.13164812353711197</v>
      </c>
      <c r="O121" s="3">
        <f t="shared" si="24"/>
        <v>0.13069465231597127</v>
      </c>
      <c r="P121" s="3">
        <f t="shared" si="24"/>
        <v>0.12965451024648697</v>
      </c>
      <c r="Q121" s="3">
        <f t="shared" si="24"/>
        <v>0.12856716577018834</v>
      </c>
      <c r="R121" s="3">
        <f t="shared" si="24"/>
        <v>0.12746003576743833</v>
      </c>
      <c r="S121" s="3">
        <f t="shared" si="24"/>
        <v>0.12635389202856198</v>
      </c>
      <c r="T121" s="3">
        <f t="shared" si="24"/>
        <v>0.12526755177396129</v>
      </c>
      <c r="U121" s="3">
        <f t="shared" si="24"/>
        <v>0.12422303255290471</v>
      </c>
      <c r="V121" s="3">
        <f t="shared" si="24"/>
        <v>0.12324612922978259</v>
      </c>
      <c r="W121" s="3">
        <f t="shared" si="24"/>
        <v>0.12234669574181335</v>
      </c>
      <c r="X121" s="3">
        <f t="shared" si="24"/>
        <v>0.12152720717820271</v>
      </c>
      <c r="Y121" s="3">
        <f t="shared" si="24"/>
        <v>0.12072035548420305</v>
      </c>
      <c r="Z121" s="3">
        <f t="shared" si="24"/>
        <v>0.11995577731097334</v>
      </c>
      <c r="AA121" s="3">
        <f t="shared" si="24"/>
        <v>0.1192021659024045</v>
      </c>
      <c r="AB121" s="3">
        <f t="shared" si="24"/>
        <v>0.11846083748698814</v>
      </c>
      <c r="AC121" s="3">
        <f t="shared" si="24"/>
        <v>0.11772721008908341</v>
      </c>
      <c r="AD121" s="3">
        <f t="shared" si="24"/>
        <v>0.11698955444788739</v>
      </c>
      <c r="AE121" s="3">
        <f t="shared" si="24"/>
        <v>0.11675821104253636</v>
      </c>
      <c r="AF121" s="3">
        <f t="shared" si="24"/>
        <v>0.11644354900470549</v>
      </c>
      <c r="AG121" s="3">
        <f t="shared" si="24"/>
        <v>0.11607837814194689</v>
      </c>
      <c r="AH121" s="3">
        <f t="shared" si="24"/>
        <v>0.11568491781676794</v>
      </c>
      <c r="AI121" s="3">
        <f t="shared" si="24"/>
        <v>0.11527807862723727</v>
      </c>
      <c r="AJ121" s="3">
        <f t="shared" si="24"/>
        <v>0.11486775859722126</v>
      </c>
      <c r="AK121" s="3">
        <f t="shared" si="24"/>
        <v>0.11446043417466874</v>
      </c>
      <c r="AL121" s="3">
        <f t="shared" si="24"/>
        <v>0.11406025571784478</v>
      </c>
      <c r="AM121" s="3">
        <f t="shared" si="24"/>
        <v>0.11366979873479441</v>
      </c>
      <c r="AN121" s="3">
        <f t="shared" si="24"/>
        <v>0.11329057765206195</v>
      </c>
      <c r="AO121" s="3">
        <f t="shared" si="24"/>
        <v>0.11292339648196989</v>
      </c>
      <c r="AP121" s="3">
        <f t="shared" si="24"/>
        <v>0.11256858775975337</v>
      </c>
      <c r="AQ121" s="3">
        <f t="shared" si="24"/>
        <v>0.11222617505759111</v>
      </c>
      <c r="AR121" s="3">
        <f t="shared" si="24"/>
        <v>0.11189598327047511</v>
      </c>
      <c r="AS121" s="3">
        <f t="shared" si="24"/>
        <v>0.11157771322782045</v>
      </c>
      <c r="AT121" s="3">
        <f t="shared" si="24"/>
        <v>0.11127099194876434</v>
      </c>
      <c r="AU121" s="3">
        <f t="shared" si="24"/>
        <v>0.11097540627797005</v>
      </c>
      <c r="AV121" s="3">
        <f t="shared" si="24"/>
        <v>0.11069052519145353</v>
      </c>
      <c r="AW121" s="3">
        <f t="shared" si="24"/>
        <v>0.11041591438975967</v>
      </c>
      <c r="AX121" s="3">
        <f t="shared" si="24"/>
        <v>0.11015114565288819</v>
      </c>
      <c r="AY121" s="3">
        <f t="shared" si="24"/>
        <v>0.10989580264977894</v>
      </c>
      <c r="AZ121" s="3">
        <f t="shared" si="24"/>
        <v>0.10964948436029505</v>
      </c>
      <c r="BA121" s="3">
        <f t="shared" si="24"/>
        <v>0.10941180690136051</v>
      </c>
      <c r="BB121" s="3">
        <f t="shared" si="24"/>
        <v>0.10918240429790119</v>
      </c>
      <c r="BC121" s="3">
        <f t="shared" si="24"/>
        <v>0.10896092856713871</v>
      </c>
      <c r="BD121" s="3">
        <f t="shared" si="24"/>
        <v>0.10874704936674803</v>
      </c>
      <c r="BE121" s="3">
        <f t="shared" si="24"/>
        <v>0.10854045337641875</v>
      </c>
      <c r="BF121" s="3">
        <f t="shared" si="24"/>
        <v>0.10834084352684749</v>
      </c>
      <c r="BG121" s="3">
        <f t="shared" si="24"/>
        <v>0.108147938152148</v>
      </c>
      <c r="BH121" s="3">
        <f t="shared" si="24"/>
        <v>0.10794426544361316</v>
      </c>
      <c r="BI121" s="3">
        <f t="shared" si="24"/>
        <v>0.10774440806607502</v>
      </c>
    </row>
    <row r="122" spans="1:124" x14ac:dyDescent="0.35">
      <c r="A122" s="15" t="s">
        <v>33</v>
      </c>
      <c r="B122" s="3">
        <f>+AVERAGE($B121:B121)</f>
        <v>0.14120486187069389</v>
      </c>
      <c r="C122" s="3">
        <f>+AVERAGE($B121:C121)</f>
        <v>0.14088586775404313</v>
      </c>
      <c r="D122" s="3">
        <f>+AVERAGE($B121:D121)</f>
        <v>0.14050452508397707</v>
      </c>
      <c r="E122" s="3">
        <f>+AVERAGE($B121:E121)</f>
        <v>0.14006536798801641</v>
      </c>
      <c r="F122" s="3">
        <f>+AVERAGE($B121:F121)</f>
        <v>0.13959343315444528</v>
      </c>
      <c r="G122" s="3">
        <f>+AVERAGE($B121:G121)</f>
        <v>0.13910864820238236</v>
      </c>
      <c r="H122" s="3">
        <f>+AVERAGE($B121:H121)</f>
        <v>0.13862557994857769</v>
      </c>
      <c r="I122" s="3">
        <f>+AVERAGE($B121:I121)</f>
        <v>0.13815503306651983</v>
      </c>
      <c r="J122" s="3">
        <f>+AVERAGE($B121:J121)</f>
        <v>0.13770547461664251</v>
      </c>
      <c r="K122" s="3">
        <f>+AVERAGE($B121:K121)</f>
        <v>0.13728404406682337</v>
      </c>
      <c r="L122" s="3">
        <f>+AVERAGE($B121:L121)</f>
        <v>0.13689735676748452</v>
      </c>
      <c r="M122" s="3">
        <f>+AVERAGE($B121:M121)</f>
        <v>0.13652725700263521</v>
      </c>
      <c r="N122" s="3">
        <f>+AVERAGE($B121:N121)</f>
        <v>0.13615193904374878</v>
      </c>
      <c r="O122" s="3">
        <f>+AVERAGE($B121:O121)</f>
        <v>0.13576213284890754</v>
      </c>
      <c r="P122" s="3">
        <f>+AVERAGE($B121:P121)</f>
        <v>0.13535495800874617</v>
      </c>
      <c r="Q122" s="3">
        <f>+AVERAGE($B121:Q121)</f>
        <v>0.1349307209938363</v>
      </c>
      <c r="R122" s="3">
        <f>+AVERAGE($B121:R121)</f>
        <v>0.13449126892169525</v>
      </c>
      <c r="S122" s="3">
        <f>+AVERAGE($B121:S121)</f>
        <v>0.13403919242763229</v>
      </c>
      <c r="T122" s="3">
        <f>+AVERAGE($B121:T121)</f>
        <v>0.13357752713007065</v>
      </c>
      <c r="U122" s="3">
        <f>+AVERAGE($B121:U121)</f>
        <v>0.13310980240121234</v>
      </c>
      <c r="V122" s="3">
        <f>+AVERAGE($B121:V121)</f>
        <v>0.1326401036787633</v>
      </c>
      <c r="W122" s="3">
        <f>+AVERAGE($B121:W121)</f>
        <v>0.13217222149981103</v>
      </c>
      <c r="X122" s="3">
        <f>+AVERAGE($B121:X121)</f>
        <v>0.13170939479017588</v>
      </c>
      <c r="Y122" s="3">
        <f>+AVERAGE($B121:Y121)</f>
        <v>0.131251518152427</v>
      </c>
      <c r="Z122" s="3">
        <f>+AVERAGE($B121:Z121)</f>
        <v>0.13079968851876886</v>
      </c>
      <c r="AA122" s="3">
        <f>+AVERAGE($B121:AA121)</f>
        <v>0.13035362995660099</v>
      </c>
      <c r="AB122" s="3">
        <f>+AVERAGE($B121:AB121)</f>
        <v>0.12991315616143015</v>
      </c>
      <c r="AC122" s="3">
        <f>+AVERAGE($B121:AC121)</f>
        <v>0.12947794380170347</v>
      </c>
      <c r="AD122" s="3">
        <f>+AVERAGE($B121:AD121)</f>
        <v>0.12904730968605466</v>
      </c>
      <c r="AE122" s="3">
        <f>+AVERAGE($B121:AE121)</f>
        <v>0.12863767306460402</v>
      </c>
      <c r="AF122" s="3">
        <f>+AVERAGE($B121:AF121)</f>
        <v>0.12824431422396215</v>
      </c>
      <c r="AG122" s="3">
        <f>+AVERAGE($B121:AG121)</f>
        <v>0.12786412872139916</v>
      </c>
      <c r="AH122" s="3">
        <f>+AVERAGE($B121:AH121)</f>
        <v>0.12749506172428912</v>
      </c>
      <c r="AI122" s="3">
        <f>+AVERAGE($B121:AI121)</f>
        <v>0.12713573869202288</v>
      </c>
      <c r="AJ122" s="3">
        <f>+AVERAGE($B121:AJ121)</f>
        <v>0.12678522497502856</v>
      </c>
      <c r="AK122" s="3">
        <f>+AVERAGE($B121:AK121)</f>
        <v>0.12644286967501855</v>
      </c>
      <c r="AL122" s="3">
        <f>+AVERAGE($B121:AL121)</f>
        <v>0.12610820443293277</v>
      </c>
      <c r="AM122" s="3">
        <f>+AVERAGE($B121:AM121)</f>
        <v>0.12578087796719228</v>
      </c>
      <c r="AN122" s="3">
        <f>+AVERAGE($B121:AN121)</f>
        <v>0.12546061385654794</v>
      </c>
      <c r="AO122" s="3">
        <f>+AVERAGE($B121:AO121)</f>
        <v>0.12514718342218351</v>
      </c>
      <c r="AP122" s="3">
        <f>+AVERAGE($B121:AP121)</f>
        <v>0.12484038840602667</v>
      </c>
      <c r="AQ122" s="3">
        <f>+AVERAGE($B121:AQ121)</f>
        <v>0.12454004999296868</v>
      </c>
      <c r="AR122" s="3">
        <f>+AVERAGE($B121:AR121)</f>
        <v>0.12424600192965488</v>
      </c>
      <c r="AS122" s="3">
        <f>+AVERAGE($B121:AS121)</f>
        <v>0.12395808627734045</v>
      </c>
      <c r="AT122" s="3">
        <f>+AVERAGE($B121:AT121)</f>
        <v>0.12367615084781654</v>
      </c>
      <c r="AU122" s="3">
        <f>+AVERAGE($B121:AU121)</f>
        <v>0.1234000477049938</v>
      </c>
      <c r="AV122" s="3">
        <f>+AVERAGE($B121:AV121)</f>
        <v>0.12312963233236528</v>
      </c>
      <c r="AW122" s="3">
        <f>+AVERAGE($B121:AW121)</f>
        <v>0.122864763208561</v>
      </c>
      <c r="AX122" s="3">
        <f>+AVERAGE($B121:AX121)</f>
        <v>0.12260530162579217</v>
      </c>
      <c r="AY122" s="3">
        <f>+AVERAGE($B121:AY121)</f>
        <v>0.12235111164627192</v>
      </c>
      <c r="AZ122" s="3">
        <f>+AVERAGE($B121:AZ121)</f>
        <v>0.12210206013086061</v>
      </c>
      <c r="BA122" s="3">
        <f>+AVERAGE($B121:BA121)</f>
        <v>0.12185801679952407</v>
      </c>
      <c r="BB122" s="3">
        <f>+AVERAGE($B121:BB121)</f>
        <v>0.12161885429949346</v>
      </c>
      <c r="BC122" s="3">
        <f>+AVERAGE($B121:BC121)</f>
        <v>0.12138444826741281</v>
      </c>
      <c r="BD122" s="3">
        <f>+AVERAGE($B121:BD121)</f>
        <v>0.12115467737830982</v>
      </c>
      <c r="BE122" s="3">
        <f>+AVERAGE($B121:BE121)</f>
        <v>0.12092942337827604</v>
      </c>
      <c r="BF122" s="3">
        <f>+AVERAGE($B121:BF121)</f>
        <v>0.12070857110018081</v>
      </c>
      <c r="BG122" s="3">
        <f>+AVERAGE($B121:BG121)</f>
        <v>0.12049200846314576</v>
      </c>
      <c r="BH122" s="3">
        <f>+AVERAGE($B121:BH121)</f>
        <v>0.12027933485264521</v>
      </c>
      <c r="BI122" s="3">
        <f>+AVERAGE($B121:BI121)</f>
        <v>0.12007041940620237</v>
      </c>
    </row>
    <row r="123" spans="1:124" ht="22.5" x14ac:dyDescent="0.35">
      <c r="A123" s="86" t="s">
        <v>52</v>
      </c>
    </row>
    <row r="124" spans="1:124" x14ac:dyDescent="0.35">
      <c r="A124" s="15" t="s">
        <v>45</v>
      </c>
      <c r="B124" s="51">
        <f>B111-B117</f>
        <v>46.988065170749614</v>
      </c>
      <c r="C124" s="3">
        <f t="shared" ref="C124:BI124" si="25">C111-C117</f>
        <v>56.145202971937834</v>
      </c>
      <c r="D124" s="3">
        <f t="shared" si="25"/>
        <v>66.422941129678236</v>
      </c>
      <c r="E124" s="3">
        <f t="shared" si="25"/>
        <v>77.761066033325761</v>
      </c>
      <c r="F124" s="3">
        <f t="shared" si="25"/>
        <v>90.134247474618604</v>
      </c>
      <c r="G124" s="3">
        <f t="shared" si="25"/>
        <v>103.50322722651097</v>
      </c>
      <c r="H124" s="3">
        <f t="shared" si="25"/>
        <v>117.8110787603278</v>
      </c>
      <c r="I124" s="3">
        <f t="shared" si="25"/>
        <v>132.97941268094655</v>
      </c>
      <c r="J124" s="3">
        <f t="shared" si="25"/>
        <v>148.90254322556953</v>
      </c>
      <c r="K124" s="3">
        <f t="shared" si="25"/>
        <v>165.43920258104995</v>
      </c>
      <c r="L124" s="3">
        <f t="shared" si="25"/>
        <v>183.64601879054462</v>
      </c>
      <c r="M124" s="3">
        <f t="shared" si="25"/>
        <v>203.69292434856226</v>
      </c>
      <c r="N124" s="3">
        <f t="shared" si="25"/>
        <v>225.04565238642851</v>
      </c>
      <c r="O124" s="3">
        <f t="shared" si="25"/>
        <v>247.68210273962083</v>
      </c>
      <c r="P124" s="3">
        <f t="shared" si="25"/>
        <v>271.58262068087424</v>
      </c>
      <c r="Q124" s="3">
        <f t="shared" si="25"/>
        <v>296.72979612296496</v>
      </c>
      <c r="R124" s="3">
        <f t="shared" si="25"/>
        <v>323.10921275676259</v>
      </c>
      <c r="S124" s="3">
        <f t="shared" si="25"/>
        <v>350.71207285385316</v>
      </c>
      <c r="T124" s="3">
        <f t="shared" si="25"/>
        <v>379.54120155892542</v>
      </c>
      <c r="U124" s="3">
        <f t="shared" si="25"/>
        <v>409.62202989923128</v>
      </c>
      <c r="V124" s="3">
        <f t="shared" si="25"/>
        <v>441.42837391438599</v>
      </c>
      <c r="W124" s="3">
        <f t="shared" si="25"/>
        <v>473.82293917725536</v>
      </c>
      <c r="X124" s="3">
        <f t="shared" si="25"/>
        <v>506.91824005245417</v>
      </c>
      <c r="Y124" s="3">
        <f t="shared" si="25"/>
        <v>540.79025823497079</v>
      </c>
      <c r="Z124" s="3">
        <f t="shared" si="25"/>
        <v>576.00590075310697</v>
      </c>
      <c r="AA124" s="3">
        <f t="shared" si="25"/>
        <v>612.21308475751903</v>
      </c>
      <c r="AB124" s="3">
        <f t="shared" si="25"/>
        <v>649.34201624037871</v>
      </c>
      <c r="AC124" s="3">
        <f t="shared" si="25"/>
        <v>687.30713001982213</v>
      </c>
      <c r="AD124" s="3">
        <f t="shared" si="25"/>
        <v>729.46935509838386</v>
      </c>
      <c r="AE124" s="3">
        <f t="shared" si="25"/>
        <v>768.44392582862133</v>
      </c>
      <c r="AF124" s="3">
        <f t="shared" si="25"/>
        <v>808.40522052825622</v>
      </c>
      <c r="AG124" s="3">
        <f t="shared" si="25"/>
        <v>849.2479818165034</v>
      </c>
      <c r="AH124" s="3">
        <f t="shared" si="25"/>
        <v>890.88175006140159</v>
      </c>
      <c r="AI124" s="3">
        <f t="shared" si="25"/>
        <v>933.22696005840999</v>
      </c>
      <c r="AJ124" s="3">
        <f t="shared" si="25"/>
        <v>976.21207288075902</v>
      </c>
      <c r="AK124" s="3">
        <f t="shared" si="25"/>
        <v>1019.7714901621423</v>
      </c>
      <c r="AL124" s="3">
        <f t="shared" si="25"/>
        <v>1063.8440534842896</v>
      </c>
      <c r="AM124" s="3">
        <f t="shared" si="25"/>
        <v>1108.3719776995106</v>
      </c>
      <c r="AN124" s="3">
        <f t="shared" si="25"/>
        <v>1153.30010381688</v>
      </c>
      <c r="AO124" s="3">
        <f t="shared" si="25"/>
        <v>1198.5753856559911</v>
      </c>
      <c r="AP124" s="3">
        <f t="shared" si="25"/>
        <v>1244.1465462950853</v>
      </c>
      <c r="AQ124" s="3">
        <f t="shared" si="25"/>
        <v>1289.9638568254475</v>
      </c>
      <c r="AR124" s="3">
        <f t="shared" si="25"/>
        <v>1335.979002286002</v>
      </c>
      <c r="AS124" s="3">
        <f t="shared" si="25"/>
        <v>1382.1450088762533</v>
      </c>
      <c r="AT124" s="3">
        <f t="shared" si="25"/>
        <v>1428.416213405282</v>
      </c>
      <c r="AU124" s="3">
        <f t="shared" si="25"/>
        <v>1474.7482610240186</v>
      </c>
      <c r="AV124" s="3">
        <f t="shared" si="25"/>
        <v>1521.0981210583768</v>
      </c>
      <c r="AW124" s="3">
        <f t="shared" si="25"/>
        <v>1567.4241135514658</v>
      </c>
      <c r="AX124" s="3">
        <f t="shared" si="25"/>
        <v>1613.6859411872281</v>
      </c>
      <c r="AY124" s="3">
        <f t="shared" si="25"/>
        <v>1659.8447227943063</v>
      </c>
      <c r="AZ124" s="3">
        <f t="shared" si="25"/>
        <v>1705.8630257573568</v>
      </c>
      <c r="BA124" s="3">
        <f t="shared" si="25"/>
        <v>1751.7048954971137</v>
      </c>
      <c r="BB124" s="3">
        <f t="shared" si="25"/>
        <v>1797.3358807965587</v>
      </c>
      <c r="BC124" s="3">
        <f t="shared" si="25"/>
        <v>1842.7230542051666</v>
      </c>
      <c r="BD124" s="3">
        <f t="shared" si="25"/>
        <v>1887.835027087966</v>
      </c>
      <c r="BE124" s="3">
        <f t="shared" si="25"/>
        <v>1932.6419591317626</v>
      </c>
      <c r="BF124" s="3">
        <f t="shared" si="25"/>
        <v>1977.1155623001846</v>
      </c>
      <c r="BG124" s="3">
        <f t="shared" si="25"/>
        <v>2022.3172289645599</v>
      </c>
      <c r="BH124" s="3">
        <f t="shared" si="25"/>
        <v>2066.6979807429689</v>
      </c>
      <c r="BI124" s="3">
        <f t="shared" si="25"/>
        <v>2108.9158338160205</v>
      </c>
    </row>
    <row r="125" spans="1:124" x14ac:dyDescent="0.35">
      <c r="A125" s="15" t="s">
        <v>108</v>
      </c>
      <c r="B125" s="51">
        <f>+C125</f>
        <v>5.3803165984658907</v>
      </c>
      <c r="C125" s="51">
        <f t="shared" ref="C125:BI125" si="26">+(C118-B118)/(C2-B2)</f>
        <v>5.3803165984658907</v>
      </c>
      <c r="D125" s="51">
        <f t="shared" si="26"/>
        <v>6.0878303655293617</v>
      </c>
      <c r="E125" s="51">
        <f t="shared" si="26"/>
        <v>6.8488786755214281</v>
      </c>
      <c r="F125" s="51">
        <f t="shared" si="26"/>
        <v>7.6096862225956672</v>
      </c>
      <c r="G125" s="51">
        <f t="shared" si="26"/>
        <v>8.3672926204746769</v>
      </c>
      <c r="H125" s="51">
        <f t="shared" si="26"/>
        <v>9.1161288171184882</v>
      </c>
      <c r="I125" s="51">
        <f t="shared" si="26"/>
        <v>9.8480145412292579</v>
      </c>
      <c r="J125" s="51">
        <f t="shared" si="26"/>
        <v>10.551469636023352</v>
      </c>
      <c r="K125" s="51">
        <f t="shared" si="26"/>
        <v>11.211552398029244</v>
      </c>
      <c r="L125" s="51">
        <f t="shared" si="26"/>
        <v>11.80811065315172</v>
      </c>
      <c r="M125" s="51">
        <f t="shared" si="26"/>
        <v>12.721053936334306</v>
      </c>
      <c r="N125" s="51">
        <f t="shared" si="26"/>
        <v>13.876852367897049</v>
      </c>
      <c r="O125" s="51">
        <f t="shared" si="26"/>
        <v>15.012352176671129</v>
      </c>
      <c r="P125" s="51">
        <f t="shared" si="26"/>
        <v>16.136021322433542</v>
      </c>
      <c r="Q125" s="51">
        <f t="shared" si="26"/>
        <v>17.252457898420062</v>
      </c>
      <c r="R125" s="51">
        <f t="shared" si="26"/>
        <v>18.362120409937368</v>
      </c>
      <c r="S125" s="51">
        <f t="shared" si="26"/>
        <v>19.45991461888757</v>
      </c>
      <c r="T125" s="51">
        <f t="shared" si="26"/>
        <v>20.531609265222006</v>
      </c>
      <c r="U125" s="51">
        <f t="shared" si="26"/>
        <v>21.54624653416613</v>
      </c>
      <c r="V125" s="51">
        <f t="shared" si="26"/>
        <v>22.463243292610152</v>
      </c>
      <c r="W125" s="51">
        <f t="shared" si="26"/>
        <v>23.305525825788344</v>
      </c>
      <c r="X125" s="51">
        <f t="shared" si="26"/>
        <v>24.083304111502866</v>
      </c>
      <c r="Y125" s="51">
        <f t="shared" si="26"/>
        <v>25.085968623038845</v>
      </c>
      <c r="Z125" s="51">
        <f t="shared" si="26"/>
        <v>25.946233277264355</v>
      </c>
      <c r="AA125" s="51">
        <f t="shared" si="26"/>
        <v>26.924170108716815</v>
      </c>
      <c r="AB125" s="51">
        <f t="shared" si="26"/>
        <v>27.885799847712313</v>
      </c>
      <c r="AC125" s="51">
        <f t="shared" si="26"/>
        <v>28.860706911795205</v>
      </c>
      <c r="AD125" s="51">
        <f t="shared" si="26"/>
        <v>29.897757656042451</v>
      </c>
      <c r="AE125" s="51">
        <f t="shared" si="26"/>
        <v>27.605699590692346</v>
      </c>
      <c r="AF125" s="51">
        <f t="shared" si="26"/>
        <v>28.785201123226123</v>
      </c>
      <c r="AG125" s="51">
        <f t="shared" si="26"/>
        <v>29.797751824669739</v>
      </c>
      <c r="AH125" s="51">
        <f t="shared" si="26"/>
        <v>30.678003747560979</v>
      </c>
      <c r="AI125" s="51">
        <f t="shared" si="26"/>
        <v>31.451158588602446</v>
      </c>
      <c r="AJ125" s="51">
        <f t="shared" si="26"/>
        <v>32.135587394262984</v>
      </c>
      <c r="AK125" s="51">
        <f t="shared" si="26"/>
        <v>32.744709056347254</v>
      </c>
      <c r="AL125" s="51">
        <f t="shared" si="26"/>
        <v>33.288350173110032</v>
      </c>
      <c r="AM125" s="51">
        <f t="shared" si="26"/>
        <v>33.773735454098187</v>
      </c>
      <c r="AN125" s="51">
        <f t="shared" si="26"/>
        <v>34.206211542100299</v>
      </c>
      <c r="AO125" s="51">
        <f t="shared" si="26"/>
        <v>34.589776785206595</v>
      </c>
      <c r="AP125" s="51">
        <f t="shared" si="26"/>
        <v>34.927468942203994</v>
      </c>
      <c r="AQ125" s="51">
        <f t="shared" si="26"/>
        <v>35.221648507167266</v>
      </c>
      <c r="AR125" s="51">
        <f t="shared" si="26"/>
        <v>35.474205186870861</v>
      </c>
      <c r="AS125" s="51">
        <f t="shared" si="26"/>
        <v>35.686707749144261</v>
      </c>
      <c r="AT125" s="51">
        <f t="shared" si="26"/>
        <v>35.860512135470707</v>
      </c>
      <c r="AU125" s="51">
        <f t="shared" si="26"/>
        <v>35.996838829425357</v>
      </c>
      <c r="AV125" s="51">
        <f t="shared" si="26"/>
        <v>36.096827601646694</v>
      </c>
      <c r="AW125" s="51">
        <f t="shared" si="26"/>
        <v>36.161575634250767</v>
      </c>
      <c r="AX125" s="51">
        <f t="shared" si="26"/>
        <v>36.192163463242288</v>
      </c>
      <c r="AY125" s="51">
        <f t="shared" si="26"/>
        <v>36.189672021025579</v>
      </c>
      <c r="AZ125" s="51">
        <f t="shared" si="26"/>
        <v>36.155193206013429</v>
      </c>
      <c r="BA125" s="51">
        <f t="shared" si="26"/>
        <v>36.089835773910089</v>
      </c>
      <c r="BB125" s="51">
        <f t="shared" si="26"/>
        <v>35.994727877517654</v>
      </c>
      <c r="BC125" s="51">
        <f t="shared" si="26"/>
        <v>35.871017235896218</v>
      </c>
      <c r="BD125" s="51">
        <f t="shared" si="26"/>
        <v>35.719869657659366</v>
      </c>
      <c r="BE125" s="51">
        <f t="shared" si="26"/>
        <v>35.542466453629096</v>
      </c>
      <c r="BF125" s="51">
        <f t="shared" si="26"/>
        <v>35.340001133553599</v>
      </c>
      <c r="BG125" s="51">
        <f t="shared" si="26"/>
        <v>35.113675677402355</v>
      </c>
      <c r="BH125" s="51">
        <f t="shared" si="26"/>
        <v>35.213245629584705</v>
      </c>
      <c r="BI125" s="51">
        <f t="shared" si="26"/>
        <v>35.009085717228665</v>
      </c>
      <c r="BJ125" s="51"/>
      <c r="BK125" s="51"/>
      <c r="BL125" s="51"/>
      <c r="BM125" s="51"/>
      <c r="BN125" s="51"/>
      <c r="BO125" s="51"/>
      <c r="BP125" s="51"/>
      <c r="BQ125" s="51"/>
      <c r="BR125" s="51"/>
      <c r="BS125" s="51"/>
      <c r="BT125" s="51"/>
      <c r="BU125" s="51"/>
      <c r="BV125" s="51"/>
      <c r="BW125" s="51"/>
      <c r="BX125" s="51"/>
      <c r="BY125" s="51"/>
      <c r="BZ125" s="51"/>
      <c r="CA125" s="51"/>
      <c r="CB125" s="51"/>
      <c r="CC125" s="51"/>
      <c r="CD125" s="51"/>
      <c r="CE125" s="51"/>
      <c r="CF125" s="51"/>
      <c r="CG125" s="51"/>
      <c r="CH125" s="51"/>
      <c r="CI125" s="51"/>
      <c r="CJ125" s="51"/>
      <c r="CK125" s="51"/>
      <c r="CL125" s="51"/>
      <c r="CM125" s="51"/>
      <c r="CN125" s="51"/>
      <c r="CO125" s="51"/>
      <c r="CP125" s="51"/>
      <c r="CQ125" s="51"/>
      <c r="CR125" s="51"/>
      <c r="CS125" s="51"/>
      <c r="CT125" s="51"/>
      <c r="CU125" s="51"/>
      <c r="CV125" s="51"/>
      <c r="CW125" s="51"/>
      <c r="CX125" s="51"/>
      <c r="CY125" s="51"/>
      <c r="CZ125" s="51"/>
      <c r="DA125" s="51"/>
      <c r="DB125" s="51"/>
      <c r="DC125" s="51"/>
      <c r="DD125" s="51"/>
      <c r="DE125" s="51"/>
      <c r="DF125" s="51"/>
      <c r="DG125" s="51"/>
      <c r="DH125" s="51"/>
      <c r="DI125" s="51"/>
      <c r="DJ125" s="51"/>
      <c r="DK125" s="51"/>
      <c r="DL125" s="51"/>
      <c r="DM125" s="51"/>
      <c r="DN125" s="51"/>
      <c r="DO125" s="51"/>
      <c r="DP125" s="51"/>
      <c r="DQ125" s="51"/>
      <c r="DR125" s="51"/>
      <c r="DS125" s="51"/>
      <c r="DT125" s="51"/>
    </row>
    <row r="126" spans="1:124" x14ac:dyDescent="0.35">
      <c r="A126" s="15" t="s">
        <v>229</v>
      </c>
      <c r="B126" s="51">
        <f t="shared" ref="B126:AG126" si="27">+SUM(B124:B125)</f>
        <v>52.368381769215503</v>
      </c>
      <c r="C126" s="51">
        <f t="shared" si="27"/>
        <v>61.525519570403723</v>
      </c>
      <c r="D126" s="51">
        <f t="shared" si="27"/>
        <v>72.510771495207592</v>
      </c>
      <c r="E126" s="51">
        <f t="shared" si="27"/>
        <v>84.609944708847195</v>
      </c>
      <c r="F126" s="51">
        <f t="shared" si="27"/>
        <v>97.743933697214274</v>
      </c>
      <c r="G126" s="51">
        <f t="shared" si="27"/>
        <v>111.87051984698564</v>
      </c>
      <c r="H126" s="51">
        <f t="shared" si="27"/>
        <v>126.9272075774463</v>
      </c>
      <c r="I126" s="51">
        <f t="shared" si="27"/>
        <v>142.8274272221758</v>
      </c>
      <c r="J126" s="51">
        <f t="shared" si="27"/>
        <v>159.45401286159287</v>
      </c>
      <c r="K126" s="51">
        <f t="shared" si="27"/>
        <v>176.65075497907921</v>
      </c>
      <c r="L126" s="51">
        <f t="shared" si="27"/>
        <v>195.45412944369633</v>
      </c>
      <c r="M126" s="51">
        <f t="shared" si="27"/>
        <v>216.41397828489656</v>
      </c>
      <c r="N126" s="51">
        <f t="shared" si="27"/>
        <v>238.92250475432556</v>
      </c>
      <c r="O126" s="51">
        <f t="shared" si="27"/>
        <v>262.69445491629199</v>
      </c>
      <c r="P126" s="51">
        <f t="shared" si="27"/>
        <v>287.71864200330776</v>
      </c>
      <c r="Q126" s="51">
        <f t="shared" si="27"/>
        <v>313.98225402138502</v>
      </c>
      <c r="R126" s="51">
        <f t="shared" si="27"/>
        <v>341.47133316669994</v>
      </c>
      <c r="S126" s="51">
        <f t="shared" si="27"/>
        <v>370.17198747274074</v>
      </c>
      <c r="T126" s="51">
        <f t="shared" si="27"/>
        <v>400.07281082414744</v>
      </c>
      <c r="U126" s="51">
        <f t="shared" si="27"/>
        <v>431.16827643339741</v>
      </c>
      <c r="V126" s="51">
        <f t="shared" si="27"/>
        <v>463.89161720699616</v>
      </c>
      <c r="W126" s="51">
        <f t="shared" si="27"/>
        <v>497.12846500304369</v>
      </c>
      <c r="X126" s="51">
        <f t="shared" si="27"/>
        <v>531.00154416395708</v>
      </c>
      <c r="Y126" s="51">
        <f t="shared" si="27"/>
        <v>565.87622685800966</v>
      </c>
      <c r="Z126" s="51">
        <f t="shared" si="27"/>
        <v>601.95213403037133</v>
      </c>
      <c r="AA126" s="51">
        <f t="shared" si="27"/>
        <v>639.13725486623582</v>
      </c>
      <c r="AB126" s="51">
        <f t="shared" si="27"/>
        <v>677.227816088091</v>
      </c>
      <c r="AC126" s="51">
        <f t="shared" si="27"/>
        <v>716.16783693161733</v>
      </c>
      <c r="AD126" s="51">
        <f t="shared" si="27"/>
        <v>759.36711275442633</v>
      </c>
      <c r="AE126" s="51">
        <f t="shared" si="27"/>
        <v>796.04962541931366</v>
      </c>
      <c r="AF126" s="51">
        <f t="shared" si="27"/>
        <v>837.19042165148232</v>
      </c>
      <c r="AG126" s="51">
        <f t="shared" si="27"/>
        <v>879.04573364117311</v>
      </c>
      <c r="AH126" s="51">
        <f t="shared" ref="AH126:BI126" si="28">+SUM(AH124:AH125)</f>
        <v>921.55975380896257</v>
      </c>
      <c r="AI126" s="51">
        <f t="shared" si="28"/>
        <v>964.67811864701241</v>
      </c>
      <c r="AJ126" s="51">
        <f t="shared" si="28"/>
        <v>1008.347660275022</v>
      </c>
      <c r="AK126" s="51">
        <f t="shared" si="28"/>
        <v>1052.5161992184896</v>
      </c>
      <c r="AL126" s="51">
        <f t="shared" si="28"/>
        <v>1097.1324036573997</v>
      </c>
      <c r="AM126" s="51">
        <f t="shared" si="28"/>
        <v>1142.1457131536088</v>
      </c>
      <c r="AN126" s="51">
        <f t="shared" si="28"/>
        <v>1187.5063153589804</v>
      </c>
      <c r="AO126" s="51">
        <f t="shared" si="28"/>
        <v>1233.1651624411977</v>
      </c>
      <c r="AP126" s="51">
        <f t="shared" si="28"/>
        <v>1279.0740152372894</v>
      </c>
      <c r="AQ126" s="51">
        <f t="shared" si="28"/>
        <v>1325.1855053326146</v>
      </c>
      <c r="AR126" s="51">
        <f t="shared" si="28"/>
        <v>1371.4532074728729</v>
      </c>
      <c r="AS126" s="51">
        <f t="shared" si="28"/>
        <v>1417.8317166253976</v>
      </c>
      <c r="AT126" s="51">
        <f t="shared" si="28"/>
        <v>1464.2767255407528</v>
      </c>
      <c r="AU126" s="51">
        <f t="shared" si="28"/>
        <v>1510.7450998534439</v>
      </c>
      <c r="AV126" s="51">
        <f t="shared" si="28"/>
        <v>1557.1949486600236</v>
      </c>
      <c r="AW126" s="51">
        <f t="shared" si="28"/>
        <v>1603.5856891857165</v>
      </c>
      <c r="AX126" s="51">
        <f t="shared" si="28"/>
        <v>1649.8781046504703</v>
      </c>
      <c r="AY126" s="51">
        <f t="shared" si="28"/>
        <v>1696.034394815332</v>
      </c>
      <c r="AZ126" s="51">
        <f t="shared" si="28"/>
        <v>1742.0182189633701</v>
      </c>
      <c r="BA126" s="51">
        <f t="shared" si="28"/>
        <v>1787.7947312710239</v>
      </c>
      <c r="BB126" s="51">
        <f t="shared" si="28"/>
        <v>1833.3306086740763</v>
      </c>
      <c r="BC126" s="51">
        <f t="shared" si="28"/>
        <v>1878.5940714410629</v>
      </c>
      <c r="BD126" s="51">
        <f t="shared" si="28"/>
        <v>1923.5548967456252</v>
      </c>
      <c r="BE126" s="51">
        <f t="shared" si="28"/>
        <v>1968.1844255853916</v>
      </c>
      <c r="BF126" s="51">
        <f t="shared" si="28"/>
        <v>2012.4555634337382</v>
      </c>
      <c r="BG126" s="51">
        <f t="shared" si="28"/>
        <v>2057.4309046419621</v>
      </c>
      <c r="BH126" s="51">
        <f t="shared" si="28"/>
        <v>2101.9112263725538</v>
      </c>
      <c r="BI126" s="51">
        <f t="shared" si="28"/>
        <v>2143.9249195332491</v>
      </c>
      <c r="BJ126" s="51"/>
      <c r="BK126" s="51"/>
      <c r="BL126" s="51"/>
      <c r="BM126" s="51"/>
      <c r="BN126" s="51"/>
      <c r="BO126" s="51"/>
      <c r="BP126" s="51"/>
      <c r="BQ126" s="51"/>
      <c r="BR126" s="51"/>
      <c r="BS126" s="51"/>
      <c r="BT126" s="51"/>
      <c r="BU126" s="51"/>
      <c r="BV126" s="51"/>
      <c r="BW126" s="51"/>
      <c r="BX126" s="51"/>
      <c r="BY126" s="51"/>
      <c r="BZ126" s="51"/>
      <c r="CA126" s="51"/>
      <c r="CB126" s="51"/>
      <c r="CC126" s="51"/>
      <c r="CD126" s="51"/>
      <c r="CE126" s="51"/>
      <c r="CF126" s="51"/>
      <c r="CG126" s="51"/>
      <c r="CH126" s="51"/>
      <c r="CI126" s="51"/>
      <c r="CJ126" s="51"/>
      <c r="CK126" s="51"/>
      <c r="CL126" s="51"/>
      <c r="CM126" s="51"/>
      <c r="CN126" s="51"/>
      <c r="CO126" s="51"/>
      <c r="CP126" s="51"/>
      <c r="CQ126" s="51"/>
      <c r="CR126" s="51"/>
      <c r="CS126" s="51"/>
      <c r="CT126" s="51"/>
      <c r="CU126" s="51"/>
      <c r="CV126" s="51"/>
      <c r="CW126" s="51"/>
      <c r="CX126" s="51"/>
      <c r="CY126" s="51"/>
      <c r="CZ126" s="51"/>
      <c r="DA126" s="51"/>
      <c r="DB126" s="51"/>
      <c r="DC126" s="51"/>
      <c r="DD126" s="51"/>
      <c r="DE126" s="51"/>
      <c r="DF126" s="51"/>
      <c r="DG126" s="51"/>
      <c r="DH126" s="51"/>
      <c r="DI126" s="51"/>
      <c r="DJ126" s="51"/>
      <c r="DK126" s="51"/>
      <c r="DL126" s="51"/>
      <c r="DM126" s="51"/>
      <c r="DN126" s="51"/>
      <c r="DO126" s="51"/>
      <c r="DP126" s="51"/>
      <c r="DQ126" s="51"/>
      <c r="DR126" s="51"/>
      <c r="DS126" s="51"/>
      <c r="DT126" s="51"/>
    </row>
    <row r="127" spans="1:124" x14ac:dyDescent="0.35">
      <c r="A127" s="15" t="s">
        <v>65</v>
      </c>
      <c r="B127" s="3">
        <f t="shared" ref="B127:BI127" si="29">(B124/B53)*1000</f>
        <v>6.8716094136808445</v>
      </c>
      <c r="C127" s="3">
        <f t="shared" si="29"/>
        <v>7.750566111316731</v>
      </c>
      <c r="D127" s="3">
        <f t="shared" si="29"/>
        <v>8.7228364278691117</v>
      </c>
      <c r="E127" s="3">
        <f t="shared" si="29"/>
        <v>9.7799489389289782</v>
      </c>
      <c r="F127" s="3">
        <f t="shared" si="29"/>
        <v>10.920001835696381</v>
      </c>
      <c r="G127" s="3">
        <f t="shared" si="29"/>
        <v>12.14030446249161</v>
      </c>
      <c r="H127" s="3">
        <f t="shared" si="29"/>
        <v>13.436779297559912</v>
      </c>
      <c r="I127" s="3">
        <f t="shared" si="29"/>
        <v>14.803455976866971</v>
      </c>
      <c r="J127" s="3">
        <f t="shared" si="29"/>
        <v>16.231800731597172</v>
      </c>
      <c r="K127" s="3">
        <f t="shared" si="29"/>
        <v>17.709840669258391</v>
      </c>
      <c r="L127" s="3">
        <f t="shared" si="29"/>
        <v>19.352197529240346</v>
      </c>
      <c r="M127" s="3">
        <f t="shared" si="29"/>
        <v>21.17461305065801</v>
      </c>
      <c r="N127" s="3">
        <f t="shared" si="29"/>
        <v>23.12041729295029</v>
      </c>
      <c r="O127" s="3">
        <f t="shared" si="29"/>
        <v>25.18796130244791</v>
      </c>
      <c r="P127" s="3">
        <f t="shared" si="29"/>
        <v>27.3759410290921</v>
      </c>
      <c r="Q127" s="3">
        <f t="shared" si="29"/>
        <v>29.683301504414889</v>
      </c>
      <c r="R127" s="3">
        <f t="shared" si="29"/>
        <v>32.109261971451964</v>
      </c>
      <c r="S127" s="3">
        <f t="shared" si="29"/>
        <v>34.653541932609428</v>
      </c>
      <c r="T127" s="3">
        <f t="shared" si="29"/>
        <v>37.31692558542899</v>
      </c>
      <c r="U127" s="3">
        <f t="shared" si="29"/>
        <v>40.102310892322912</v>
      </c>
      <c r="V127" s="3">
        <f t="shared" si="29"/>
        <v>43.05620702070668</v>
      </c>
      <c r="W127" s="3">
        <f t="shared" si="29"/>
        <v>46.067817839161243</v>
      </c>
      <c r="X127" s="3">
        <f t="shared" si="29"/>
        <v>49.148807644060959</v>
      </c>
      <c r="Y127" s="3">
        <f t="shared" si="29"/>
        <v>52.306986204713112</v>
      </c>
      <c r="Z127" s="3">
        <f t="shared" si="29"/>
        <v>55.597335607266359</v>
      </c>
      <c r="AA127" s="3">
        <f t="shared" si="29"/>
        <v>58.985791860152879</v>
      </c>
      <c r="AB127" s="3">
        <f t="shared" si="29"/>
        <v>62.465651635900194</v>
      </c>
      <c r="AC127" s="3">
        <f t="shared" si="29"/>
        <v>66.028683267280542</v>
      </c>
      <c r="AD127" s="3">
        <f t="shared" si="29"/>
        <v>69.997360874980046</v>
      </c>
      <c r="AE127" s="3">
        <f t="shared" si="29"/>
        <v>73.662733787071531</v>
      </c>
      <c r="AF127" s="3">
        <f t="shared" si="29"/>
        <v>77.425645073443533</v>
      </c>
      <c r="AG127" s="3">
        <f t="shared" si="29"/>
        <v>81.275830398367674</v>
      </c>
      <c r="AH127" s="3">
        <f t="shared" si="29"/>
        <v>85.204463811012118</v>
      </c>
      <c r="AI127" s="3">
        <f t="shared" si="29"/>
        <v>89.203774726122376</v>
      </c>
      <c r="AJ127" s="3">
        <f t="shared" si="29"/>
        <v>93.266768367654919</v>
      </c>
      <c r="AK127" s="3">
        <f t="shared" si="29"/>
        <v>97.387023714961572</v>
      </c>
      <c r="AL127" s="3">
        <f t="shared" si="29"/>
        <v>101.55854895637337</v>
      </c>
      <c r="AM127" s="3">
        <f t="shared" si="29"/>
        <v>105.77567929655908</v>
      </c>
      <c r="AN127" s="3">
        <f t="shared" si="29"/>
        <v>110.03300575500181</v>
      </c>
      <c r="AO127" s="3">
        <f t="shared" si="29"/>
        <v>114.32532649719383</v>
      </c>
      <c r="AP127" s="3">
        <f t="shared" si="29"/>
        <v>118.64761443447287</v>
      </c>
      <c r="AQ127" s="3">
        <f t="shared" si="29"/>
        <v>122.99499647143962</v>
      </c>
      <c r="AR127" s="3">
        <f t="shared" si="29"/>
        <v>127.3627410027636</v>
      </c>
      <c r="AS127" s="3">
        <f t="shared" si="29"/>
        <v>131.74625116768698</v>
      </c>
      <c r="AT127" s="3">
        <f t="shared" si="29"/>
        <v>136.14106204070004</v>
      </c>
      <c r="AU127" s="3">
        <f t="shared" si="29"/>
        <v>140.54284043140814</v>
      </c>
      <c r="AV127" s="3">
        <f t="shared" si="29"/>
        <v>144.9473863310975</v>
      </c>
      <c r="AW127" s="3">
        <f t="shared" si="29"/>
        <v>149.35063531193109</v>
      </c>
      <c r="AX127" s="3">
        <f t="shared" si="29"/>
        <v>153.74866138225369</v>
      </c>
      <c r="AY127" s="3">
        <f t="shared" si="29"/>
        <v>158.13767994681211</v>
      </c>
      <c r="AZ127" s="3">
        <f t="shared" si="29"/>
        <v>162.51405062753986</v>
      </c>
      <c r="BA127" s="3">
        <f t="shared" si="29"/>
        <v>166.87427977905833</v>
      </c>
      <c r="BB127" s="3">
        <f t="shared" si="29"/>
        <v>171.21502259064945</v>
      </c>
      <c r="BC127" s="3">
        <f t="shared" si="29"/>
        <v>175.53308470865022</v>
      </c>
      <c r="BD127" s="3">
        <f t="shared" si="29"/>
        <v>179.82542334403564</v>
      </c>
      <c r="BE127" s="3">
        <f t="shared" si="29"/>
        <v>184.08914785234649</v>
      </c>
      <c r="BF127" s="3">
        <f t="shared" si="29"/>
        <v>188.32151978928439</v>
      </c>
      <c r="BG127" s="3">
        <f t="shared" si="29"/>
        <v>192.62359566086721</v>
      </c>
      <c r="BH127" s="3">
        <f t="shared" si="29"/>
        <v>196.8477980852179</v>
      </c>
      <c r="BI127" s="3">
        <f t="shared" si="29"/>
        <v>200.8662775607234</v>
      </c>
    </row>
    <row r="128" spans="1:124" ht="21" customHeight="1" x14ac:dyDescent="0.35">
      <c r="A128" s="15" t="s">
        <v>230</v>
      </c>
      <c r="B128" s="3">
        <f>((B127)^(1-$B$19)-1)/(1-$B$19)-1</f>
        <v>0.28872898386597634</v>
      </c>
      <c r="C128" s="3">
        <f t="shared" ref="C128:BI128" si="30">((C127)^(1-$B$19)-1)/(1-$B$19)-1</f>
        <v>0.33794702266514087</v>
      </c>
      <c r="D128" s="3">
        <f t="shared" si="30"/>
        <v>0.38374453828241739</v>
      </c>
      <c r="E128" s="3">
        <f t="shared" si="30"/>
        <v>0.42581347401423941</v>
      </c>
      <c r="F128" s="3">
        <f t="shared" si="30"/>
        <v>0.46436522266238112</v>
      </c>
      <c r="G128" s="3">
        <f t="shared" si="30"/>
        <v>0.49964515182319569</v>
      </c>
      <c r="H128" s="3">
        <f t="shared" si="30"/>
        <v>0.53189555014429146</v>
      </c>
      <c r="I128" s="3">
        <f t="shared" si="30"/>
        <v>0.56133997820812587</v>
      </c>
      <c r="J128" s="3">
        <f t="shared" si="30"/>
        <v>0.58817373586356902</v>
      </c>
      <c r="K128" s="3">
        <f t="shared" si="30"/>
        <v>0.61255774383916206</v>
      </c>
      <c r="L128" s="3">
        <f t="shared" si="30"/>
        <v>0.63640942257925248</v>
      </c>
      <c r="M128" s="3">
        <f t="shared" si="30"/>
        <v>0.65966005905070091</v>
      </c>
      <c r="N128" s="3">
        <f t="shared" si="30"/>
        <v>0.68148105331313658</v>
      </c>
      <c r="O128" s="3">
        <f t="shared" si="30"/>
        <v>0.70192605292769672</v>
      </c>
      <c r="P128" s="3">
        <f t="shared" si="30"/>
        <v>0.72106798028923946</v>
      </c>
      <c r="Q128" s="3">
        <f t="shared" si="30"/>
        <v>0.73898876592621754</v>
      </c>
      <c r="R128" s="3">
        <f t="shared" si="30"/>
        <v>0.75577357201524986</v>
      </c>
      <c r="S128" s="3">
        <f t="shared" si="30"/>
        <v>0.77150821776716949</v>
      </c>
      <c r="T128" s="3">
        <f t="shared" si="30"/>
        <v>0.78627907940992348</v>
      </c>
      <c r="U128" s="3">
        <f t="shared" si="30"/>
        <v>0.80017479571916938</v>
      </c>
      <c r="V128" s="3">
        <f t="shared" si="30"/>
        <v>0.81345939870681727</v>
      </c>
      <c r="W128" s="3">
        <f t="shared" si="30"/>
        <v>0.825708202173145</v>
      </c>
      <c r="X128" s="3">
        <f t="shared" si="30"/>
        <v>0.83709284939670714</v>
      </c>
      <c r="Y128" s="3">
        <f t="shared" si="30"/>
        <v>0.84773619136326728</v>
      </c>
      <c r="Z128" s="3">
        <f t="shared" si="30"/>
        <v>0.85787690213508871</v>
      </c>
      <c r="AA128" s="3">
        <f t="shared" si="30"/>
        <v>0.86744874067710898</v>
      </c>
      <c r="AB128" s="3">
        <f t="shared" si="30"/>
        <v>0.87648279152598585</v>
      </c>
      <c r="AC128" s="3">
        <f t="shared" si="30"/>
        <v>0.88500651173761158</v>
      </c>
      <c r="AD128" s="3">
        <f t="shared" si="30"/>
        <v>0.89374842086691508</v>
      </c>
      <c r="AE128" s="3">
        <f t="shared" si="30"/>
        <v>0.90120675244008619</v>
      </c>
      <c r="AF128" s="3">
        <f t="shared" si="30"/>
        <v>0.90832367070574094</v>
      </c>
      <c r="AG128" s="3">
        <f t="shared" si="30"/>
        <v>0.91510452038317736</v>
      </c>
      <c r="AH128" s="3">
        <f t="shared" si="30"/>
        <v>0.92155960769394629</v>
      </c>
      <c r="AI128" s="3">
        <f t="shared" si="30"/>
        <v>0.92770205953292839</v>
      </c>
      <c r="AJ128" s="3">
        <f t="shared" si="30"/>
        <v>0.93354642877935046</v>
      </c>
      <c r="AK128" s="3">
        <f t="shared" si="30"/>
        <v>0.93910779951791423</v>
      </c>
      <c r="AL128" s="3">
        <f t="shared" si="30"/>
        <v>0.94440122426379225</v>
      </c>
      <c r="AM128" s="3">
        <f t="shared" si="30"/>
        <v>0.94944138006797973</v>
      </c>
      <c r="AN128" s="3">
        <f t="shared" si="30"/>
        <v>0.95424236788467276</v>
      </c>
      <c r="AO128" s="3">
        <f t="shared" si="30"/>
        <v>0.9588176049228383</v>
      </c>
      <c r="AP128" s="3">
        <f t="shared" si="30"/>
        <v>0.96317977668615296</v>
      </c>
      <c r="AQ128" s="3">
        <f t="shared" si="30"/>
        <v>0.96734082672868293</v>
      </c>
      <c r="AR128" s="3">
        <f t="shared" si="30"/>
        <v>0.97131196968003253</v>
      </c>
      <c r="AS128" s="3">
        <f t="shared" si="30"/>
        <v>0.9751037180862252</v>
      </c>
      <c r="AT128" s="3">
        <f t="shared" si="30"/>
        <v>0.97872591691939803</v>
      </c>
      <c r="AU128" s="3">
        <f t="shared" si="30"/>
        <v>0.98218778179657251</v>
      </c>
      <c r="AV128" s="3">
        <f t="shared" si="30"/>
        <v>0.98549793839183986</v>
      </c>
      <c r="AW128" s="3">
        <f t="shared" si="30"/>
        <v>0.98866446147735454</v>
      </c>
      <c r="AX128" s="3">
        <f t="shared" si="30"/>
        <v>0.99169491265251519</v>
      </c>
      <c r="AY128" s="3">
        <f t="shared" si="30"/>
        <v>0.99459637622776498</v>
      </c>
      <c r="AZ128" s="3">
        <f t="shared" si="30"/>
        <v>0.99737549299273276</v>
      </c>
      <c r="BA128" s="3">
        <f t="shared" si="30"/>
        <v>1.0000384917665261</v>
      </c>
      <c r="BB128" s="3">
        <f t="shared" si="30"/>
        <v>1.0025912187332158</v>
      </c>
      <c r="BC128" s="3">
        <f t="shared" si="30"/>
        <v>1.0050391646293786</v>
      </c>
      <c r="BD128" s="3">
        <f t="shared" si="30"/>
        <v>1.0073874898873187</v>
      </c>
      <c r="BE128" s="3">
        <f t="shared" si="30"/>
        <v>1.0096410478567228</v>
      </c>
      <c r="BF128" s="3">
        <f t="shared" si="30"/>
        <v>1.0118044062353975</v>
      </c>
      <c r="BG128" s="3">
        <f t="shared" si="30"/>
        <v>1.013932319206023</v>
      </c>
      <c r="BH128" s="3">
        <f t="shared" si="30"/>
        <v>1.0159557059323303</v>
      </c>
      <c r="BI128" s="3">
        <f t="shared" si="30"/>
        <v>1.0178229608265177</v>
      </c>
    </row>
    <row r="129" spans="1:124" ht="21" customHeight="1" x14ac:dyDescent="0.35">
      <c r="A129" s="15" t="s">
        <v>231</v>
      </c>
      <c r="B129" s="51">
        <f t="shared" ref="B129:BI129" si="31">B$18*B$53*B128</f>
        <v>1974.3287916755462</v>
      </c>
      <c r="C129" s="51">
        <f t="shared" si="31"/>
        <v>2272.467309954794</v>
      </c>
      <c r="D129" s="51">
        <f t="shared" si="31"/>
        <v>2517.9213365598107</v>
      </c>
      <c r="E129" s="51">
        <f t="shared" si="31"/>
        <v>2708.0356938087889</v>
      </c>
      <c r="F129" s="51">
        <f t="shared" si="31"/>
        <v>2845.8104371621416</v>
      </c>
      <c r="G129" s="51">
        <f t="shared" si="31"/>
        <v>2935.857245135895</v>
      </c>
      <c r="H129" s="51">
        <f t="shared" si="31"/>
        <v>2983.5686725850737</v>
      </c>
      <c r="I129" s="51">
        <f t="shared" si="31"/>
        <v>2994.5790967136945</v>
      </c>
      <c r="J129" s="51">
        <f t="shared" si="31"/>
        <v>2974.3998517293944</v>
      </c>
      <c r="K129" s="51">
        <f t="shared" si="31"/>
        <v>2928.1876690013878</v>
      </c>
      <c r="L129" s="51">
        <f t="shared" si="31"/>
        <v>2868.7038630643665</v>
      </c>
      <c r="M129" s="51">
        <f t="shared" si="31"/>
        <v>2798.0039686630666</v>
      </c>
      <c r="N129" s="51">
        <f t="shared" si="31"/>
        <v>2714.9773455453101</v>
      </c>
      <c r="O129" s="51">
        <f t="shared" si="31"/>
        <v>2622.407779403813</v>
      </c>
      <c r="P129" s="51">
        <f t="shared" si="31"/>
        <v>2522.8194547645853</v>
      </c>
      <c r="Q129" s="51">
        <f t="shared" si="31"/>
        <v>2418.4305619209285</v>
      </c>
      <c r="R129" s="51">
        <f t="shared" si="31"/>
        <v>2311.145773779479</v>
      </c>
      <c r="S129" s="51">
        <f t="shared" si="31"/>
        <v>2202.5716804823883</v>
      </c>
      <c r="T129" s="51">
        <f t="shared" si="31"/>
        <v>2094.0449012439258</v>
      </c>
      <c r="U129" s="51">
        <f t="shared" si="31"/>
        <v>1986.6655451458287</v>
      </c>
      <c r="V129" s="51">
        <f t="shared" si="31"/>
        <v>1881.7249051031731</v>
      </c>
      <c r="W129" s="51">
        <f t="shared" si="31"/>
        <v>1778.732351276062</v>
      </c>
      <c r="X129" s="51">
        <f t="shared" si="31"/>
        <v>1678.5485871991079</v>
      </c>
      <c r="Y129" s="51">
        <f t="shared" si="31"/>
        <v>1581.7397453119586</v>
      </c>
      <c r="Z129" s="51">
        <f t="shared" si="31"/>
        <v>1488.9251233287468</v>
      </c>
      <c r="AA129" s="51">
        <f t="shared" si="31"/>
        <v>1400.0506036933366</v>
      </c>
      <c r="AB129" s="51">
        <f t="shared" si="31"/>
        <v>1315.1949471969906</v>
      </c>
      <c r="AC129" s="51">
        <f t="shared" si="31"/>
        <v>1234.380280154076</v>
      </c>
      <c r="AD129" s="51">
        <f t="shared" si="31"/>
        <v>1158.4965865830884</v>
      </c>
      <c r="AE129" s="51">
        <f t="shared" si="31"/>
        <v>1085.4570921146203</v>
      </c>
      <c r="AF129" s="51">
        <f t="shared" si="31"/>
        <v>1016.4325670497409</v>
      </c>
      <c r="AG129" s="51">
        <f t="shared" si="31"/>
        <v>951.27757742011704</v>
      </c>
      <c r="AH129" s="51">
        <f t="shared" si="31"/>
        <v>889.84504390513519</v>
      </c>
      <c r="AI129" s="51">
        <f t="shared" si="31"/>
        <v>831.98518703298998</v>
      </c>
      <c r="AJ129" s="51">
        <f t="shared" si="31"/>
        <v>777.54580900239341</v>
      </c>
      <c r="AK129" s="51">
        <f t="shared" si="31"/>
        <v>726.37322415026722</v>
      </c>
      <c r="AL129" s="51">
        <f t="shared" si="31"/>
        <v>678.31343618796404</v>
      </c>
      <c r="AM129" s="51">
        <f t="shared" si="31"/>
        <v>633.21333757815262</v>
      </c>
      <c r="AN129" s="51">
        <f t="shared" si="31"/>
        <v>590.92181380075056</v>
      </c>
      <c r="AO129" s="51">
        <f t="shared" si="31"/>
        <v>551.2906987765532</v>
      </c>
      <c r="AP129" s="51">
        <f t="shared" si="31"/>
        <v>514.17556418222523</v>
      </c>
      <c r="AQ129" s="51">
        <f t="shared" si="31"/>
        <v>479.43634542047653</v>
      </c>
      <c r="AR129" s="51">
        <f t="shared" si="31"/>
        <v>446.93781721885438</v>
      </c>
      <c r="AS129" s="51">
        <f t="shared" si="31"/>
        <v>416.54993629156513</v>
      </c>
      <c r="AT129" s="51">
        <f t="shared" si="31"/>
        <v>388.14806969149771</v>
      </c>
      <c r="AU129" s="51">
        <f t="shared" si="31"/>
        <v>361.61312689806397</v>
      </c>
      <c r="AV129" s="51">
        <f t="shared" si="31"/>
        <v>336.83161221761799</v>
      </c>
      <c r="AW129" s="51">
        <f t="shared" si="31"/>
        <v>313.69561223345033</v>
      </c>
      <c r="AX129" s="51">
        <f t="shared" si="31"/>
        <v>292.1027311234173</v>
      </c>
      <c r="AY129" s="51">
        <f t="shared" si="31"/>
        <v>271.95598482207811</v>
      </c>
      <c r="AZ129" s="51">
        <f t="shared" si="31"/>
        <v>253.1636633179007</v>
      </c>
      <c r="BA129" s="51">
        <f t="shared" si="31"/>
        <v>235.63916887545588</v>
      </c>
      <c r="BB129" s="51">
        <f t="shared" si="31"/>
        <v>219.3008366623319</v>
      </c>
      <c r="BC129" s="51">
        <f t="shared" si="31"/>
        <v>204.07174313163455</v>
      </c>
      <c r="BD129" s="51">
        <f t="shared" si="31"/>
        <v>189.87950654758185</v>
      </c>
      <c r="BE129" s="51">
        <f t="shared" si="31"/>
        <v>176.65608322547018</v>
      </c>
      <c r="BF129" s="51">
        <f t="shared" si="31"/>
        <v>164.33756236960517</v>
      </c>
      <c r="BG129" s="51">
        <f t="shared" si="31"/>
        <v>152.87156856860787</v>
      </c>
      <c r="BH129" s="51">
        <f t="shared" si="31"/>
        <v>142.18997422291844</v>
      </c>
      <c r="BI129" s="51">
        <f t="shared" si="31"/>
        <v>132.23365325300969</v>
      </c>
      <c r="BJ129" s="51"/>
      <c r="BK129" s="51"/>
      <c r="BL129" s="51"/>
      <c r="BM129" s="51"/>
      <c r="BN129" s="51"/>
      <c r="BO129" s="51"/>
      <c r="BP129" s="51"/>
      <c r="BQ129" s="51"/>
      <c r="BR129" s="51"/>
      <c r="BS129" s="51"/>
      <c r="BT129" s="51"/>
      <c r="BU129" s="51"/>
      <c r="BV129" s="51"/>
      <c r="BW129" s="51"/>
      <c r="BX129" s="51"/>
      <c r="BY129" s="51"/>
      <c r="BZ129" s="51"/>
      <c r="CA129" s="51"/>
      <c r="CB129" s="51"/>
      <c r="CC129" s="51"/>
      <c r="CD129" s="51"/>
      <c r="CE129" s="51"/>
      <c r="CF129" s="51"/>
      <c r="CG129" s="51"/>
      <c r="CH129" s="51"/>
      <c r="CI129" s="51"/>
      <c r="CJ129" s="51"/>
      <c r="CK129" s="51"/>
      <c r="CL129" s="51"/>
      <c r="CM129" s="51"/>
      <c r="CN129" s="51"/>
      <c r="CO129" s="51"/>
      <c r="CP129" s="51"/>
      <c r="CQ129" s="51"/>
      <c r="CR129" s="51"/>
      <c r="CS129" s="51"/>
      <c r="CT129" s="51"/>
      <c r="CU129" s="51"/>
      <c r="CV129" s="51"/>
      <c r="CW129" s="51"/>
      <c r="CX129" s="51"/>
      <c r="CY129" s="51"/>
      <c r="CZ129" s="51"/>
      <c r="DA129" s="51"/>
      <c r="DB129" s="51"/>
      <c r="DC129" s="51"/>
      <c r="DD129" s="51"/>
      <c r="DE129" s="51"/>
      <c r="DF129" s="51"/>
      <c r="DG129" s="51"/>
      <c r="DH129" s="51"/>
      <c r="DI129" s="51"/>
      <c r="DJ129" s="51"/>
      <c r="DK129" s="51"/>
      <c r="DL129" s="51"/>
      <c r="DM129" s="51"/>
      <c r="DN129" s="51"/>
      <c r="DO129" s="51"/>
      <c r="DP129" s="51"/>
      <c r="DQ129" s="51"/>
      <c r="DR129" s="51"/>
      <c r="DS129" s="51"/>
      <c r="DT129" s="51"/>
    </row>
    <row r="130" spans="1:124" x14ac:dyDescent="0.35">
      <c r="A130" s="87" t="s">
        <v>232</v>
      </c>
      <c r="B130" s="17">
        <f>SUM(B129:DQ129)*5*B49+B50</f>
        <v>2703.4255116039594</v>
      </c>
      <c r="C130" s="16">
        <f>+Base!B129</f>
        <v>2694.6370357384585</v>
      </c>
      <c r="D130" s="16">
        <f>+B130-C130</f>
        <v>8.7884758655009136</v>
      </c>
      <c r="U130" s="3">
        <f>+D130</f>
        <v>8.7884758655009136</v>
      </c>
    </row>
    <row r="131" spans="1:124" ht="23" thickBot="1" x14ac:dyDescent="0.4">
      <c r="A131" s="88" t="s">
        <v>27</v>
      </c>
      <c r="C131" s="72"/>
      <c r="D131" s="72"/>
    </row>
    <row r="132" spans="1:124" s="22" customFormat="1" ht="21.65" customHeight="1" thickTop="1" x14ac:dyDescent="0.35">
      <c r="A132" s="152" t="s">
        <v>90</v>
      </c>
      <c r="B132" s="148">
        <v>0.25915722926884516</v>
      </c>
      <c r="C132" s="148">
        <v>0.25628692740179371</v>
      </c>
      <c r="D132" s="148">
        <v>0.25388365311512079</v>
      </c>
      <c r="E132" s="148">
        <v>0.25178324027516802</v>
      </c>
      <c r="F132" s="148">
        <v>0.24997853912763843</v>
      </c>
      <c r="G132" s="148">
        <v>0.24845099061148773</v>
      </c>
      <c r="H132" s="148">
        <v>0.24717866465390301</v>
      </c>
      <c r="I132" s="148">
        <v>0.24613732761811108</v>
      </c>
      <c r="J132" s="148">
        <v>0.24530471653501307</v>
      </c>
      <c r="K132" s="148">
        <v>0.24465953500787058</v>
      </c>
      <c r="L132" s="148">
        <v>0.24419690842268152</v>
      </c>
      <c r="M132" s="148">
        <v>0.24388303059495661</v>
      </c>
      <c r="N132" s="148">
        <v>0.24370759280928958</v>
      </c>
      <c r="O132" s="148">
        <v>0.24365449747865378</v>
      </c>
      <c r="P132" s="148">
        <v>0.24370676711536723</v>
      </c>
      <c r="Q132" s="148">
        <v>0.24384423750229905</v>
      </c>
      <c r="R132" s="148">
        <v>0.24403966022442425</v>
      </c>
      <c r="S132" s="148">
        <v>0.24425134962140127</v>
      </c>
      <c r="T132" s="148">
        <v>0.24440964943600424</v>
      </c>
      <c r="U132" s="148">
        <v>0.24442386677449801</v>
      </c>
      <c r="V132" s="148">
        <v>0.24410307726934125</v>
      </c>
      <c r="W132" s="148">
        <v>0.24393468755612094</v>
      </c>
      <c r="X132" s="148">
        <v>0.24414578179185453</v>
      </c>
      <c r="Y132" s="148">
        <v>0.244348923527897</v>
      </c>
      <c r="Z132" s="148">
        <v>0.24456276545471231</v>
      </c>
      <c r="AA132" s="148">
        <v>0.24481040973074567</v>
      </c>
      <c r="AB132" s="148">
        <v>0.24512497538259276</v>
      </c>
      <c r="AC132" s="148">
        <v>0.24556220435356924</v>
      </c>
      <c r="AD132" s="148">
        <v>0.24260751523153834</v>
      </c>
      <c r="AE132" s="148">
        <f>+AD132</f>
        <v>0.24260751523153834</v>
      </c>
      <c r="AF132" s="148">
        <f t="shared" ref="AF132:BI132" si="32">+AE132</f>
        <v>0.24260751523153834</v>
      </c>
      <c r="AG132" s="148">
        <f t="shared" si="32"/>
        <v>0.24260751523153834</v>
      </c>
      <c r="AH132" s="148">
        <f t="shared" si="32"/>
        <v>0.24260751523153834</v>
      </c>
      <c r="AI132" s="148">
        <f t="shared" si="32"/>
        <v>0.24260751523153834</v>
      </c>
      <c r="AJ132" s="148">
        <f t="shared" si="32"/>
        <v>0.24260751523153834</v>
      </c>
      <c r="AK132" s="148">
        <f t="shared" si="32"/>
        <v>0.24260751523153834</v>
      </c>
      <c r="AL132" s="148">
        <f t="shared" si="32"/>
        <v>0.24260751523153834</v>
      </c>
      <c r="AM132" s="148">
        <f t="shared" si="32"/>
        <v>0.24260751523153834</v>
      </c>
      <c r="AN132" s="148">
        <f t="shared" si="32"/>
        <v>0.24260751523153834</v>
      </c>
      <c r="AO132" s="148">
        <f t="shared" si="32"/>
        <v>0.24260751523153834</v>
      </c>
      <c r="AP132" s="148">
        <f t="shared" si="32"/>
        <v>0.24260751523153834</v>
      </c>
      <c r="AQ132" s="148">
        <f t="shared" si="32"/>
        <v>0.24260751523153834</v>
      </c>
      <c r="AR132" s="148">
        <f t="shared" si="32"/>
        <v>0.24260751523153834</v>
      </c>
      <c r="AS132" s="148">
        <f t="shared" si="32"/>
        <v>0.24260751523153834</v>
      </c>
      <c r="AT132" s="148">
        <f t="shared" si="32"/>
        <v>0.24260751523153834</v>
      </c>
      <c r="AU132" s="148">
        <f t="shared" si="32"/>
        <v>0.24260751523153834</v>
      </c>
      <c r="AV132" s="148">
        <f t="shared" si="32"/>
        <v>0.24260751523153834</v>
      </c>
      <c r="AW132" s="148">
        <f t="shared" si="32"/>
        <v>0.24260751523153834</v>
      </c>
      <c r="AX132" s="148">
        <f t="shared" si="32"/>
        <v>0.24260751523153834</v>
      </c>
      <c r="AY132" s="148">
        <f t="shared" si="32"/>
        <v>0.24260751523153834</v>
      </c>
      <c r="AZ132" s="148">
        <f t="shared" si="32"/>
        <v>0.24260751523153834</v>
      </c>
      <c r="BA132" s="148">
        <f t="shared" si="32"/>
        <v>0.24260751523153834</v>
      </c>
      <c r="BB132" s="148">
        <f t="shared" si="32"/>
        <v>0.24260751523153834</v>
      </c>
      <c r="BC132" s="148">
        <f t="shared" si="32"/>
        <v>0.24260751523153834</v>
      </c>
      <c r="BD132" s="148">
        <f t="shared" si="32"/>
        <v>0.24260751523153834</v>
      </c>
      <c r="BE132" s="148">
        <f t="shared" si="32"/>
        <v>0.24260751523153834</v>
      </c>
      <c r="BF132" s="148">
        <f t="shared" si="32"/>
        <v>0.24260751523153834</v>
      </c>
      <c r="BG132" s="148">
        <f t="shared" si="32"/>
        <v>0.24260751523153834</v>
      </c>
      <c r="BH132" s="148">
        <f t="shared" si="32"/>
        <v>0.24260751523153834</v>
      </c>
      <c r="BI132" s="148">
        <f t="shared" si="32"/>
        <v>0.24260751523153834</v>
      </c>
      <c r="BJ132" s="21"/>
      <c r="BK132" s="21"/>
      <c r="BL132" s="21"/>
      <c r="BM132" s="21"/>
      <c r="BN132" s="21"/>
      <c r="BO132" s="21"/>
      <c r="BP132" s="21"/>
      <c r="BQ132" s="21"/>
      <c r="BR132" s="21"/>
      <c r="BS132" s="21"/>
      <c r="BT132" s="21"/>
      <c r="BU132" s="21"/>
      <c r="BV132" s="21"/>
      <c r="BW132" s="21"/>
      <c r="BX132" s="21"/>
      <c r="BY132" s="21"/>
      <c r="BZ132" s="21"/>
      <c r="CA132" s="21"/>
      <c r="CB132" s="21"/>
      <c r="CC132" s="21"/>
      <c r="CD132" s="21"/>
      <c r="CE132" s="21"/>
      <c r="CF132" s="21"/>
      <c r="CG132" s="21"/>
      <c r="CH132" s="21"/>
      <c r="CI132" s="21"/>
      <c r="CJ132" s="21"/>
      <c r="CK132" s="21"/>
      <c r="CL132" s="21"/>
      <c r="CM132" s="21"/>
      <c r="CN132" s="21"/>
      <c r="CO132" s="21"/>
      <c r="CP132" s="21"/>
      <c r="CQ132" s="21"/>
      <c r="CR132" s="21"/>
      <c r="CS132" s="21"/>
      <c r="CT132" s="21"/>
      <c r="CU132" s="21"/>
      <c r="CV132" s="21"/>
      <c r="CW132" s="21"/>
      <c r="CX132" s="21"/>
      <c r="CY132" s="21"/>
      <c r="CZ132" s="21"/>
      <c r="DA132" s="21"/>
      <c r="DB132" s="21"/>
      <c r="DC132" s="21"/>
      <c r="DD132" s="21"/>
      <c r="DE132" s="21"/>
      <c r="DF132" s="21"/>
      <c r="DG132" s="21"/>
      <c r="DH132" s="21"/>
      <c r="DI132" s="21"/>
      <c r="DJ132" s="21"/>
      <c r="DK132" s="21"/>
      <c r="DL132" s="21"/>
      <c r="DM132" s="21"/>
      <c r="DN132" s="21"/>
      <c r="DO132" s="21"/>
      <c r="DP132" s="21"/>
      <c r="DQ132" s="21"/>
      <c r="DR132" s="21"/>
      <c r="DS132" s="21"/>
      <c r="DT132" s="21"/>
    </row>
    <row r="133" spans="1:124" s="22" customFormat="1" ht="18" customHeight="1" x14ac:dyDescent="0.35">
      <c r="A133" s="20" t="s">
        <v>301</v>
      </c>
      <c r="B133" s="21">
        <v>1</v>
      </c>
      <c r="C133" s="148">
        <v>45.792333156624203</v>
      </c>
      <c r="D133" s="148">
        <v>57.629173775486002</v>
      </c>
      <c r="E133" s="148">
        <v>72.233898530186707</v>
      </c>
      <c r="F133" s="148">
        <v>90.125296343019002</v>
      </c>
      <c r="G133" s="148">
        <v>111.893228521198</v>
      </c>
      <c r="H133" s="148">
        <v>138.194115172566</v>
      </c>
      <c r="I133" s="148">
        <v>169.74923047958299</v>
      </c>
      <c r="J133" s="148">
        <v>207.36365564134499</v>
      </c>
      <c r="K133" s="148">
        <v>252.01302880410799</v>
      </c>
      <c r="L133" s="148">
        <v>267.057389574615</v>
      </c>
      <c r="M133" s="148">
        <v>260.38095483524899</v>
      </c>
      <c r="N133" s="148">
        <v>253.87143096436799</v>
      </c>
      <c r="O133" s="148">
        <v>247.52464519025901</v>
      </c>
      <c r="P133" s="148">
        <v>241.33652906050199</v>
      </c>
      <c r="Q133" s="148">
        <v>235.30311583399001</v>
      </c>
      <c r="R133" s="148">
        <v>229.42053793814</v>
      </c>
      <c r="S133" s="148">
        <v>223.68502448968599</v>
      </c>
      <c r="T133" s="148">
        <v>218.09289887744399</v>
      </c>
      <c r="U133" s="148">
        <v>212.640576405508</v>
      </c>
      <c r="V133" s="148">
        <v>198.59291154677101</v>
      </c>
      <c r="W133" s="148">
        <v>193.45836377860701</v>
      </c>
      <c r="X133" s="148">
        <v>189.81195127797201</v>
      </c>
      <c r="Y133" s="148">
        <v>192.160713953178</v>
      </c>
      <c r="Z133" s="148">
        <v>187.356696104348</v>
      </c>
      <c r="AA133" s="148">
        <v>182.67277870173999</v>
      </c>
      <c r="AB133" s="148">
        <v>178.10595923419601</v>
      </c>
      <c r="AC133" s="148">
        <v>173.653310253341</v>
      </c>
      <c r="AD133" s="148">
        <v>169.311977497008</v>
      </c>
      <c r="AE133" s="148">
        <v>165.07917805958201</v>
      </c>
      <c r="AF133" s="148">
        <v>160.952198608093</v>
      </c>
      <c r="AG133" s="148">
        <v>156.928393642891</v>
      </c>
      <c r="AH133" s="148">
        <v>153.00518380181799</v>
      </c>
      <c r="AI133" s="148">
        <v>149.18005420677301</v>
      </c>
      <c r="AJ133" s="148">
        <v>145.45055285160399</v>
      </c>
      <c r="AK133" s="148">
        <v>141.81428903031301</v>
      </c>
      <c r="AL133" s="148">
        <v>138.26893180455599</v>
      </c>
      <c r="AM133" s="148">
        <v>134.812208509442</v>
      </c>
      <c r="AN133" s="148">
        <v>131.44190329670599</v>
      </c>
      <c r="AO133" s="148">
        <v>128.15585571428801</v>
      </c>
      <c r="AP133" s="148">
        <v>124.951959321431</v>
      </c>
      <c r="AQ133" s="148">
        <v>121.82816033839499</v>
      </c>
      <c r="AR133" s="148">
        <v>118.782456329935</v>
      </c>
      <c r="AS133" s="148">
        <v>115.812894921687</v>
      </c>
      <c r="AT133" s="148">
        <v>112.917572548645</v>
      </c>
      <c r="AU133" s="148">
        <v>110.094633234928</v>
      </c>
      <c r="AV133" s="148">
        <v>107.34226740405499</v>
      </c>
      <c r="AW133" s="148">
        <v>104.658710718954</v>
      </c>
      <c r="AX133" s="148">
        <v>102.04224295098</v>
      </c>
      <c r="AY133" s="148">
        <v>99.491186877205607</v>
      </c>
      <c r="AZ133" s="148">
        <v>97.003907205275397</v>
      </c>
      <c r="BA133" s="148">
        <v>94.578809525143498</v>
      </c>
      <c r="BB133" s="148">
        <v>92.214339287014894</v>
      </c>
      <c r="BC133" s="148">
        <v>89.908980804839501</v>
      </c>
      <c r="BD133" s="148">
        <v>87.661256284718604</v>
      </c>
      <c r="BE133" s="148">
        <v>85.469724877600598</v>
      </c>
      <c r="BF133" s="148">
        <v>83.332981755660597</v>
      </c>
      <c r="BG133" s="148">
        <v>55.253972899034899</v>
      </c>
      <c r="BH133" s="148">
        <v>20.9016595394714</v>
      </c>
      <c r="BI133" s="148">
        <v>1.9401297213399001E-2</v>
      </c>
      <c r="BJ133" s="21"/>
      <c r="BK133" s="21"/>
      <c r="BL133" s="21"/>
      <c r="BM133" s="21"/>
      <c r="BN133" s="21"/>
      <c r="BO133" s="21"/>
      <c r="BP133" s="21"/>
      <c r="BQ133" s="21"/>
      <c r="BR133" s="21"/>
      <c r="BS133" s="21"/>
      <c r="BT133" s="21"/>
      <c r="BU133" s="21"/>
      <c r="BV133" s="21"/>
      <c r="BW133" s="21"/>
      <c r="BX133" s="21"/>
      <c r="BY133" s="21"/>
      <c r="BZ133" s="21"/>
      <c r="CA133" s="21"/>
      <c r="CB133" s="21"/>
      <c r="CC133" s="21"/>
      <c r="CD133" s="21"/>
      <c r="CE133" s="21"/>
      <c r="CF133" s="21"/>
      <c r="CG133" s="21"/>
      <c r="CH133" s="21"/>
      <c r="CI133" s="21"/>
      <c r="CJ133" s="21"/>
      <c r="CK133" s="21"/>
      <c r="CL133" s="21"/>
      <c r="CM133" s="21"/>
      <c r="CN133" s="21"/>
      <c r="CO133" s="21"/>
      <c r="CP133" s="21"/>
      <c r="CQ133" s="21"/>
      <c r="CR133" s="21"/>
      <c r="CS133" s="21"/>
      <c r="CT133" s="21"/>
      <c r="CU133" s="21"/>
      <c r="CV133" s="21"/>
      <c r="CW133" s="21"/>
      <c r="CX133" s="21"/>
      <c r="CY133" s="21"/>
      <c r="CZ133" s="21"/>
      <c r="DA133" s="21"/>
      <c r="DB133" s="21"/>
      <c r="DC133" s="21"/>
      <c r="DD133" s="21"/>
      <c r="DE133" s="21"/>
      <c r="DF133" s="21"/>
      <c r="DG133" s="21"/>
      <c r="DH133" s="21"/>
      <c r="DI133" s="21"/>
      <c r="DJ133" s="21"/>
      <c r="DK133" s="21"/>
      <c r="DL133" s="21"/>
      <c r="DM133" s="21"/>
      <c r="DN133" s="21"/>
      <c r="DO133" s="21"/>
      <c r="DP133" s="21"/>
      <c r="DQ133" s="21"/>
      <c r="DR133" s="21"/>
      <c r="DS133" s="21"/>
      <c r="DT133" s="21"/>
    </row>
    <row r="134" spans="1:124" x14ac:dyDescent="0.35">
      <c r="A134" s="72" t="s">
        <v>307</v>
      </c>
      <c r="B134" s="51">
        <f>+MIN(B133,B34)</f>
        <v>1</v>
      </c>
      <c r="C134" s="51">
        <f>+MIN(C133,C34)</f>
        <v>45.792333156624203</v>
      </c>
      <c r="D134" s="51">
        <f t="shared" ref="D134:BI134" si="33">+MIN(D133,D34)</f>
        <v>57.629173775486002</v>
      </c>
      <c r="E134" s="51">
        <f t="shared" si="33"/>
        <v>72.233898530186707</v>
      </c>
      <c r="F134" s="51">
        <f t="shared" si="33"/>
        <v>90.125296343019002</v>
      </c>
      <c r="G134" s="51">
        <f t="shared" si="33"/>
        <v>111.893228521198</v>
      </c>
      <c r="H134" s="51">
        <f t="shared" si="33"/>
        <v>138.194115172566</v>
      </c>
      <c r="I134" s="51">
        <f t="shared" si="33"/>
        <v>169.74923047958299</v>
      </c>
      <c r="J134" s="51">
        <f t="shared" si="33"/>
        <v>207.36365564134499</v>
      </c>
      <c r="K134" s="51">
        <f t="shared" si="33"/>
        <v>252.01302880410799</v>
      </c>
      <c r="L134" s="51">
        <f t="shared" si="33"/>
        <v>267.05738957461449</v>
      </c>
      <c r="M134" s="51">
        <f t="shared" si="33"/>
        <v>260.38095483524899</v>
      </c>
      <c r="N134" s="51">
        <f t="shared" si="33"/>
        <v>253.87143096436787</v>
      </c>
      <c r="O134" s="51">
        <f t="shared" si="33"/>
        <v>247.52464519025867</v>
      </c>
      <c r="P134" s="51">
        <f t="shared" si="33"/>
        <v>241.33652906050199</v>
      </c>
      <c r="Q134" s="51">
        <f t="shared" si="33"/>
        <v>235.30311583398964</v>
      </c>
      <c r="R134" s="51">
        <f t="shared" si="33"/>
        <v>229.42053793813989</v>
      </c>
      <c r="S134" s="51">
        <f t="shared" si="33"/>
        <v>223.68502448968599</v>
      </c>
      <c r="T134" s="51">
        <f t="shared" si="33"/>
        <v>218.09289887744399</v>
      </c>
      <c r="U134" s="51">
        <f t="shared" si="33"/>
        <v>212.640576405508</v>
      </c>
      <c r="V134" s="51">
        <f t="shared" si="33"/>
        <v>198.59291154677101</v>
      </c>
      <c r="W134" s="51">
        <f t="shared" si="33"/>
        <v>193.45836377860701</v>
      </c>
      <c r="X134" s="51">
        <f t="shared" si="33"/>
        <v>189.81195127797201</v>
      </c>
      <c r="Y134" s="51">
        <f t="shared" si="33"/>
        <v>192.16071395317775</v>
      </c>
      <c r="Z134" s="51">
        <f t="shared" si="33"/>
        <v>187.356696104348</v>
      </c>
      <c r="AA134" s="51">
        <f t="shared" si="33"/>
        <v>182.67277870173959</v>
      </c>
      <c r="AB134" s="51">
        <f t="shared" si="33"/>
        <v>178.10595923419601</v>
      </c>
      <c r="AC134" s="51">
        <f t="shared" si="33"/>
        <v>173.653310253341</v>
      </c>
      <c r="AD134" s="51">
        <f t="shared" si="33"/>
        <v>169.31197749700763</v>
      </c>
      <c r="AE134" s="51">
        <f t="shared" si="33"/>
        <v>165.07917805958201</v>
      </c>
      <c r="AF134" s="51">
        <f t="shared" si="33"/>
        <v>160.95219860809286</v>
      </c>
      <c r="AG134" s="51">
        <f t="shared" si="33"/>
        <v>156.92839364289054</v>
      </c>
      <c r="AH134" s="51">
        <f t="shared" si="33"/>
        <v>153.00518380181799</v>
      </c>
      <c r="AI134" s="51">
        <f t="shared" si="33"/>
        <v>149.18005420677281</v>
      </c>
      <c r="AJ134" s="51">
        <f t="shared" si="33"/>
        <v>145.45055285160348</v>
      </c>
      <c r="AK134" s="51">
        <f t="shared" si="33"/>
        <v>141.81428903031301</v>
      </c>
      <c r="AL134" s="51">
        <f t="shared" si="33"/>
        <v>138.26893180455554</v>
      </c>
      <c r="AM134" s="51">
        <f t="shared" si="33"/>
        <v>134.81220850944163</v>
      </c>
      <c r="AN134" s="51">
        <f t="shared" si="33"/>
        <v>131.44190329670559</v>
      </c>
      <c r="AO134" s="51">
        <f t="shared" si="33"/>
        <v>128.15585571428795</v>
      </c>
      <c r="AP134" s="51">
        <f t="shared" si="33"/>
        <v>124.95195932143075</v>
      </c>
      <c r="AQ134" s="51">
        <f t="shared" si="33"/>
        <v>121.82816033839498</v>
      </c>
      <c r="AR134" s="51">
        <f t="shared" si="33"/>
        <v>118.782456329935</v>
      </c>
      <c r="AS134" s="51">
        <f t="shared" si="33"/>
        <v>115.81289492168672</v>
      </c>
      <c r="AT134" s="51">
        <f t="shared" si="33"/>
        <v>112.91757254864454</v>
      </c>
      <c r="AU134" s="51">
        <f t="shared" si="33"/>
        <v>110.094633234928</v>
      </c>
      <c r="AV134" s="51">
        <f t="shared" si="33"/>
        <v>107.34226740405499</v>
      </c>
      <c r="AW134" s="51">
        <f t="shared" si="33"/>
        <v>104.65871071895383</v>
      </c>
      <c r="AX134" s="51">
        <f t="shared" si="33"/>
        <v>102.04224295097998</v>
      </c>
      <c r="AY134" s="51">
        <f t="shared" si="33"/>
        <v>99.491186877205479</v>
      </c>
      <c r="AZ134" s="51">
        <f t="shared" si="33"/>
        <v>97.00390720527534</v>
      </c>
      <c r="BA134" s="51">
        <f t="shared" si="33"/>
        <v>94.578809525143456</v>
      </c>
      <c r="BB134" s="51">
        <f t="shared" si="33"/>
        <v>92.214339287014866</v>
      </c>
      <c r="BC134" s="51">
        <f t="shared" si="33"/>
        <v>89.908980804839487</v>
      </c>
      <c r="BD134" s="51">
        <f t="shared" si="33"/>
        <v>87.661256284718505</v>
      </c>
      <c r="BE134" s="51">
        <f t="shared" si="33"/>
        <v>85.469724877600541</v>
      </c>
      <c r="BF134" s="51">
        <f t="shared" si="33"/>
        <v>83.332981755660526</v>
      </c>
      <c r="BG134" s="51">
        <f t="shared" si="33"/>
        <v>55.253972899034899</v>
      </c>
      <c r="BH134" s="51">
        <f t="shared" si="33"/>
        <v>20.9016595394714</v>
      </c>
      <c r="BI134" s="51">
        <f t="shared" si="33"/>
        <v>1.9401297213399001E-2</v>
      </c>
      <c r="BJ134" s="51"/>
      <c r="BK134" s="51"/>
      <c r="BL134" s="51"/>
      <c r="BM134" s="51"/>
      <c r="BN134" s="51"/>
      <c r="BO134" s="51"/>
      <c r="BP134" s="51"/>
      <c r="BQ134" s="51"/>
      <c r="BR134" s="51"/>
      <c r="BS134" s="51"/>
      <c r="BT134" s="51"/>
      <c r="BU134" s="51"/>
      <c r="BV134" s="51"/>
      <c r="BW134" s="51"/>
      <c r="BX134" s="51"/>
      <c r="BY134" s="51"/>
      <c r="BZ134" s="51"/>
      <c r="CA134" s="51"/>
      <c r="CB134" s="51"/>
      <c r="CC134" s="51"/>
      <c r="CD134" s="51"/>
      <c r="CE134" s="51"/>
      <c r="CF134" s="51"/>
      <c r="CG134" s="51"/>
      <c r="CH134" s="51"/>
      <c r="CI134" s="51"/>
      <c r="CJ134" s="51"/>
      <c r="CK134" s="51"/>
      <c r="CL134" s="51"/>
      <c r="CM134" s="51"/>
      <c r="CN134" s="51"/>
      <c r="CO134" s="51"/>
      <c r="CP134" s="51"/>
      <c r="CQ134" s="51"/>
      <c r="CR134" s="51"/>
      <c r="CS134" s="51"/>
      <c r="CT134" s="51"/>
      <c r="CU134" s="51"/>
      <c r="CV134" s="51"/>
      <c r="CW134" s="51"/>
      <c r="CX134" s="51"/>
      <c r="CY134" s="51"/>
      <c r="CZ134" s="51"/>
      <c r="DA134" s="51"/>
      <c r="DB134" s="51"/>
      <c r="DC134" s="51"/>
      <c r="DD134" s="51"/>
      <c r="DE134" s="51"/>
      <c r="DF134" s="51"/>
      <c r="DG134" s="51"/>
      <c r="DH134" s="51"/>
      <c r="DI134" s="51"/>
      <c r="DJ134" s="51"/>
      <c r="DK134" s="51"/>
      <c r="DL134" s="51"/>
      <c r="DM134" s="51"/>
      <c r="DN134" s="51"/>
      <c r="DO134" s="51"/>
      <c r="DP134" s="51"/>
      <c r="DQ134" s="51"/>
      <c r="DR134" s="51"/>
      <c r="DS134" s="51"/>
      <c r="DT134" s="51"/>
    </row>
    <row r="135" spans="1:124" x14ac:dyDescent="0.35">
      <c r="A135" s="15" t="s">
        <v>305</v>
      </c>
      <c r="B135" s="51">
        <f t="shared" ref="B135" si="34">+B133*3.666</f>
        <v>3.6659999999999999</v>
      </c>
      <c r="C135" s="51">
        <f t="shared" ref="C135:BI135" si="35">+C133*3.666</f>
        <v>167.87469335218432</v>
      </c>
      <c r="D135" s="51">
        <f t="shared" si="35"/>
        <v>211.26855106093169</v>
      </c>
      <c r="E135" s="51">
        <f t="shared" si="35"/>
        <v>264.80947201166447</v>
      </c>
      <c r="F135" s="51">
        <f t="shared" si="35"/>
        <v>330.39933639350767</v>
      </c>
      <c r="G135" s="51">
        <f t="shared" si="35"/>
        <v>410.20057575871186</v>
      </c>
      <c r="H135" s="51">
        <f t="shared" si="35"/>
        <v>506.61962622262695</v>
      </c>
      <c r="I135" s="51">
        <f t="shared" si="35"/>
        <v>622.30067893815124</v>
      </c>
      <c r="J135" s="51">
        <f t="shared" si="35"/>
        <v>760.19516158117074</v>
      </c>
      <c r="K135" s="51">
        <f t="shared" si="35"/>
        <v>923.87976359585991</v>
      </c>
      <c r="L135" s="51">
        <f t="shared" si="35"/>
        <v>979.03239018053853</v>
      </c>
      <c r="M135" s="51">
        <f t="shared" si="35"/>
        <v>954.55658042602272</v>
      </c>
      <c r="N135" s="51">
        <f t="shared" si="35"/>
        <v>930.69266591537303</v>
      </c>
      <c r="O135" s="51">
        <f t="shared" si="35"/>
        <v>907.42534926748954</v>
      </c>
      <c r="P135" s="51">
        <f t="shared" si="35"/>
        <v>884.73971553580031</v>
      </c>
      <c r="Q135" s="51">
        <f t="shared" si="35"/>
        <v>862.62122264740731</v>
      </c>
      <c r="R135" s="51">
        <f t="shared" si="35"/>
        <v>841.0556920812212</v>
      </c>
      <c r="S135" s="51">
        <f t="shared" si="35"/>
        <v>820.02929977918882</v>
      </c>
      <c r="T135" s="51">
        <f t="shared" si="35"/>
        <v>799.52856728470965</v>
      </c>
      <c r="U135" s="51">
        <f t="shared" si="35"/>
        <v>779.54035310259235</v>
      </c>
      <c r="V135" s="51">
        <f t="shared" si="35"/>
        <v>728.04161373046247</v>
      </c>
      <c r="W135" s="51">
        <f t="shared" si="35"/>
        <v>709.21836161237331</v>
      </c>
      <c r="X135" s="51">
        <f t="shared" si="35"/>
        <v>695.85061338504534</v>
      </c>
      <c r="Y135" s="51">
        <f t="shared" si="35"/>
        <v>704.46117735235055</v>
      </c>
      <c r="Z135" s="51">
        <f t="shared" si="35"/>
        <v>686.84964791853974</v>
      </c>
      <c r="AA135" s="51">
        <f t="shared" si="35"/>
        <v>669.67840672057878</v>
      </c>
      <c r="AB135" s="51">
        <f t="shared" si="35"/>
        <v>652.93644655256253</v>
      </c>
      <c r="AC135" s="51">
        <f t="shared" si="35"/>
        <v>636.61303538874813</v>
      </c>
      <c r="AD135" s="51">
        <f t="shared" si="35"/>
        <v>620.69770950403131</v>
      </c>
      <c r="AE135" s="51">
        <f t="shared" si="35"/>
        <v>605.18026676642762</v>
      </c>
      <c r="AF135" s="51">
        <f t="shared" si="35"/>
        <v>590.05076009726895</v>
      </c>
      <c r="AG135" s="51">
        <f t="shared" si="35"/>
        <v>575.29949109483834</v>
      </c>
      <c r="AH135" s="51">
        <f t="shared" si="35"/>
        <v>560.91700381746477</v>
      </c>
      <c r="AI135" s="51">
        <f t="shared" si="35"/>
        <v>546.8940787220298</v>
      </c>
      <c r="AJ135" s="51">
        <f t="shared" si="35"/>
        <v>533.22172675398019</v>
      </c>
      <c r="AK135" s="51">
        <f t="shared" si="35"/>
        <v>519.89118358512746</v>
      </c>
      <c r="AL135" s="51">
        <f t="shared" si="35"/>
        <v>506.89390399550223</v>
      </c>
      <c r="AM135" s="51">
        <f t="shared" si="35"/>
        <v>494.22155639561436</v>
      </c>
      <c r="AN135" s="51">
        <f t="shared" si="35"/>
        <v>481.86601748572411</v>
      </c>
      <c r="AO135" s="51">
        <f t="shared" si="35"/>
        <v>469.81936704857981</v>
      </c>
      <c r="AP135" s="51">
        <f t="shared" si="35"/>
        <v>458.07388287236603</v>
      </c>
      <c r="AQ135" s="51">
        <f t="shared" si="35"/>
        <v>446.62203580055603</v>
      </c>
      <c r="AR135" s="51">
        <f t="shared" si="35"/>
        <v>435.45648490554169</v>
      </c>
      <c r="AS135" s="51">
        <f t="shared" si="35"/>
        <v>424.57007278290456</v>
      </c>
      <c r="AT135" s="51">
        <f t="shared" si="35"/>
        <v>413.95582096333254</v>
      </c>
      <c r="AU135" s="51">
        <f t="shared" si="35"/>
        <v>403.60692543924603</v>
      </c>
      <c r="AV135" s="51">
        <f t="shared" si="35"/>
        <v>393.5167523032656</v>
      </c>
      <c r="AW135" s="51">
        <f t="shared" si="35"/>
        <v>383.67883349568535</v>
      </c>
      <c r="AX135" s="51">
        <f t="shared" si="35"/>
        <v>374.08686265829266</v>
      </c>
      <c r="AY135" s="51">
        <f t="shared" si="35"/>
        <v>364.73469109183577</v>
      </c>
      <c r="AZ135" s="51">
        <f t="shared" si="35"/>
        <v>355.61632381453961</v>
      </c>
      <c r="BA135" s="51">
        <f t="shared" si="35"/>
        <v>346.72591571917604</v>
      </c>
      <c r="BB135" s="51">
        <f t="shared" si="35"/>
        <v>338.0577678261966</v>
      </c>
      <c r="BC135" s="51">
        <f t="shared" si="35"/>
        <v>329.60632363054162</v>
      </c>
      <c r="BD135" s="51">
        <f t="shared" si="35"/>
        <v>321.36616553977842</v>
      </c>
      <c r="BE135" s="51">
        <f t="shared" si="35"/>
        <v>313.33201140128381</v>
      </c>
      <c r="BF135" s="51">
        <f t="shared" si="35"/>
        <v>305.49871111625174</v>
      </c>
      <c r="BG135" s="51">
        <f t="shared" si="35"/>
        <v>202.56106464786194</v>
      </c>
      <c r="BH135" s="51">
        <f t="shared" si="35"/>
        <v>76.625483871702144</v>
      </c>
      <c r="BI135" s="51">
        <f t="shared" si="35"/>
        <v>7.112515558432074E-2</v>
      </c>
      <c r="BJ135" s="51"/>
      <c r="BK135" s="51"/>
      <c r="BL135" s="51"/>
      <c r="BM135" s="51"/>
      <c r="BN135" s="51"/>
      <c r="BO135" s="51"/>
      <c r="BP135" s="51"/>
      <c r="BQ135" s="51"/>
      <c r="BR135" s="51"/>
      <c r="BS135" s="51"/>
      <c r="BT135" s="51"/>
      <c r="BU135" s="51"/>
      <c r="BV135" s="51"/>
      <c r="BW135" s="51"/>
      <c r="BX135" s="51"/>
      <c r="BY135" s="51"/>
      <c r="BZ135" s="51"/>
      <c r="CA135" s="51"/>
      <c r="CB135" s="51"/>
      <c r="CC135" s="51"/>
      <c r="CD135" s="51"/>
      <c r="CE135" s="51"/>
      <c r="CF135" s="51"/>
      <c r="CG135" s="51"/>
      <c r="CH135" s="51"/>
      <c r="CI135" s="51"/>
      <c r="CJ135" s="51"/>
      <c r="CK135" s="51"/>
      <c r="CL135" s="51"/>
      <c r="CM135" s="51"/>
      <c r="CN135" s="51"/>
      <c r="CO135" s="51"/>
      <c r="CP135" s="51"/>
      <c r="CQ135" s="51"/>
      <c r="CR135" s="51"/>
      <c r="CS135" s="51"/>
      <c r="CT135" s="51"/>
      <c r="CU135" s="51"/>
      <c r="CV135" s="51"/>
      <c r="CW135" s="51"/>
      <c r="CX135" s="51"/>
      <c r="CY135" s="51"/>
      <c r="CZ135" s="51"/>
      <c r="DA135" s="51"/>
      <c r="DB135" s="51"/>
      <c r="DC135" s="51"/>
      <c r="DD135" s="51"/>
      <c r="DE135" s="51"/>
      <c r="DF135" s="51"/>
      <c r="DG135" s="51"/>
      <c r="DH135" s="51"/>
      <c r="DI135" s="51"/>
      <c r="DJ135" s="51"/>
      <c r="DK135" s="51"/>
      <c r="DL135" s="51"/>
      <c r="DM135" s="51"/>
      <c r="DN135" s="51"/>
      <c r="DO135" s="51"/>
      <c r="DP135" s="51"/>
      <c r="DQ135" s="51"/>
      <c r="DR135" s="51"/>
      <c r="DS135" s="51"/>
      <c r="DT135" s="51"/>
    </row>
    <row r="136" spans="1:124" hidden="1" x14ac:dyDescent="0.35"/>
    <row r="137" spans="1:124" s="25" customFormat="1" ht="13.75" customHeight="1" x14ac:dyDescent="0.35">
      <c r="A137" s="15" t="s">
        <v>303</v>
      </c>
      <c r="B137" s="3">
        <f t="shared" ref="B137" si="36">+B139*B47</f>
        <v>3.8976322961607419E-2</v>
      </c>
      <c r="C137" s="3">
        <f t="shared" ref="C137:BI137" si="37">+C139*C47</f>
        <v>0.33080499840555921</v>
      </c>
      <c r="D137" s="3">
        <f t="shared" si="37"/>
        <v>0.38119976285051183</v>
      </c>
      <c r="E137" s="3">
        <f t="shared" si="37"/>
        <v>0.43828885266917872</v>
      </c>
      <c r="F137" s="3">
        <f t="shared" si="37"/>
        <v>0.50264457569075771</v>
      </c>
      <c r="G137" s="3">
        <f t="shared" si="37"/>
        <v>0.57486773681719872</v>
      </c>
      <c r="H137" s="3">
        <f t="shared" si="37"/>
        <v>0.65556084611396503</v>
      </c>
      <c r="I137" s="3">
        <f t="shared" si="37"/>
        <v>0.74532006310756516</v>
      </c>
      <c r="J137" s="3">
        <f t="shared" si="37"/>
        <v>0.8447786492671765</v>
      </c>
      <c r="K137" s="3">
        <f t="shared" si="37"/>
        <v>0.95477639254103275</v>
      </c>
      <c r="L137" s="3">
        <f t="shared" si="37"/>
        <v>1</v>
      </c>
      <c r="M137" s="3">
        <f t="shared" si="37"/>
        <v>0.99999999999999978</v>
      </c>
      <c r="N137" s="3">
        <f t="shared" si="37"/>
        <v>1</v>
      </c>
      <c r="O137" s="3">
        <f t="shared" si="37"/>
        <v>1</v>
      </c>
      <c r="P137" s="3">
        <f t="shared" si="37"/>
        <v>0.99999999999999956</v>
      </c>
      <c r="Q137" s="3">
        <f t="shared" si="37"/>
        <v>1</v>
      </c>
      <c r="R137" s="3">
        <f t="shared" si="37"/>
        <v>1</v>
      </c>
      <c r="S137" s="3">
        <f t="shared" si="37"/>
        <v>0.999999999999999</v>
      </c>
      <c r="T137" s="3">
        <f t="shared" si="37"/>
        <v>0.99999999999999944</v>
      </c>
      <c r="U137" s="3">
        <f t="shared" si="37"/>
        <v>0.99999999999999967</v>
      </c>
      <c r="V137" s="3">
        <f t="shared" si="37"/>
        <v>0.97637876570586901</v>
      </c>
      <c r="W137" s="3">
        <f t="shared" si="37"/>
        <v>0.97590320293342947</v>
      </c>
      <c r="X137" s="3">
        <f t="shared" si="37"/>
        <v>0.97931905142166376</v>
      </c>
      <c r="Y137" s="3">
        <f t="shared" si="37"/>
        <v>1</v>
      </c>
      <c r="Z137" s="3">
        <f t="shared" si="37"/>
        <v>0.99999999999999911</v>
      </c>
      <c r="AA137" s="3">
        <f t="shared" si="37"/>
        <v>1</v>
      </c>
      <c r="AB137" s="3">
        <f t="shared" si="37"/>
        <v>0.99999999999999978</v>
      </c>
      <c r="AC137" s="3">
        <f t="shared" si="37"/>
        <v>0.99999999999999944</v>
      </c>
      <c r="AD137" s="3">
        <f t="shared" si="37"/>
        <v>1</v>
      </c>
      <c r="AE137" s="3">
        <f t="shared" si="37"/>
        <v>0.99999999999999856</v>
      </c>
      <c r="AF137" s="3">
        <f t="shared" si="37"/>
        <v>1</v>
      </c>
      <c r="AG137" s="3">
        <f t="shared" si="37"/>
        <v>1</v>
      </c>
      <c r="AH137" s="3">
        <f t="shared" si="37"/>
        <v>0.999999999999999</v>
      </c>
      <c r="AI137" s="3">
        <f t="shared" si="37"/>
        <v>1</v>
      </c>
      <c r="AJ137" s="3">
        <f t="shared" si="37"/>
        <v>1</v>
      </c>
      <c r="AK137" s="3">
        <f t="shared" si="37"/>
        <v>0.99999999999999856</v>
      </c>
      <c r="AL137" s="3">
        <f t="shared" si="37"/>
        <v>1</v>
      </c>
      <c r="AM137" s="3">
        <f t="shared" si="37"/>
        <v>1</v>
      </c>
      <c r="AN137" s="3">
        <f t="shared" si="37"/>
        <v>1</v>
      </c>
      <c r="AO137" s="3">
        <f t="shared" si="37"/>
        <v>1</v>
      </c>
      <c r="AP137" s="3">
        <f t="shared" si="37"/>
        <v>1</v>
      </c>
      <c r="AQ137" s="3">
        <f t="shared" si="37"/>
        <v>1</v>
      </c>
      <c r="AR137" s="3">
        <f t="shared" si="37"/>
        <v>0.99999999999999956</v>
      </c>
      <c r="AS137" s="3">
        <f t="shared" si="37"/>
        <v>1</v>
      </c>
      <c r="AT137" s="3">
        <f t="shared" si="37"/>
        <v>1</v>
      </c>
      <c r="AU137" s="3">
        <f t="shared" si="37"/>
        <v>0.99999999999999789</v>
      </c>
      <c r="AV137" s="3">
        <f t="shared" si="37"/>
        <v>0.99999999999999889</v>
      </c>
      <c r="AW137" s="3">
        <f t="shared" si="37"/>
        <v>1</v>
      </c>
      <c r="AX137" s="3">
        <f t="shared" si="37"/>
        <v>1</v>
      </c>
      <c r="AY137" s="3">
        <f t="shared" si="37"/>
        <v>1</v>
      </c>
      <c r="AZ137" s="3">
        <f t="shared" si="37"/>
        <v>1</v>
      </c>
      <c r="BA137" s="3">
        <f t="shared" si="37"/>
        <v>1</v>
      </c>
      <c r="BB137" s="3">
        <f t="shared" si="37"/>
        <v>1</v>
      </c>
      <c r="BC137" s="3">
        <f t="shared" si="37"/>
        <v>1</v>
      </c>
      <c r="BD137" s="3">
        <f t="shared" si="37"/>
        <v>1</v>
      </c>
      <c r="BE137" s="3">
        <f t="shared" si="37"/>
        <v>1</v>
      </c>
      <c r="BF137" s="3">
        <f t="shared" si="37"/>
        <v>1</v>
      </c>
      <c r="BG137" s="3">
        <f t="shared" si="37"/>
        <v>0.80717511221726468</v>
      </c>
      <c r="BH137" s="3">
        <f t="shared" si="37"/>
        <v>0.47701313991584626</v>
      </c>
      <c r="BI137" s="3">
        <f t="shared" si="37"/>
        <v>9.9999999999999516E-3</v>
      </c>
      <c r="BJ137" s="3"/>
      <c r="BK137" s="3"/>
      <c r="BL137" s="3"/>
      <c r="BM137" s="3"/>
      <c r="BN137" s="3"/>
      <c r="BO137" s="3"/>
      <c r="BP137" s="3"/>
      <c r="BQ137" s="3"/>
      <c r="BR137" s="3"/>
      <c r="BS137" s="3"/>
      <c r="BT137" s="3"/>
      <c r="BU137" s="3"/>
      <c r="BV137" s="3"/>
      <c r="BW137" s="3"/>
      <c r="BX137" s="3"/>
      <c r="BY137" s="3"/>
      <c r="BZ137" s="3"/>
      <c r="CA137" s="3"/>
      <c r="CB137" s="3"/>
      <c r="CC137" s="3"/>
      <c r="CD137" s="3"/>
      <c r="CE137" s="3"/>
      <c r="CF137" s="3"/>
      <c r="CG137" s="3"/>
      <c r="CH137" s="3"/>
      <c r="CI137" s="3"/>
      <c r="CJ137" s="3"/>
      <c r="CK137" s="3"/>
      <c r="CL137" s="3"/>
      <c r="CM137" s="3"/>
      <c r="CN137" s="3"/>
      <c r="CO137" s="3"/>
      <c r="CP137" s="3"/>
      <c r="CQ137" s="3"/>
      <c r="CR137" s="3"/>
      <c r="CS137" s="3"/>
      <c r="CT137" s="3"/>
      <c r="CU137" s="3"/>
      <c r="CV137" s="3"/>
      <c r="CW137" s="3"/>
      <c r="CX137" s="3"/>
      <c r="CY137" s="3"/>
      <c r="CZ137" s="3"/>
      <c r="DA137" s="3"/>
      <c r="DB137" s="3"/>
      <c r="DC137" s="3"/>
      <c r="DD137" s="3"/>
      <c r="DE137" s="3"/>
      <c r="DF137" s="3"/>
      <c r="DG137" s="3"/>
      <c r="DH137" s="3"/>
      <c r="DI137" s="3"/>
      <c r="DJ137" s="3"/>
      <c r="DK137" s="3"/>
      <c r="DL137" s="3"/>
      <c r="DM137" s="3"/>
      <c r="DN137" s="3"/>
      <c r="DO137" s="3"/>
      <c r="DP137" s="3"/>
      <c r="DQ137" s="3"/>
      <c r="DR137" s="3"/>
      <c r="DS137" s="3"/>
      <c r="DT137" s="3"/>
    </row>
    <row r="138" spans="1:124" s="25" customFormat="1" hidden="1" x14ac:dyDescent="0.35">
      <c r="A138" s="15"/>
      <c r="B138" s="3"/>
      <c r="C138" s="3"/>
      <c r="D138" s="3"/>
      <c r="E138" s="3"/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  <c r="BA138" s="3"/>
      <c r="BB138" s="3"/>
      <c r="BC138" s="3"/>
      <c r="BD138" s="3"/>
      <c r="BE138" s="3"/>
      <c r="BF138" s="3"/>
      <c r="BG138" s="3"/>
      <c r="BH138" s="3"/>
      <c r="BI138" s="3"/>
      <c r="BJ138" s="3"/>
      <c r="BK138" s="3"/>
      <c r="BL138" s="3"/>
      <c r="BM138" s="3"/>
      <c r="BN138" s="3"/>
      <c r="BO138" s="3"/>
      <c r="BP138" s="3"/>
      <c r="BQ138" s="3"/>
      <c r="BR138" s="3"/>
      <c r="BS138" s="3"/>
      <c r="BT138" s="3"/>
      <c r="BU138" s="3"/>
      <c r="BV138" s="3"/>
      <c r="BW138" s="3"/>
      <c r="BX138" s="3"/>
      <c r="BY138" s="3"/>
      <c r="BZ138" s="3"/>
      <c r="CA138" s="3"/>
      <c r="CB138" s="3"/>
      <c r="CC138" s="3"/>
      <c r="CD138" s="3"/>
      <c r="CE138" s="3"/>
      <c r="CF138" s="3"/>
      <c r="CG138" s="3"/>
      <c r="CH138" s="3"/>
      <c r="CI138" s="3"/>
      <c r="CJ138" s="3"/>
      <c r="CK138" s="3"/>
      <c r="CL138" s="3"/>
      <c r="CM138" s="3"/>
      <c r="CN138" s="3"/>
      <c r="CO138" s="3"/>
      <c r="CP138" s="3"/>
      <c r="CQ138" s="3"/>
      <c r="CR138" s="3"/>
      <c r="CS138" s="3"/>
      <c r="CT138" s="3"/>
      <c r="CU138" s="3"/>
      <c r="CV138" s="3"/>
      <c r="CW138" s="3"/>
      <c r="CX138" s="3"/>
      <c r="CY138" s="3"/>
      <c r="CZ138" s="3"/>
      <c r="DA138" s="3"/>
      <c r="DB138" s="3"/>
      <c r="DC138" s="3"/>
      <c r="DD138" s="3"/>
      <c r="DE138" s="3"/>
      <c r="DF138" s="3"/>
      <c r="DG138" s="3"/>
      <c r="DH138" s="3"/>
      <c r="DI138" s="3"/>
      <c r="DJ138" s="3"/>
      <c r="DK138" s="3"/>
      <c r="DL138" s="3"/>
      <c r="DM138" s="3"/>
      <c r="DN138" s="3"/>
      <c r="DO138" s="3"/>
      <c r="DP138" s="3"/>
      <c r="DQ138" s="3"/>
      <c r="DR138" s="3"/>
      <c r="DS138" s="3"/>
      <c r="DT138" s="3"/>
    </row>
    <row r="139" spans="1:124" s="25" customFormat="1" x14ac:dyDescent="0.35">
      <c r="A139" s="15" t="s">
        <v>304</v>
      </c>
      <c r="B139" s="3">
        <f>+MIN(((B134)/(B$34))^(1/($B$39-1)),Parameters!$B$42)</f>
        <v>3.8976322961607419E-2</v>
      </c>
      <c r="C139" s="3">
        <f>+MIN(((C134)/(C$34))^(1/($B$39-1)),Parameters!$B$42)</f>
        <v>0.33080499840555921</v>
      </c>
      <c r="D139" s="3">
        <f>+MIN(((D134)/(D$34))^(1/($B$39-1)),Parameters!$B$42)</f>
        <v>0.38119976285051183</v>
      </c>
      <c r="E139" s="3">
        <f>+MIN(((E134)/(E$34))^(1/($B$39-1)),Parameters!$B$42)</f>
        <v>0.43828885266917872</v>
      </c>
      <c r="F139" s="3">
        <f>+MIN(((F134)/(F$34))^(1/($B$39-1)),Parameters!$B$42)</f>
        <v>0.50264457569075771</v>
      </c>
      <c r="G139" s="3">
        <f>+MIN(((G134)/(G$34))^(1/($B$39-1)),Parameters!$B$42)</f>
        <v>0.57486773681719872</v>
      </c>
      <c r="H139" s="3">
        <f>+MIN(((H134)/(H$34))^(1/($B$39-1)),Parameters!$B$42)</f>
        <v>0.65556084611396503</v>
      </c>
      <c r="I139" s="3">
        <f>+MIN(((I134)/(I$34))^(1/($B$39-1)),Parameters!$B$42)</f>
        <v>0.74532006310756516</v>
      </c>
      <c r="J139" s="3">
        <f>+MIN(((J134)/(J$34))^(1/($B$39-1)),Parameters!$B$42)</f>
        <v>0.8447786492671765</v>
      </c>
      <c r="K139" s="3">
        <f>+MIN(((K134)/(K$34))^(1/($B$39-1)),Parameters!$B$42)</f>
        <v>0.95477639254103275</v>
      </c>
      <c r="L139" s="3">
        <f>+MIN(((L134)/(L$34))^(1/($B$39-1)),Parameters!$B$42)</f>
        <v>1</v>
      </c>
      <c r="M139" s="3">
        <f>+MIN(((M134)/(M$34))^(1/($B$39-1)),Parameters!$B$42)</f>
        <v>0.99999999999999978</v>
      </c>
      <c r="N139" s="3">
        <f>+MIN(((N134)/(N$34))^(1/($B$39-1)),Parameters!$B$42)</f>
        <v>1</v>
      </c>
      <c r="O139" s="3">
        <f>+MIN(((O134)/(O$34))^(1/($B$39-1)),Parameters!$B$42)</f>
        <v>1</v>
      </c>
      <c r="P139" s="3">
        <f>+MIN(((P134)/(P$34))^(1/($B$39-1)),Parameters!$B$42)</f>
        <v>0.99999999999999956</v>
      </c>
      <c r="Q139" s="3">
        <f>+MIN(((Q134)/(Q$34))^(1/($B$39-1)),Parameters!$B$42)</f>
        <v>1</v>
      </c>
      <c r="R139" s="3">
        <f>+MIN(((R134)/(R$34))^(1/($B$39-1)),Parameters!$B$42)</f>
        <v>1</v>
      </c>
      <c r="S139" s="3">
        <f>+MIN(((S134)/(S$34))^(1/($B$39-1)),Parameters!$B$42)</f>
        <v>0.999999999999999</v>
      </c>
      <c r="T139" s="3">
        <f>+MIN(((T134)/(T$34))^(1/($B$39-1)),Parameters!$B$42)</f>
        <v>0.99999999999999944</v>
      </c>
      <c r="U139" s="3">
        <f>+MIN(((U134)/(U$34))^(1/($B$39-1)),Parameters!$B$42)</f>
        <v>0.99999999999999967</v>
      </c>
      <c r="V139" s="3">
        <f>+MIN(((V134)/(V$34))^(1/($B$39-1)),Parameters!$B$42)</f>
        <v>0.97637876570586901</v>
      </c>
      <c r="W139" s="3">
        <f>+MIN(((W134)/(W$34))^(1/($B$39-1)),Parameters!$B$42)</f>
        <v>0.97590320293342947</v>
      </c>
      <c r="X139" s="3">
        <f>+MIN(((X134)/(X$34))^(1/($B$39-1)),Parameters!$B$42)</f>
        <v>0.97931905142166376</v>
      </c>
      <c r="Y139" s="3">
        <f>+MIN(((Y134)/(Y$34))^(1/($B$39-1)),Parameters!$B$42)</f>
        <v>1</v>
      </c>
      <c r="Z139" s="3">
        <f>+MIN(((Z134)/(Z$34))^(1/($B$39-1)),Parameters!$B$42)</f>
        <v>0.99999999999999911</v>
      </c>
      <c r="AA139" s="3">
        <f>+MIN(((AA134)/(AA$34))^(1/($B$39-1)),Parameters!$B$42)</f>
        <v>1</v>
      </c>
      <c r="AB139" s="3">
        <f>+MIN(((AB134)/(AB$34))^(1/($B$39-1)),Parameters!$B$42)</f>
        <v>0.99999999999999978</v>
      </c>
      <c r="AC139" s="3">
        <f>+MIN(((AC134)/(AC$34))^(1/($B$39-1)),Parameters!$B$42)</f>
        <v>0.99999999999999944</v>
      </c>
      <c r="AD139" s="3">
        <f>+MIN(((AD134)/(AD$34))^(1/($B$39-1)),Parameters!$B$42)</f>
        <v>1</v>
      </c>
      <c r="AE139" s="3">
        <f>+MIN(((AE134)/(AE$34))^(1/($B$39-1)),Parameters!$B$42)</f>
        <v>0.99999999999999856</v>
      </c>
      <c r="AF139" s="3">
        <f>+MIN(((AF134)/(AF$34))^(1/($B$39-1)),Parameters!$B$42)</f>
        <v>1</v>
      </c>
      <c r="AG139" s="3">
        <f>+MIN(((AG134)/(AG$34))^(1/($B$39-1)),Parameters!$B$42)</f>
        <v>1</v>
      </c>
      <c r="AH139" s="3">
        <f>+MIN(((AH134)/(AH$34))^(1/($B$39-1)),Parameters!$B$42)</f>
        <v>0.999999999999999</v>
      </c>
      <c r="AI139" s="3">
        <f>+MIN(((AI134)/(AI$34))^(1/($B$39-1)),Parameters!$B$42)</f>
        <v>1</v>
      </c>
      <c r="AJ139" s="3">
        <f>+MIN(((AJ134)/(AJ$34))^(1/($B$39-1)),Parameters!$B$42)</f>
        <v>1</v>
      </c>
      <c r="AK139" s="3">
        <f>+MIN(((AK134)/(AK$34))^(1/($B$39-1)),Parameters!$B$42)</f>
        <v>0.99999999999999856</v>
      </c>
      <c r="AL139" s="3">
        <f>+MIN(((AL134)/(AL$34))^(1/($B$39-1)),Parameters!$B$42)</f>
        <v>1</v>
      </c>
      <c r="AM139" s="3">
        <f>+MIN(((AM134)/(AM$34))^(1/($B$39-1)),Parameters!$B$42)</f>
        <v>1</v>
      </c>
      <c r="AN139" s="3">
        <f>+MIN(((AN134)/(AN$34))^(1/($B$39-1)),Parameters!$B$42)</f>
        <v>1</v>
      </c>
      <c r="AO139" s="3">
        <f>+MIN(((AO134)/(AO$34))^(1/($B$39-1)),Parameters!$B$42)</f>
        <v>1</v>
      </c>
      <c r="AP139" s="3">
        <f>+MIN(((AP134)/(AP$34))^(1/($B$39-1)),Parameters!$B$42)</f>
        <v>1</v>
      </c>
      <c r="AQ139" s="3">
        <f>+MIN(((AQ134)/(AQ$34))^(1/($B$39-1)),Parameters!$B$42)</f>
        <v>1</v>
      </c>
      <c r="AR139" s="3">
        <f>+MIN(((AR134)/(AR$34))^(1/($B$39-1)),Parameters!$B$42)</f>
        <v>0.99999999999999956</v>
      </c>
      <c r="AS139" s="3">
        <f>+MIN(((AS134)/(AS$34))^(1/($B$39-1)),Parameters!$B$42)</f>
        <v>1</v>
      </c>
      <c r="AT139" s="3">
        <f>+MIN(((AT134)/(AT$34))^(1/($B$39-1)),Parameters!$B$42)</f>
        <v>1</v>
      </c>
      <c r="AU139" s="3">
        <f>+MIN(((AU134)/(AU$34))^(1/($B$39-1)),Parameters!$B$42)</f>
        <v>0.99999999999999789</v>
      </c>
      <c r="AV139" s="3">
        <f>+MIN(((AV134)/(AV$34))^(1/($B$39-1)),Parameters!$B$42)</f>
        <v>0.99999999999999889</v>
      </c>
      <c r="AW139" s="3">
        <f>+MIN(((AW134)/(AW$34))^(1/($B$39-1)),Parameters!$B$42)</f>
        <v>1</v>
      </c>
      <c r="AX139" s="3">
        <f>+MIN(((AX134)/(AX$34))^(1/($B$39-1)),Parameters!$B$42)</f>
        <v>1</v>
      </c>
      <c r="AY139" s="3">
        <f>+MIN(((AY134)/(AY$34))^(1/($B$39-1)),Parameters!$B$42)</f>
        <v>1</v>
      </c>
      <c r="AZ139" s="3">
        <f>+MIN(((AZ134)/(AZ$34))^(1/($B$39-1)),Parameters!$B$42)</f>
        <v>1</v>
      </c>
      <c r="BA139" s="3">
        <f>+MIN(((BA134)/(BA$34))^(1/($B$39-1)),Parameters!$B$42)</f>
        <v>1</v>
      </c>
      <c r="BB139" s="3">
        <f>+MIN(((BB134)/(BB$34))^(1/($B$39-1)),Parameters!$B$42)</f>
        <v>1</v>
      </c>
      <c r="BC139" s="3">
        <f>+MIN(((BC134)/(BC$34))^(1/($B$39-1)),Parameters!$B$42)</f>
        <v>1</v>
      </c>
      <c r="BD139" s="3">
        <f>+MIN(((BD134)/(BD$34))^(1/($B$39-1)),Parameters!$B$42)</f>
        <v>1</v>
      </c>
      <c r="BE139" s="3">
        <f>+MIN(((BE134)/(BE$34))^(1/($B$39-1)),Parameters!$B$42)</f>
        <v>1</v>
      </c>
      <c r="BF139" s="3">
        <f>+MIN(((BF134)/(BF$34))^(1/($B$39-1)),Parameters!$B$42)</f>
        <v>1</v>
      </c>
      <c r="BG139" s="3">
        <f>+MIN(((BG134)/(BG$34))^(1/($B$39-1)),Parameters!$B$42)</f>
        <v>0.80717511221726468</v>
      </c>
      <c r="BH139" s="3">
        <f>+MIN(((BH134)/(BH$34))^(1/($B$39-1)),Parameters!$B$42)</f>
        <v>0.47701313991584626</v>
      </c>
      <c r="BI139" s="3">
        <f>+MIN(((BI134)/(BI$34))^(1/($B$39-1)),Parameters!$B$42)</f>
        <v>9.9999999999999516E-3</v>
      </c>
      <c r="BJ139" s="3"/>
      <c r="BK139" s="3"/>
      <c r="BL139" s="3"/>
      <c r="BM139" s="3"/>
      <c r="BN139" s="3"/>
      <c r="BO139" s="3"/>
      <c r="BP139" s="3"/>
      <c r="BQ139" s="3"/>
      <c r="BR139" s="3"/>
      <c r="BS139" s="3"/>
      <c r="BT139" s="3"/>
      <c r="BU139" s="3"/>
      <c r="BV139" s="3"/>
      <c r="BW139" s="3"/>
      <c r="BX139" s="3"/>
      <c r="BY139" s="3"/>
      <c r="BZ139" s="3"/>
      <c r="CA139" s="3"/>
      <c r="CB139" s="3"/>
      <c r="CC139" s="3"/>
      <c r="CD139" s="3"/>
      <c r="CE139" s="3"/>
      <c r="CF139" s="3"/>
      <c r="CG139" s="3"/>
      <c r="CH139" s="3"/>
      <c r="CI139" s="3"/>
      <c r="CJ139" s="3"/>
      <c r="CK139" s="3"/>
      <c r="CL139" s="3"/>
      <c r="CM139" s="3"/>
      <c r="CN139" s="3"/>
      <c r="CO139" s="3"/>
      <c r="CP139" s="3"/>
      <c r="CQ139" s="3"/>
      <c r="CR139" s="3"/>
      <c r="CS139" s="3"/>
      <c r="CT139" s="3"/>
      <c r="CU139" s="3"/>
      <c r="CV139" s="3"/>
      <c r="CW139" s="3"/>
      <c r="CX139" s="3"/>
      <c r="CY139" s="3"/>
      <c r="CZ139" s="3"/>
      <c r="DA139" s="3"/>
      <c r="DB139" s="3"/>
      <c r="DC139" s="3"/>
      <c r="DD139" s="3"/>
      <c r="DE139" s="3"/>
      <c r="DF139" s="3"/>
      <c r="DG139" s="3"/>
      <c r="DH139" s="3"/>
      <c r="DI139" s="3"/>
      <c r="DJ139" s="3"/>
      <c r="DK139" s="3"/>
      <c r="DL139" s="3"/>
      <c r="DM139" s="3"/>
      <c r="DN139" s="3"/>
      <c r="DO139" s="3"/>
      <c r="DP139" s="3"/>
      <c r="DQ139" s="3"/>
      <c r="DR139" s="3"/>
      <c r="DS139" s="3"/>
      <c r="DT139" s="3"/>
    </row>
    <row r="140" spans="1:124" s="25" customFormat="1" ht="13.25" customHeight="1" x14ac:dyDescent="0.35">
      <c r="A140" s="15" t="s">
        <v>306</v>
      </c>
      <c r="B140" s="3">
        <v>1</v>
      </c>
      <c r="C140" s="3">
        <f t="shared" ref="C140:I140" si="38">+C134*C47</f>
        <v>45.792333156624203</v>
      </c>
      <c r="D140" s="3">
        <f t="shared" si="38"/>
        <v>57.629173775486002</v>
      </c>
      <c r="E140" s="3">
        <f t="shared" si="38"/>
        <v>72.233898530186707</v>
      </c>
      <c r="F140" s="3">
        <f t="shared" si="38"/>
        <v>90.125296343019002</v>
      </c>
      <c r="G140" s="3">
        <f t="shared" si="38"/>
        <v>111.893228521198</v>
      </c>
      <c r="H140" s="3">
        <f t="shared" si="38"/>
        <v>138.194115172566</v>
      </c>
      <c r="I140" s="3">
        <f t="shared" si="38"/>
        <v>169.74923047958299</v>
      </c>
      <c r="J140" s="3">
        <f>+J134*J47</f>
        <v>207.36365564134499</v>
      </c>
      <c r="K140" s="3">
        <f t="shared" ref="K140:BI140" si="39">+K134*K47</f>
        <v>252.01302880410799</v>
      </c>
      <c r="L140" s="3">
        <f t="shared" si="39"/>
        <v>267.05738957461449</v>
      </c>
      <c r="M140" s="3">
        <f t="shared" si="39"/>
        <v>260.38095483524899</v>
      </c>
      <c r="N140" s="3">
        <f t="shared" si="39"/>
        <v>253.87143096436787</v>
      </c>
      <c r="O140" s="3">
        <f t="shared" si="39"/>
        <v>247.52464519025867</v>
      </c>
      <c r="P140" s="3">
        <f t="shared" si="39"/>
        <v>241.33652906050199</v>
      </c>
      <c r="Q140" s="3">
        <f t="shared" si="39"/>
        <v>235.30311583398964</v>
      </c>
      <c r="R140" s="3">
        <f t="shared" si="39"/>
        <v>229.42053793813989</v>
      </c>
      <c r="S140" s="3">
        <f t="shared" si="39"/>
        <v>223.68502448968599</v>
      </c>
      <c r="T140" s="3">
        <f t="shared" si="39"/>
        <v>218.09289887744399</v>
      </c>
      <c r="U140" s="3">
        <f t="shared" si="39"/>
        <v>212.640576405508</v>
      </c>
      <c r="V140" s="3">
        <f t="shared" si="39"/>
        <v>198.59291154677101</v>
      </c>
      <c r="W140" s="3">
        <f t="shared" si="39"/>
        <v>193.45836377860701</v>
      </c>
      <c r="X140" s="3">
        <f t="shared" si="39"/>
        <v>189.81195127797201</v>
      </c>
      <c r="Y140" s="3">
        <f t="shared" si="39"/>
        <v>192.16071395317775</v>
      </c>
      <c r="Z140" s="3">
        <f t="shared" si="39"/>
        <v>187.356696104348</v>
      </c>
      <c r="AA140" s="3">
        <f t="shared" si="39"/>
        <v>182.67277870173959</v>
      </c>
      <c r="AB140" s="3">
        <f t="shared" si="39"/>
        <v>178.10595923419601</v>
      </c>
      <c r="AC140" s="3">
        <f t="shared" si="39"/>
        <v>173.653310253341</v>
      </c>
      <c r="AD140" s="3">
        <f t="shared" si="39"/>
        <v>169.31197749700763</v>
      </c>
      <c r="AE140" s="3">
        <f t="shared" si="39"/>
        <v>165.07917805958201</v>
      </c>
      <c r="AF140" s="3">
        <f t="shared" si="39"/>
        <v>160.95219860809286</v>
      </c>
      <c r="AG140" s="3">
        <f t="shared" si="39"/>
        <v>156.92839364289054</v>
      </c>
      <c r="AH140" s="3">
        <f t="shared" si="39"/>
        <v>153.00518380181799</v>
      </c>
      <c r="AI140" s="3">
        <f t="shared" si="39"/>
        <v>149.18005420677281</v>
      </c>
      <c r="AJ140" s="3">
        <f t="shared" si="39"/>
        <v>145.45055285160348</v>
      </c>
      <c r="AK140" s="3">
        <f t="shared" si="39"/>
        <v>141.81428903031301</v>
      </c>
      <c r="AL140" s="3">
        <f t="shared" si="39"/>
        <v>138.26893180455554</v>
      </c>
      <c r="AM140" s="3">
        <f t="shared" si="39"/>
        <v>134.81220850944163</v>
      </c>
      <c r="AN140" s="3">
        <f t="shared" si="39"/>
        <v>131.44190329670559</v>
      </c>
      <c r="AO140" s="3">
        <f t="shared" si="39"/>
        <v>128.15585571428795</v>
      </c>
      <c r="AP140" s="3">
        <f t="shared" si="39"/>
        <v>124.95195932143075</v>
      </c>
      <c r="AQ140" s="3">
        <f t="shared" si="39"/>
        <v>121.82816033839498</v>
      </c>
      <c r="AR140" s="3">
        <f t="shared" si="39"/>
        <v>118.782456329935</v>
      </c>
      <c r="AS140" s="3">
        <f t="shared" si="39"/>
        <v>115.81289492168672</v>
      </c>
      <c r="AT140" s="3">
        <f t="shared" si="39"/>
        <v>112.91757254864454</v>
      </c>
      <c r="AU140" s="3">
        <f t="shared" si="39"/>
        <v>110.094633234928</v>
      </c>
      <c r="AV140" s="3">
        <f t="shared" si="39"/>
        <v>107.34226740405499</v>
      </c>
      <c r="AW140" s="3">
        <f t="shared" si="39"/>
        <v>104.65871071895383</v>
      </c>
      <c r="AX140" s="3">
        <f t="shared" si="39"/>
        <v>102.04224295097998</v>
      </c>
      <c r="AY140" s="3">
        <f t="shared" si="39"/>
        <v>99.491186877205479</v>
      </c>
      <c r="AZ140" s="3">
        <f t="shared" si="39"/>
        <v>97.00390720527534</v>
      </c>
      <c r="BA140" s="3">
        <f t="shared" si="39"/>
        <v>94.578809525143456</v>
      </c>
      <c r="BB140" s="3">
        <f t="shared" si="39"/>
        <v>92.214339287014866</v>
      </c>
      <c r="BC140" s="3">
        <f t="shared" si="39"/>
        <v>89.908980804839487</v>
      </c>
      <c r="BD140" s="3">
        <f t="shared" si="39"/>
        <v>87.661256284718505</v>
      </c>
      <c r="BE140" s="3">
        <f t="shared" si="39"/>
        <v>85.469724877600541</v>
      </c>
      <c r="BF140" s="3">
        <f t="shared" si="39"/>
        <v>83.332981755660526</v>
      </c>
      <c r="BG140" s="3">
        <f t="shared" si="39"/>
        <v>55.253972899034899</v>
      </c>
      <c r="BH140" s="3">
        <f t="shared" si="39"/>
        <v>20.9016595394714</v>
      </c>
      <c r="BI140" s="3">
        <f t="shared" si="39"/>
        <v>1.9401297213399001E-2</v>
      </c>
      <c r="BJ140" s="3"/>
      <c r="BK140" s="3"/>
      <c r="BL140" s="3"/>
      <c r="BM140" s="3"/>
      <c r="BN140" s="3"/>
      <c r="BO140" s="3"/>
      <c r="BP140" s="3"/>
      <c r="BQ140" s="3"/>
      <c r="BR140" s="3"/>
      <c r="BS140" s="3"/>
      <c r="BT140" s="3"/>
      <c r="BU140" s="3"/>
      <c r="BV140" s="3"/>
      <c r="BW140" s="3"/>
      <c r="BX140" s="3"/>
      <c r="BY140" s="3"/>
      <c r="BZ140" s="3"/>
      <c r="CA140" s="3"/>
      <c r="CB140" s="3"/>
      <c r="CC140" s="3"/>
      <c r="CD140" s="3"/>
      <c r="CE140" s="3"/>
      <c r="CF140" s="3"/>
      <c r="CG140" s="3"/>
      <c r="CH140" s="3"/>
      <c r="CI140" s="3"/>
      <c r="CJ140" s="3"/>
      <c r="CK140" s="3"/>
      <c r="CL140" s="3"/>
      <c r="CM140" s="3"/>
      <c r="CN140" s="3"/>
      <c r="CO140" s="3"/>
      <c r="CP140" s="3"/>
      <c r="CQ140" s="3"/>
      <c r="CR140" s="3"/>
      <c r="CS140" s="3"/>
      <c r="CT140" s="3"/>
      <c r="CU140" s="3"/>
      <c r="CV140" s="3"/>
      <c r="CW140" s="3"/>
      <c r="CX140" s="3"/>
      <c r="CY140" s="3"/>
      <c r="CZ140" s="3"/>
      <c r="DA140" s="3"/>
      <c r="DB140" s="3"/>
      <c r="DC140" s="3"/>
      <c r="DD140" s="3"/>
      <c r="DE140" s="3"/>
      <c r="DF140" s="3"/>
      <c r="DG140" s="3"/>
      <c r="DH140" s="3"/>
      <c r="DI140" s="3"/>
      <c r="DJ140" s="3"/>
      <c r="DK140" s="3"/>
      <c r="DL140" s="3"/>
      <c r="DM140" s="3"/>
      <c r="DN140" s="3"/>
      <c r="DO140" s="3"/>
      <c r="DP140" s="3"/>
      <c r="DQ140" s="3"/>
      <c r="DR140" s="3"/>
      <c r="DS140" s="3"/>
      <c r="DT140" s="3"/>
    </row>
    <row r="141" spans="1:124" ht="21" hidden="1" customHeight="1" x14ac:dyDescent="0.35">
      <c r="A141" s="50"/>
    </row>
    <row r="142" spans="1:124" s="165" customFormat="1" ht="33" customHeight="1" x14ac:dyDescent="0.35">
      <c r="A142" s="163" t="s">
        <v>316</v>
      </c>
      <c r="B142" s="164">
        <f>+C158</f>
        <v>5.1055817638835599E-2</v>
      </c>
      <c r="C142" s="164">
        <f t="shared" ref="C142:BH142" si="40">+D158</f>
        <v>5.0388819146718555E-2</v>
      </c>
      <c r="D142" s="164">
        <f t="shared" si="40"/>
        <v>4.9235343285549682E-2</v>
      </c>
      <c r="E142" s="164">
        <f t="shared" si="40"/>
        <v>4.7980057219438876E-2</v>
      </c>
      <c r="F142" s="164">
        <f t="shared" si="40"/>
        <v>4.6665799852787959E-2</v>
      </c>
      <c r="G142" s="164">
        <f t="shared" si="40"/>
        <v>4.5309910253460206E-2</v>
      </c>
      <c r="H142" s="164">
        <f t="shared" si="40"/>
        <v>4.3916453579566861E-2</v>
      </c>
      <c r="I142" s="164">
        <f t="shared" si="40"/>
        <v>4.2478440709060816E-2</v>
      </c>
      <c r="J142" s="164">
        <f t="shared" si="40"/>
        <v>4.097895145110475E-2</v>
      </c>
      <c r="K142" s="164">
        <f t="shared" si="40"/>
        <v>4.1443170145528896E-2</v>
      </c>
      <c r="L142" s="164">
        <f t="shared" si="40"/>
        <v>4.1839330904584138E-2</v>
      </c>
      <c r="M142" s="164">
        <f t="shared" si="40"/>
        <v>4.120991741370128E-2</v>
      </c>
      <c r="N142" s="164">
        <f t="shared" si="40"/>
        <v>4.0526807283250976E-2</v>
      </c>
      <c r="O142" s="164">
        <f t="shared" si="40"/>
        <v>3.9817431423002425E-2</v>
      </c>
      <c r="P142" s="164">
        <f t="shared" si="40"/>
        <v>3.9100502388172087E-2</v>
      </c>
      <c r="Q142" s="164">
        <f t="shared" si="40"/>
        <v>3.8389521745595179E-2</v>
      </c>
      <c r="R142" s="164">
        <f t="shared" si="40"/>
        <v>3.7695805482750755E-2</v>
      </c>
      <c r="S142" s="164">
        <f t="shared" si="40"/>
        <v>3.7031450976917402E-2</v>
      </c>
      <c r="T142" s="164">
        <f t="shared" si="40"/>
        <v>3.6412088164823775E-2</v>
      </c>
      <c r="U142" s="164">
        <f t="shared" si="40"/>
        <v>3.6137254870573843E-2</v>
      </c>
      <c r="V142" s="164">
        <f t="shared" si="40"/>
        <v>3.5096845884616146E-2</v>
      </c>
      <c r="W142" s="164">
        <f t="shared" si="40"/>
        <v>3.4235622913733943E-2</v>
      </c>
      <c r="X142" s="164">
        <f t="shared" si="40"/>
        <v>3.3497876420540029E-2</v>
      </c>
      <c r="Y142" s="164">
        <f t="shared" si="40"/>
        <v>3.311670492644625E-2</v>
      </c>
      <c r="Z142" s="164">
        <f t="shared" si="40"/>
        <v>3.2564377684568324E-2</v>
      </c>
      <c r="AA142" s="164">
        <f t="shared" si="40"/>
        <v>3.2013223066451157E-2</v>
      </c>
      <c r="AB142" s="164">
        <f t="shared" si="40"/>
        <v>3.1460347917981579E-2</v>
      </c>
      <c r="AC142" s="164">
        <f t="shared" si="40"/>
        <v>3.2326939383936271E-2</v>
      </c>
      <c r="AD142" s="164">
        <f t="shared" si="40"/>
        <v>3.013520741342357E-2</v>
      </c>
      <c r="AE142" s="164">
        <f t="shared" si="40"/>
        <v>2.9771272665306103E-2</v>
      </c>
      <c r="AF142" s="164">
        <f t="shared" si="40"/>
        <v>2.9385985595051789E-2</v>
      </c>
      <c r="AG142" s="164">
        <f t="shared" si="40"/>
        <v>2.8990375424520654E-2</v>
      </c>
      <c r="AH142" s="164">
        <f t="shared" si="40"/>
        <v>2.8591897039822456E-2</v>
      </c>
      <c r="AI142" s="164">
        <f t="shared" si="40"/>
        <v>2.8195536697444901E-2</v>
      </c>
      <c r="AJ142" s="164">
        <f t="shared" si="40"/>
        <v>2.7804583090782264E-2</v>
      </c>
      <c r="AK142" s="164">
        <f t="shared" si="40"/>
        <v>2.7421161316985465E-2</v>
      </c>
      <c r="AL142" s="164">
        <f t="shared" si="40"/>
        <v>2.704660107940593E-2</v>
      </c>
      <c r="AM142" s="164">
        <f t="shared" si="40"/>
        <v>2.6681689949513254E-2</v>
      </c>
      <c r="AN142" s="164">
        <f t="shared" si="40"/>
        <v>2.6326847325282898E-2</v>
      </c>
      <c r="AO142" s="164">
        <f t="shared" si="40"/>
        <v>2.5982243829847818E-2</v>
      </c>
      <c r="AP142" s="164">
        <f t="shared" si="40"/>
        <v>2.5647883228423041E-2</v>
      </c>
      <c r="AQ142" s="164">
        <f t="shared" si="40"/>
        <v>2.5323658609673672E-2</v>
      </c>
      <c r="AR142" s="164">
        <f t="shared" si="40"/>
        <v>2.5009390895661232E-2</v>
      </c>
      <c r="AS142" s="164">
        <f t="shared" si="40"/>
        <v>2.4704855212530186E-2</v>
      </c>
      <c r="AT142" s="164">
        <f t="shared" si="40"/>
        <v>2.4409798917095271E-2</v>
      </c>
      <c r="AU142" s="164">
        <f t="shared" si="40"/>
        <v>2.412395388406452E-2</v>
      </c>
      <c r="AV142" s="164">
        <f t="shared" si="40"/>
        <v>2.3847044843064102E-2</v>
      </c>
      <c r="AW142" s="164">
        <f t="shared" si="40"/>
        <v>2.3578794995615882E-2</v>
      </c>
      <c r="AX142" s="164">
        <f t="shared" si="40"/>
        <v>2.3318929758829876E-2</v>
      </c>
      <c r="AY142" s="164">
        <f t="shared" si="40"/>
        <v>2.3067179219324663E-2</v>
      </c>
      <c r="AZ142" s="164">
        <f t="shared" si="40"/>
        <v>2.2823279699966115E-2</v>
      </c>
      <c r="BA142" s="164">
        <f t="shared" si="40"/>
        <v>2.2586974717472952E-2</v>
      </c>
      <c r="BB142" s="164">
        <f t="shared" si="40"/>
        <v>2.2358015523123553E-2</v>
      </c>
      <c r="BC142" s="164">
        <f t="shared" si="40"/>
        <v>2.2136161359570972E-2</v>
      </c>
      <c r="BD142" s="164">
        <f t="shared" si="40"/>
        <v>2.1921179525827394E-2</v>
      </c>
      <c r="BE142" s="164">
        <f t="shared" si="40"/>
        <v>2.1712845314167728E-2</v>
      </c>
      <c r="BF142" s="164">
        <f t="shared" si="40"/>
        <v>2.1670391348852069E-2</v>
      </c>
      <c r="BG142" s="164">
        <f t="shared" si="40"/>
        <v>2.1405410908206468E-2</v>
      </c>
      <c r="BH142" s="164">
        <f t="shared" si="40"/>
        <v>2.0965856709559194E-2</v>
      </c>
      <c r="BI142" s="164"/>
    </row>
    <row r="143" spans="1:124" ht="0.65" customHeight="1" x14ac:dyDescent="0.35">
      <c r="A143" s="50"/>
    </row>
    <row r="144" spans="1:124" ht="21" hidden="1" customHeight="1" x14ac:dyDescent="0.35">
      <c r="A144" s="50"/>
    </row>
    <row r="145" spans="1:124" ht="21" hidden="1" customHeight="1" x14ac:dyDescent="0.35">
      <c r="A145" s="50"/>
    </row>
    <row r="146" spans="1:124" ht="21" hidden="1" customHeight="1" x14ac:dyDescent="0.35">
      <c r="A146" s="50"/>
    </row>
    <row r="147" spans="1:124" ht="21" hidden="1" customHeight="1" x14ac:dyDescent="0.35">
      <c r="A147" s="50"/>
    </row>
    <row r="148" spans="1:124" ht="21" hidden="1" customHeight="1" x14ac:dyDescent="0.35">
      <c r="A148" s="50"/>
    </row>
    <row r="149" spans="1:124" ht="21" hidden="1" customHeight="1" x14ac:dyDescent="0.35">
      <c r="A149" s="23"/>
      <c r="B149" s="3"/>
    </row>
    <row r="150" spans="1:124" ht="21" customHeight="1" thickBot="1" x14ac:dyDescent="0.4">
      <c r="A150" s="95" t="s">
        <v>339</v>
      </c>
      <c r="B150" s="3"/>
    </row>
    <row r="151" spans="1:124" ht="21" customHeight="1" thickTop="1" x14ac:dyDescent="0.35">
      <c r="A151" s="15" t="s">
        <v>237</v>
      </c>
      <c r="B151" s="3"/>
    </row>
    <row r="152" spans="1:124" ht="21" customHeight="1" x14ac:dyDescent="0.35">
      <c r="A152" s="15" t="s">
        <v>238</v>
      </c>
      <c r="B152" s="3"/>
      <c r="C152" s="3">
        <f t="shared" ref="C152:BI152" si="41">+(C53/B53)^0.2</f>
        <v>1.0116028097333745</v>
      </c>
      <c r="D152" s="3">
        <f t="shared" si="41"/>
        <v>1.0100345466701126</v>
      </c>
      <c r="E152" s="3">
        <f t="shared" si="41"/>
        <v>1.0086791622039537</v>
      </c>
      <c r="F152" s="3">
        <f t="shared" si="41"/>
        <v>1.0075075318291871</v>
      </c>
      <c r="G152" s="3">
        <f t="shared" si="41"/>
        <v>1.0064945727522834</v>
      </c>
      <c r="H152" s="3">
        <f t="shared" si="41"/>
        <v>1.0056186687743522</v>
      </c>
      <c r="I152" s="3">
        <f t="shared" si="41"/>
        <v>1.0048611805233922</v>
      </c>
      <c r="J152" s="3">
        <f t="shared" si="41"/>
        <v>1.0042060275191533</v>
      </c>
      <c r="K152" s="3">
        <f t="shared" si="41"/>
        <v>1.0036393308936822</v>
      </c>
      <c r="L152" s="3">
        <f t="shared" si="41"/>
        <v>1.0031491074812331</v>
      </c>
      <c r="M152" s="3">
        <f t="shared" si="41"/>
        <v>1.0027250075278795</v>
      </c>
      <c r="N152" s="3">
        <f t="shared" si="41"/>
        <v>1.0023580895273503</v>
      </c>
      <c r="O152" s="3">
        <f t="shared" si="41"/>
        <v>1.00204062672215</v>
      </c>
      <c r="P152" s="3">
        <f t="shared" si="41"/>
        <v>1.0017659406620689</v>
      </c>
      <c r="Q152" s="3">
        <f t="shared" si="41"/>
        <v>1.0015282579203173</v>
      </c>
      <c r="R152" s="3">
        <f t="shared" si="41"/>
        <v>1.0013225866579545</v>
      </c>
      <c r="S152" s="3">
        <f t="shared" si="41"/>
        <v>1.0011446102215715</v>
      </c>
      <c r="T152" s="3">
        <f t="shared" si="41"/>
        <v>1.0009905953745444</v>
      </c>
      <c r="U152" s="3">
        <f t="shared" si="41"/>
        <v>1.0008573131123586</v>
      </c>
      <c r="V152" s="3">
        <f t="shared" si="41"/>
        <v>1.0007419703086711</v>
      </c>
      <c r="W152" s="3">
        <f t="shared" si="41"/>
        <v>1.0006421506899126</v>
      </c>
      <c r="X152" s="3">
        <f t="shared" si="41"/>
        <v>1.0005557638497422</v>
      </c>
      <c r="Y152" s="3">
        <f t="shared" si="41"/>
        <v>1.0004810011965555</v>
      </c>
      <c r="Z152" s="3">
        <f t="shared" si="41"/>
        <v>1.00041629788252</v>
      </c>
      <c r="AA152" s="3">
        <f t="shared" si="41"/>
        <v>1.0003602998953873</v>
      </c>
      <c r="AB152" s="3">
        <f t="shared" si="41"/>
        <v>1.0003118356080356</v>
      </c>
      <c r="AC152" s="3">
        <f t="shared" si="41"/>
        <v>1.0002698911782073</v>
      </c>
      <c r="AD152" s="3">
        <f t="shared" si="41"/>
        <v>1.0002335892746335</v>
      </c>
      <c r="AE152" s="3">
        <f t="shared" si="41"/>
        <v>1.00020217067768</v>
      </c>
      <c r="AF152" s="3">
        <f t="shared" si="41"/>
        <v>1.0001749783645633</v>
      </c>
      <c r="AG152" s="3">
        <f t="shared" si="41"/>
        <v>1.0001514437424595</v>
      </c>
      <c r="AH152" s="3">
        <f t="shared" si="41"/>
        <v>1.0001310747387555</v>
      </c>
      <c r="AI152" s="3">
        <f t="shared" si="41"/>
        <v>1.0001134454972587</v>
      </c>
      <c r="AJ152" s="3">
        <f t="shared" si="41"/>
        <v>1.0000981874633217</v>
      </c>
      <c r="AK152" s="3">
        <f t="shared" si="41"/>
        <v>1.0000849816702952</v>
      </c>
      <c r="AL152" s="3">
        <f t="shared" si="41"/>
        <v>1.0000735520651485</v>
      </c>
      <c r="AM152" s="3">
        <f t="shared" si="41"/>
        <v>1.0000636597330521</v>
      </c>
      <c r="AN152" s="3">
        <f t="shared" si="41"/>
        <v>1.0000550978996956</v>
      </c>
      <c r="AO152" s="3">
        <f t="shared" si="41"/>
        <v>1.0000476876064832</v>
      </c>
      <c r="AP152" s="3">
        <f t="shared" si="41"/>
        <v>1.0000412739679339</v>
      </c>
      <c r="AQ152" s="3">
        <f t="shared" si="41"/>
        <v>1.0000357229328398</v>
      </c>
      <c r="AR152" s="3">
        <f t="shared" si="41"/>
        <v>1.000030918481331</v>
      </c>
      <c r="AS152" s="3">
        <f t="shared" si="41"/>
        <v>1.0000267601991399</v>
      </c>
      <c r="AT152" s="3">
        <f t="shared" si="41"/>
        <v>1.0000231611782795</v>
      </c>
      <c r="AU152" s="3">
        <f t="shared" si="41"/>
        <v>1.0000200462001916</v>
      </c>
      <c r="AV152" s="3">
        <f t="shared" si="41"/>
        <v>1.0000173501633398</v>
      </c>
      <c r="AW152" s="3">
        <f t="shared" si="41"/>
        <v>1.0000150167223523</v>
      </c>
      <c r="AX152" s="3">
        <f t="shared" si="41"/>
        <v>1.0000129971102385</v>
      </c>
      <c r="AY152" s="3">
        <f t="shared" si="41"/>
        <v>1.0000112491190509</v>
      </c>
      <c r="AZ152" s="3">
        <f t="shared" si="41"/>
        <v>1.000009736217665</v>
      </c>
      <c r="BA152" s="3">
        <f t="shared" si="41"/>
        <v>1.0000084267882341</v>
      </c>
      <c r="BB152" s="3">
        <f t="shared" si="41"/>
        <v>1.0000072934653517</v>
      </c>
      <c r="BC152" s="3">
        <f t="shared" si="41"/>
        <v>1.0000063125641003</v>
      </c>
      <c r="BD152" s="3">
        <f t="shared" si="41"/>
        <v>1.0000054635850353</v>
      </c>
      <c r="BE152" s="3">
        <f t="shared" si="41"/>
        <v>1.0000047287857465</v>
      </c>
      <c r="BF152" s="3">
        <f t="shared" si="41"/>
        <v>1.0000040928100502</v>
      </c>
      <c r="BG152" s="3">
        <f t="shared" si="41"/>
        <v>1.0000035423670515</v>
      </c>
      <c r="BH152" s="3">
        <f t="shared" si="41"/>
        <v>1.0000030659533765</v>
      </c>
      <c r="BI152" s="3">
        <f t="shared" si="41"/>
        <v>1.0000026536127598</v>
      </c>
    </row>
    <row r="153" spans="1:124" ht="21" customHeight="1" x14ac:dyDescent="0.35">
      <c r="A153" s="15" t="s">
        <v>239</v>
      </c>
      <c r="B153" s="3"/>
      <c r="C153" s="3">
        <f t="shared" ref="C153:BI153" si="42">+(B18/C18)^0.2</f>
        <v>1.0149999999999999</v>
      </c>
      <c r="D153" s="3">
        <f t="shared" si="42"/>
        <v>1.0149999999999999</v>
      </c>
      <c r="E153" s="3">
        <f t="shared" si="42"/>
        <v>1.0149999999999999</v>
      </c>
      <c r="F153" s="3">
        <f t="shared" si="42"/>
        <v>1.0149999999999999</v>
      </c>
      <c r="G153" s="3">
        <f t="shared" si="42"/>
        <v>1.0149999999999999</v>
      </c>
      <c r="H153" s="3">
        <f t="shared" si="42"/>
        <v>1.0149999999999999</v>
      </c>
      <c r="I153" s="3">
        <f t="shared" si="42"/>
        <v>1.0149999999999999</v>
      </c>
      <c r="J153" s="3">
        <f t="shared" si="42"/>
        <v>1.0149999999999999</v>
      </c>
      <c r="K153" s="3">
        <f t="shared" si="42"/>
        <v>1.0149999999999999</v>
      </c>
      <c r="L153" s="3">
        <f t="shared" si="42"/>
        <v>1.0149999999999999</v>
      </c>
      <c r="M153" s="3">
        <f t="shared" si="42"/>
        <v>1.0149999999999999</v>
      </c>
      <c r="N153" s="3">
        <f t="shared" si="42"/>
        <v>1.0149999999999999</v>
      </c>
      <c r="O153" s="3">
        <f t="shared" si="42"/>
        <v>1.0149999999999999</v>
      </c>
      <c r="P153" s="3">
        <f t="shared" si="42"/>
        <v>1.0149999999999999</v>
      </c>
      <c r="Q153" s="3">
        <f t="shared" si="42"/>
        <v>1.0149999999999999</v>
      </c>
      <c r="R153" s="3">
        <f t="shared" si="42"/>
        <v>1.0149999999999999</v>
      </c>
      <c r="S153" s="3">
        <f t="shared" si="42"/>
        <v>1.0149999999999999</v>
      </c>
      <c r="T153" s="3">
        <f t="shared" si="42"/>
        <v>1.0149999999999999</v>
      </c>
      <c r="U153" s="3">
        <f t="shared" si="42"/>
        <v>1.0149999999999999</v>
      </c>
      <c r="V153" s="3">
        <f t="shared" si="42"/>
        <v>1.0149999999999999</v>
      </c>
      <c r="W153" s="3">
        <f t="shared" si="42"/>
        <v>1.0149999999999999</v>
      </c>
      <c r="X153" s="3">
        <f t="shared" si="42"/>
        <v>1.0149999999999999</v>
      </c>
      <c r="Y153" s="3">
        <f t="shared" si="42"/>
        <v>1.0149999999999999</v>
      </c>
      <c r="Z153" s="3">
        <f t="shared" si="42"/>
        <v>1.0149999999999999</v>
      </c>
      <c r="AA153" s="3">
        <f t="shared" si="42"/>
        <v>1.0149999999999999</v>
      </c>
      <c r="AB153" s="3">
        <f t="shared" si="42"/>
        <v>1.0149999999999999</v>
      </c>
      <c r="AC153" s="3">
        <f t="shared" si="42"/>
        <v>1.0149999999999999</v>
      </c>
      <c r="AD153" s="3">
        <f t="shared" si="42"/>
        <v>1.0149999999999999</v>
      </c>
      <c r="AE153" s="3">
        <f t="shared" si="42"/>
        <v>1.0149999999999999</v>
      </c>
      <c r="AF153" s="3">
        <f t="shared" si="42"/>
        <v>1.0149999999999999</v>
      </c>
      <c r="AG153" s="3">
        <f t="shared" si="42"/>
        <v>1.0149999999999999</v>
      </c>
      <c r="AH153" s="3">
        <f t="shared" si="42"/>
        <v>1.0149999999999999</v>
      </c>
      <c r="AI153" s="3">
        <f t="shared" si="42"/>
        <v>1.0149999999999999</v>
      </c>
      <c r="AJ153" s="3">
        <f t="shared" si="42"/>
        <v>1.0149999999999999</v>
      </c>
      <c r="AK153" s="3">
        <f t="shared" si="42"/>
        <v>1.0149999999999999</v>
      </c>
      <c r="AL153" s="3">
        <f t="shared" si="42"/>
        <v>1.0149999999999999</v>
      </c>
      <c r="AM153" s="3">
        <f t="shared" si="42"/>
        <v>1.0149999999999999</v>
      </c>
      <c r="AN153" s="3">
        <f t="shared" si="42"/>
        <v>1.0149999999999999</v>
      </c>
      <c r="AO153" s="3">
        <f t="shared" si="42"/>
        <v>1.0149999999999999</v>
      </c>
      <c r="AP153" s="3">
        <f t="shared" si="42"/>
        <v>1.0149999999999999</v>
      </c>
      <c r="AQ153" s="3">
        <f t="shared" si="42"/>
        <v>1.0149999999999999</v>
      </c>
      <c r="AR153" s="3">
        <f t="shared" si="42"/>
        <v>1.0149999999999999</v>
      </c>
      <c r="AS153" s="3">
        <f t="shared" si="42"/>
        <v>1.0149999999999999</v>
      </c>
      <c r="AT153" s="3">
        <f t="shared" si="42"/>
        <v>1.0149999999999999</v>
      </c>
      <c r="AU153" s="3">
        <f t="shared" si="42"/>
        <v>1.0149999999999999</v>
      </c>
      <c r="AV153" s="3">
        <f t="shared" si="42"/>
        <v>1.0149999999999999</v>
      </c>
      <c r="AW153" s="3">
        <f t="shared" si="42"/>
        <v>1.0149999999999999</v>
      </c>
      <c r="AX153" s="3">
        <f t="shared" si="42"/>
        <v>1.0149999999999999</v>
      </c>
      <c r="AY153" s="3">
        <f t="shared" si="42"/>
        <v>1.0149999999999999</v>
      </c>
      <c r="AZ153" s="3">
        <f t="shared" si="42"/>
        <v>1.0149999999999999</v>
      </c>
      <c r="BA153" s="3">
        <f t="shared" si="42"/>
        <v>1.0149999999999999</v>
      </c>
      <c r="BB153" s="3">
        <f t="shared" si="42"/>
        <v>1.0149999999999999</v>
      </c>
      <c r="BC153" s="3">
        <f t="shared" si="42"/>
        <v>1.0149999999999999</v>
      </c>
      <c r="BD153" s="3">
        <f t="shared" si="42"/>
        <v>1.0149999999999999</v>
      </c>
      <c r="BE153" s="3">
        <f t="shared" si="42"/>
        <v>1.0149999999999999</v>
      </c>
      <c r="BF153" s="3">
        <f t="shared" si="42"/>
        <v>1.0149999999999999</v>
      </c>
      <c r="BG153" s="3">
        <f t="shared" si="42"/>
        <v>1.0149999999999999</v>
      </c>
      <c r="BH153" s="3">
        <f t="shared" si="42"/>
        <v>1.0149999999999999</v>
      </c>
      <c r="BI153" s="3">
        <f t="shared" si="42"/>
        <v>1.0149999999999999</v>
      </c>
    </row>
    <row r="154" spans="1:124" ht="21" customHeight="1" x14ac:dyDescent="0.35">
      <c r="A154" s="15" t="s">
        <v>240</v>
      </c>
      <c r="B154" s="3"/>
      <c r="C154" s="3">
        <f t="shared" ref="C154:BI154" si="43">+((C127/B127)^($B$19))^0.2</f>
        <v>1.0355229730431879</v>
      </c>
      <c r="D154" s="3">
        <f t="shared" si="43"/>
        <v>1.0348658316716439</v>
      </c>
      <c r="E154" s="3">
        <f t="shared" si="43"/>
        <v>1.0337294022517731</v>
      </c>
      <c r="F154" s="3">
        <f t="shared" si="43"/>
        <v>1.03249266721127</v>
      </c>
      <c r="G154" s="3">
        <f t="shared" si="43"/>
        <v>1.0311978323672788</v>
      </c>
      <c r="H154" s="3">
        <f t="shared" si="43"/>
        <v>1.0298619805452811</v>
      </c>
      <c r="I154" s="3">
        <f t="shared" si="43"/>
        <v>1.0284891168271595</v>
      </c>
      <c r="J154" s="3">
        <f t="shared" si="43"/>
        <v>1.0270723553783851</v>
      </c>
      <c r="K154" s="3">
        <f t="shared" si="43"/>
        <v>1.0255950260602018</v>
      </c>
      <c r="L154" s="3">
        <f t="shared" si="43"/>
        <v>1.0260523843798315</v>
      </c>
      <c r="M154" s="3">
        <f t="shared" si="43"/>
        <v>1.0264426905463884</v>
      </c>
      <c r="N154" s="3">
        <f t="shared" si="43"/>
        <v>1.0258225787327107</v>
      </c>
      <c r="O154" s="3">
        <f t="shared" si="43"/>
        <v>1.0251495638258632</v>
      </c>
      <c r="P154" s="3">
        <f t="shared" si="43"/>
        <v>1.024450671352712</v>
      </c>
      <c r="Q154" s="3">
        <f t="shared" si="43"/>
        <v>1.0237443373282484</v>
      </c>
      <c r="R154" s="3">
        <f t="shared" si="43"/>
        <v>1.0230438637887638</v>
      </c>
      <c r="S154" s="3">
        <f t="shared" si="43"/>
        <v>1.0223603994903949</v>
      </c>
      <c r="T154" s="3">
        <f t="shared" si="43"/>
        <v>1.0217058630314457</v>
      </c>
      <c r="U154" s="3">
        <f t="shared" si="43"/>
        <v>1.0210956533643585</v>
      </c>
      <c r="V154" s="3">
        <f t="shared" si="43"/>
        <v>1.0208248816458856</v>
      </c>
      <c r="W154" s="3">
        <f t="shared" si="43"/>
        <v>1.0197998481621835</v>
      </c>
      <c r="X154" s="3">
        <f t="shared" si="43"/>
        <v>1.0189513526243685</v>
      </c>
      <c r="Y154" s="3">
        <f t="shared" si="43"/>
        <v>1.0182245087887094</v>
      </c>
      <c r="Z154" s="3">
        <f t="shared" si="43"/>
        <v>1.0178489703708831</v>
      </c>
      <c r="AA154" s="3">
        <f t="shared" si="43"/>
        <v>1.01730480560056</v>
      </c>
      <c r="AB154" s="3">
        <f t="shared" si="43"/>
        <v>1.0167617961245825</v>
      </c>
      <c r="AC154" s="3">
        <f t="shared" si="43"/>
        <v>1.0162170915448094</v>
      </c>
      <c r="AD154" s="3">
        <f t="shared" si="43"/>
        <v>1.0170708762403313</v>
      </c>
      <c r="AE154" s="3">
        <f t="shared" si="43"/>
        <v>1.0149115343974617</v>
      </c>
      <c r="AF154" s="3">
        <f t="shared" si="43"/>
        <v>1.0145529779953755</v>
      </c>
      <c r="AG154" s="3">
        <f t="shared" si="43"/>
        <v>1.0141733848227112</v>
      </c>
      <c r="AH154" s="3">
        <f t="shared" si="43"/>
        <v>1.0137836211079023</v>
      </c>
      <c r="AI154" s="3">
        <f t="shared" si="43"/>
        <v>1.0133910315663277</v>
      </c>
      <c r="AJ154" s="3">
        <f t="shared" si="43"/>
        <v>1.0130005287659556</v>
      </c>
      <c r="AK154" s="3">
        <f t="shared" si="43"/>
        <v>1.0126153527988004</v>
      </c>
      <c r="AL154" s="3">
        <f t="shared" si="43"/>
        <v>1.012237597356636</v>
      </c>
      <c r="AM154" s="3">
        <f t="shared" si="43"/>
        <v>1.0118685724920256</v>
      </c>
      <c r="AN154" s="3">
        <f t="shared" si="43"/>
        <v>1.0115090541374516</v>
      </c>
      <c r="AO154" s="3">
        <f t="shared" si="43"/>
        <v>1.0111594554928895</v>
      </c>
      <c r="AP154" s="3">
        <f t="shared" si="43"/>
        <v>1.0108199446599486</v>
      </c>
      <c r="AQ154" s="3">
        <f t="shared" si="43"/>
        <v>1.0104905253482002</v>
      </c>
      <c r="AR154" s="3">
        <f t="shared" si="43"/>
        <v>1.0101710922262797</v>
      </c>
      <c r="AS154" s="3">
        <f t="shared" si="43"/>
        <v>1.0098614688627205</v>
      </c>
      <c r="AT154" s="3">
        <f t="shared" si="43"/>
        <v>1.0095614337069263</v>
      </c>
      <c r="AU154" s="3">
        <f t="shared" si="43"/>
        <v>1.0092707378493551</v>
      </c>
      <c r="AV154" s="3">
        <f t="shared" si="43"/>
        <v>1.0089891171271572</v>
      </c>
      <c r="AW154" s="3">
        <f t="shared" si="43"/>
        <v>1.0087163003379942</v>
      </c>
      <c r="AX154" s="3">
        <f t="shared" si="43"/>
        <v>1.0084520147740059</v>
      </c>
      <c r="AY154" s="3">
        <f t="shared" si="43"/>
        <v>1.0081959899101773</v>
      </c>
      <c r="AZ154" s="3">
        <f t="shared" si="43"/>
        <v>1.0079479598219949</v>
      </c>
      <c r="BA154" s="3">
        <f t="shared" si="43"/>
        <v>1.0077076647290308</v>
      </c>
      <c r="BB154" s="3">
        <f t="shared" si="43"/>
        <v>1.0074748519383971</v>
      </c>
      <c r="BC154" s="3">
        <f t="shared" si="43"/>
        <v>1.0072492763774616</v>
      </c>
      <c r="BD154" s="3">
        <f t="shared" si="43"/>
        <v>1.007030700846868</v>
      </c>
      <c r="BE154" s="3">
        <f t="shared" si="43"/>
        <v>1.0068188960845592</v>
      </c>
      <c r="BF154" s="3">
        <f t="shared" si="43"/>
        <v>1.0066136407036137</v>
      </c>
      <c r="BG154" s="3">
        <f t="shared" si="43"/>
        <v>1.0065718141368001</v>
      </c>
      <c r="BH154" s="3">
        <f t="shared" si="43"/>
        <v>1.0063107496632577</v>
      </c>
      <c r="BI154" s="3">
        <f t="shared" si="43"/>
        <v>1.0058776913394674</v>
      </c>
    </row>
    <row r="155" spans="1:124" ht="21" customHeight="1" x14ac:dyDescent="0.35">
      <c r="A155" s="15" t="s">
        <v>241</v>
      </c>
      <c r="B155" s="3"/>
      <c r="C155" s="3">
        <f>+C154*C153</f>
        <v>1.0510558176388356</v>
      </c>
      <c r="D155" s="3">
        <f t="shared" ref="D155:BI155" si="44">+D154*D153</f>
        <v>1.0503888191467186</v>
      </c>
      <c r="E155" s="3">
        <f t="shared" si="44"/>
        <v>1.0492353432855497</v>
      </c>
      <c r="F155" s="3">
        <f t="shared" si="44"/>
        <v>1.0479800572194389</v>
      </c>
      <c r="G155" s="3">
        <f t="shared" si="44"/>
        <v>1.046665799852788</v>
      </c>
      <c r="H155" s="3">
        <f t="shared" si="44"/>
        <v>1.0453099102534602</v>
      </c>
      <c r="I155" s="3">
        <f t="shared" si="44"/>
        <v>1.0439164535795669</v>
      </c>
      <c r="J155" s="3">
        <f t="shared" si="44"/>
        <v>1.0424784407090608</v>
      </c>
      <c r="K155" s="3">
        <f t="shared" si="44"/>
        <v>1.0409789514511048</v>
      </c>
      <c r="L155" s="3">
        <f t="shared" si="44"/>
        <v>1.0414431701455289</v>
      </c>
      <c r="M155" s="3">
        <f t="shared" si="44"/>
        <v>1.0418393309045841</v>
      </c>
      <c r="N155" s="3">
        <f t="shared" si="44"/>
        <v>1.0412099174137013</v>
      </c>
      <c r="O155" s="3">
        <f t="shared" si="44"/>
        <v>1.040526807283251</v>
      </c>
      <c r="P155" s="3">
        <f t="shared" si="44"/>
        <v>1.0398174314230024</v>
      </c>
      <c r="Q155" s="3">
        <f t="shared" si="44"/>
        <v>1.0391005023881721</v>
      </c>
      <c r="R155" s="3">
        <f t="shared" si="44"/>
        <v>1.0383895217455952</v>
      </c>
      <c r="S155" s="3">
        <f t="shared" si="44"/>
        <v>1.0376958054827508</v>
      </c>
      <c r="T155" s="3">
        <f t="shared" si="44"/>
        <v>1.0370314509769174</v>
      </c>
      <c r="U155" s="3">
        <f t="shared" si="44"/>
        <v>1.0364120881648238</v>
      </c>
      <c r="V155" s="3">
        <f t="shared" si="44"/>
        <v>1.0361372548705738</v>
      </c>
      <c r="W155" s="3">
        <f t="shared" si="44"/>
        <v>1.0350968458846161</v>
      </c>
      <c r="X155" s="3">
        <f t="shared" si="44"/>
        <v>1.0342356229137339</v>
      </c>
      <c r="Y155" s="3">
        <f t="shared" si="44"/>
        <v>1.03349787642054</v>
      </c>
      <c r="Z155" s="3">
        <f t="shared" si="44"/>
        <v>1.0331167049264462</v>
      </c>
      <c r="AA155" s="3">
        <f t="shared" si="44"/>
        <v>1.0325643776845683</v>
      </c>
      <c r="AB155" s="3">
        <f t="shared" si="44"/>
        <v>1.0320132230664512</v>
      </c>
      <c r="AC155" s="3">
        <f t="shared" si="44"/>
        <v>1.0314603479179816</v>
      </c>
      <c r="AD155" s="3">
        <f t="shared" si="44"/>
        <v>1.0323269393839363</v>
      </c>
      <c r="AE155" s="3">
        <f t="shared" si="44"/>
        <v>1.0301352074134236</v>
      </c>
      <c r="AF155" s="3">
        <f t="shared" si="44"/>
        <v>1.0297712726653061</v>
      </c>
      <c r="AG155" s="3">
        <f t="shared" si="44"/>
        <v>1.0293859855950518</v>
      </c>
      <c r="AH155" s="3">
        <f t="shared" si="44"/>
        <v>1.0289903754245207</v>
      </c>
      <c r="AI155" s="3">
        <f t="shared" si="44"/>
        <v>1.0285918970398225</v>
      </c>
      <c r="AJ155" s="3">
        <f t="shared" si="44"/>
        <v>1.0281955366974449</v>
      </c>
      <c r="AK155" s="3">
        <f t="shared" si="44"/>
        <v>1.0278045830907823</v>
      </c>
      <c r="AL155" s="3">
        <f t="shared" si="44"/>
        <v>1.0274211613169855</v>
      </c>
      <c r="AM155" s="3">
        <f t="shared" si="44"/>
        <v>1.0270466010794059</v>
      </c>
      <c r="AN155" s="3">
        <f t="shared" si="44"/>
        <v>1.0266816899495133</v>
      </c>
      <c r="AO155" s="3">
        <f t="shared" si="44"/>
        <v>1.0263268473252829</v>
      </c>
      <c r="AP155" s="3">
        <f t="shared" si="44"/>
        <v>1.0259822438298478</v>
      </c>
      <c r="AQ155" s="3">
        <f t="shared" si="44"/>
        <v>1.025647883228423</v>
      </c>
      <c r="AR155" s="3">
        <f t="shared" si="44"/>
        <v>1.0253236586096737</v>
      </c>
      <c r="AS155" s="3">
        <f t="shared" si="44"/>
        <v>1.0250093908956612</v>
      </c>
      <c r="AT155" s="3">
        <f t="shared" si="44"/>
        <v>1.0247048552125302</v>
      </c>
      <c r="AU155" s="3">
        <f t="shared" si="44"/>
        <v>1.0244097989170953</v>
      </c>
      <c r="AV155" s="3">
        <f t="shared" si="44"/>
        <v>1.0241239538840645</v>
      </c>
      <c r="AW155" s="3">
        <f t="shared" si="44"/>
        <v>1.0238470448430641</v>
      </c>
      <c r="AX155" s="3">
        <f t="shared" si="44"/>
        <v>1.0235787949956159</v>
      </c>
      <c r="AY155" s="3">
        <f t="shared" si="44"/>
        <v>1.0233189297588299</v>
      </c>
      <c r="AZ155" s="3">
        <f t="shared" si="44"/>
        <v>1.0230671792193247</v>
      </c>
      <c r="BA155" s="3">
        <f t="shared" si="44"/>
        <v>1.0228232796999661</v>
      </c>
      <c r="BB155" s="3">
        <f t="shared" si="44"/>
        <v>1.022586974717473</v>
      </c>
      <c r="BC155" s="3">
        <f t="shared" si="44"/>
        <v>1.0223580155231236</v>
      </c>
      <c r="BD155" s="3">
        <f t="shared" si="44"/>
        <v>1.022136161359571</v>
      </c>
      <c r="BE155" s="3">
        <f t="shared" si="44"/>
        <v>1.0219211795258274</v>
      </c>
      <c r="BF155" s="3">
        <f t="shared" si="44"/>
        <v>1.0217128453141677</v>
      </c>
      <c r="BG155" s="3">
        <f t="shared" si="44"/>
        <v>1.0216703913488521</v>
      </c>
      <c r="BH155" s="3">
        <f t="shared" si="44"/>
        <v>1.0214054109082065</v>
      </c>
      <c r="BI155" s="3">
        <f t="shared" si="44"/>
        <v>1.0209658567095592</v>
      </c>
    </row>
    <row r="156" spans="1:124" ht="21" customHeight="1" x14ac:dyDescent="0.35">
      <c r="A156" s="15" t="s">
        <v>4</v>
      </c>
      <c r="B156" s="3"/>
      <c r="C156" s="3">
        <f>+C155-1</f>
        <v>5.1055817638835599E-2</v>
      </c>
      <c r="D156" s="3">
        <f t="shared" ref="D156:BI156" si="45">+D155-1</f>
        <v>5.0388819146718555E-2</v>
      </c>
      <c r="E156" s="3">
        <f t="shared" si="45"/>
        <v>4.9235343285549682E-2</v>
      </c>
      <c r="F156" s="3">
        <f t="shared" si="45"/>
        <v>4.7980057219438876E-2</v>
      </c>
      <c r="G156" s="3">
        <f t="shared" si="45"/>
        <v>4.6665799852787959E-2</v>
      </c>
      <c r="H156" s="3">
        <f t="shared" si="45"/>
        <v>4.5309910253460206E-2</v>
      </c>
      <c r="I156" s="3">
        <f t="shared" si="45"/>
        <v>4.3916453579566861E-2</v>
      </c>
      <c r="J156" s="3">
        <f t="shared" si="45"/>
        <v>4.2478440709060816E-2</v>
      </c>
      <c r="K156" s="3">
        <f t="shared" si="45"/>
        <v>4.097895145110475E-2</v>
      </c>
      <c r="L156" s="3">
        <f t="shared" si="45"/>
        <v>4.1443170145528896E-2</v>
      </c>
      <c r="M156" s="3">
        <f t="shared" si="45"/>
        <v>4.1839330904584138E-2</v>
      </c>
      <c r="N156" s="3">
        <f t="shared" si="45"/>
        <v>4.120991741370128E-2</v>
      </c>
      <c r="O156" s="3">
        <f t="shared" si="45"/>
        <v>4.0526807283250976E-2</v>
      </c>
      <c r="P156" s="3">
        <f t="shared" si="45"/>
        <v>3.9817431423002425E-2</v>
      </c>
      <c r="Q156" s="3">
        <f t="shared" si="45"/>
        <v>3.9100502388172087E-2</v>
      </c>
      <c r="R156" s="3">
        <f t="shared" si="45"/>
        <v>3.8389521745595179E-2</v>
      </c>
      <c r="S156" s="3">
        <f t="shared" si="45"/>
        <v>3.7695805482750755E-2</v>
      </c>
      <c r="T156" s="3">
        <f t="shared" si="45"/>
        <v>3.7031450976917402E-2</v>
      </c>
      <c r="U156" s="3">
        <f t="shared" si="45"/>
        <v>3.6412088164823775E-2</v>
      </c>
      <c r="V156" s="3">
        <f t="shared" si="45"/>
        <v>3.6137254870573843E-2</v>
      </c>
      <c r="W156" s="3">
        <f t="shared" si="45"/>
        <v>3.5096845884616146E-2</v>
      </c>
      <c r="X156" s="3">
        <f t="shared" si="45"/>
        <v>3.4235622913733943E-2</v>
      </c>
      <c r="Y156" s="3">
        <f t="shared" si="45"/>
        <v>3.3497876420540029E-2</v>
      </c>
      <c r="Z156" s="3">
        <f t="shared" si="45"/>
        <v>3.311670492644625E-2</v>
      </c>
      <c r="AA156" s="3">
        <f t="shared" si="45"/>
        <v>3.2564377684568324E-2</v>
      </c>
      <c r="AB156" s="3">
        <f t="shared" si="45"/>
        <v>3.2013223066451157E-2</v>
      </c>
      <c r="AC156" s="3">
        <f t="shared" si="45"/>
        <v>3.1460347917981579E-2</v>
      </c>
      <c r="AD156" s="3">
        <f t="shared" si="45"/>
        <v>3.2326939383936271E-2</v>
      </c>
      <c r="AE156" s="3">
        <f t="shared" si="45"/>
        <v>3.013520741342357E-2</v>
      </c>
      <c r="AF156" s="3">
        <f t="shared" si="45"/>
        <v>2.9771272665306103E-2</v>
      </c>
      <c r="AG156" s="3">
        <f t="shared" si="45"/>
        <v>2.9385985595051789E-2</v>
      </c>
      <c r="AH156" s="3">
        <f t="shared" si="45"/>
        <v>2.8990375424520654E-2</v>
      </c>
      <c r="AI156" s="3">
        <f t="shared" si="45"/>
        <v>2.8591897039822456E-2</v>
      </c>
      <c r="AJ156" s="3">
        <f t="shared" si="45"/>
        <v>2.8195536697444901E-2</v>
      </c>
      <c r="AK156" s="3">
        <f t="shared" si="45"/>
        <v>2.7804583090782264E-2</v>
      </c>
      <c r="AL156" s="3">
        <f t="shared" si="45"/>
        <v>2.7421161316985465E-2</v>
      </c>
      <c r="AM156" s="3">
        <f t="shared" si="45"/>
        <v>2.704660107940593E-2</v>
      </c>
      <c r="AN156" s="3">
        <f t="shared" si="45"/>
        <v>2.6681689949513254E-2</v>
      </c>
      <c r="AO156" s="3">
        <f t="shared" si="45"/>
        <v>2.6326847325282898E-2</v>
      </c>
      <c r="AP156" s="3">
        <f t="shared" si="45"/>
        <v>2.5982243829847818E-2</v>
      </c>
      <c r="AQ156" s="3">
        <f t="shared" si="45"/>
        <v>2.5647883228423041E-2</v>
      </c>
      <c r="AR156" s="3">
        <f t="shared" si="45"/>
        <v>2.5323658609673672E-2</v>
      </c>
      <c r="AS156" s="3">
        <f t="shared" si="45"/>
        <v>2.5009390895661232E-2</v>
      </c>
      <c r="AT156" s="3">
        <f t="shared" si="45"/>
        <v>2.4704855212530186E-2</v>
      </c>
      <c r="AU156" s="3">
        <f t="shared" si="45"/>
        <v>2.4409798917095271E-2</v>
      </c>
      <c r="AV156" s="3">
        <f t="shared" si="45"/>
        <v>2.412395388406452E-2</v>
      </c>
      <c r="AW156" s="3">
        <f t="shared" si="45"/>
        <v>2.3847044843064102E-2</v>
      </c>
      <c r="AX156" s="3">
        <f t="shared" si="45"/>
        <v>2.3578794995615882E-2</v>
      </c>
      <c r="AY156" s="3">
        <f t="shared" si="45"/>
        <v>2.3318929758829876E-2</v>
      </c>
      <c r="AZ156" s="3">
        <f t="shared" si="45"/>
        <v>2.3067179219324663E-2</v>
      </c>
      <c r="BA156" s="3">
        <f t="shared" si="45"/>
        <v>2.2823279699966115E-2</v>
      </c>
      <c r="BB156" s="3">
        <f t="shared" si="45"/>
        <v>2.2586974717472952E-2</v>
      </c>
      <c r="BC156" s="3">
        <f t="shared" si="45"/>
        <v>2.2358015523123553E-2</v>
      </c>
      <c r="BD156" s="3">
        <f t="shared" si="45"/>
        <v>2.2136161359570972E-2</v>
      </c>
      <c r="BE156" s="3">
        <f t="shared" si="45"/>
        <v>2.1921179525827394E-2</v>
      </c>
      <c r="BF156" s="3">
        <f t="shared" si="45"/>
        <v>2.1712845314167728E-2</v>
      </c>
      <c r="BG156" s="3">
        <f t="shared" si="45"/>
        <v>2.1670391348852069E-2</v>
      </c>
      <c r="BH156" s="3">
        <f t="shared" si="45"/>
        <v>2.1405410908206468E-2</v>
      </c>
      <c r="BI156" s="3">
        <f t="shared" si="45"/>
        <v>2.0965856709559194E-2</v>
      </c>
    </row>
    <row r="157" spans="1:124" ht="21" customHeight="1" x14ac:dyDescent="0.35">
      <c r="A157" s="15" t="s">
        <v>242</v>
      </c>
      <c r="B157" s="3"/>
      <c r="C157" s="3">
        <f t="shared" ref="C157:BI157" si="46">+C152*C154*(1+B16)-1</f>
        <v>6.3251018310055418E-2</v>
      </c>
      <c r="D157" s="3">
        <f t="shared" si="46"/>
        <v>4.5250241156857829E-2</v>
      </c>
      <c r="E157" s="3">
        <f t="shared" si="46"/>
        <v>4.2701307408912426E-2</v>
      </c>
      <c r="F157" s="3">
        <f t="shared" si="46"/>
        <v>4.0244138773760874E-2</v>
      </c>
      <c r="G157" s="3">
        <f t="shared" si="46"/>
        <v>3.7895021711584986E-2</v>
      </c>
      <c r="H157" s="3">
        <f t="shared" si="46"/>
        <v>3.5648433897263354E-2</v>
      </c>
      <c r="I157" s="3">
        <f t="shared" si="46"/>
        <v>3.3488788090400456E-2</v>
      </c>
      <c r="J157" s="3">
        <f t="shared" si="46"/>
        <v>3.139224996926826E-2</v>
      </c>
      <c r="K157" s="3">
        <f t="shared" si="46"/>
        <v>2.9327505722949399E-2</v>
      </c>
      <c r="L157" s="3">
        <f t="shared" si="46"/>
        <v>2.9283533619619107E-2</v>
      </c>
      <c r="M157" s="3">
        <f t="shared" si="46"/>
        <v>2.9239754605064228E-2</v>
      </c>
      <c r="N157" s="3">
        <f t="shared" si="46"/>
        <v>2.8241560212539651E-2</v>
      </c>
      <c r="O157" s="3">
        <f t="shared" si="46"/>
        <v>2.7241511420006637E-2</v>
      </c>
      <c r="P157" s="3">
        <f t="shared" si="46"/>
        <v>2.6259790449537412E-2</v>
      </c>
      <c r="Q157" s="3">
        <f t="shared" si="46"/>
        <v>2.5308882720150416E-2</v>
      </c>
      <c r="R157" s="3">
        <f t="shared" si="46"/>
        <v>2.4396927953513003E-2</v>
      </c>
      <c r="S157" s="3">
        <f t="shared" si="46"/>
        <v>2.3530603653781679E-2</v>
      </c>
      <c r="T157" s="3">
        <f t="shared" si="46"/>
        <v>2.2717960133509463E-2</v>
      </c>
      <c r="U157" s="3">
        <f t="shared" si="46"/>
        <v>2.1971052056960039E-2</v>
      </c>
      <c r="V157" s="3">
        <f t="shared" si="46"/>
        <v>2.1582303398419489E-2</v>
      </c>
      <c r="W157" s="3">
        <f t="shared" si="46"/>
        <v>2.045471333825355E-2</v>
      </c>
      <c r="X157" s="3">
        <f t="shared" si="46"/>
        <v>1.9517648950803101E-2</v>
      </c>
      <c r="Y157" s="3">
        <f t="shared" si="46"/>
        <v>1.8714275995798779E-2</v>
      </c>
      <c r="Z157" s="3">
        <f t="shared" si="46"/>
        <v>1.8272698741973681E-2</v>
      </c>
      <c r="AA157" s="3">
        <f t="shared" si="46"/>
        <v>1.7671340415595038E-2</v>
      </c>
      <c r="AB157" s="3">
        <f t="shared" si="46"/>
        <v>1.7078858657504359E-2</v>
      </c>
      <c r="AC157" s="3">
        <f t="shared" si="46"/>
        <v>1.6491359572960773E-2</v>
      </c>
      <c r="AD157" s="3">
        <f t="shared" si="46"/>
        <v>1.7308453088563214E-2</v>
      </c>
      <c r="AE157" s="3">
        <f t="shared" si="46"/>
        <v>1.5116719750156049E-2</v>
      </c>
      <c r="AF157" s="3">
        <f t="shared" si="46"/>
        <v>1.4730502816227897E-2</v>
      </c>
      <c r="AG157" s="3">
        <f t="shared" si="46"/>
        <v>1.4326975035611644E-2</v>
      </c>
      <c r="AH157" s="3">
        <f t="shared" si="46"/>
        <v>1.3916502531193586E-2</v>
      </c>
      <c r="AI157" s="3">
        <f t="shared" si="46"/>
        <v>1.350599621582127E-2</v>
      </c>
      <c r="AJ157" s="3">
        <f t="shared" si="46"/>
        <v>1.3099992718218711E-2</v>
      </c>
      <c r="AK157" s="3">
        <f t="shared" si="46"/>
        <v>1.2701406542847904E-2</v>
      </c>
      <c r="AL157" s="3">
        <f t="shared" si="46"/>
        <v>1.231204952234255E-2</v>
      </c>
      <c r="AM157" s="3">
        <f t="shared" si="46"/>
        <v>1.1932987775234327E-2</v>
      </c>
      <c r="AN157" s="3">
        <f t="shared" si="46"/>
        <v>1.1564786161857743E-2</v>
      </c>
      <c r="AO157" s="3">
        <f t="shared" si="46"/>
        <v>1.1207675267094874E-2</v>
      </c>
      <c r="AP157" s="3">
        <f t="shared" si="46"/>
        <v>1.086166520993137E-2</v>
      </c>
      <c r="AQ157" s="3">
        <f t="shared" si="46"/>
        <v>1.0526623033372484E-2</v>
      </c>
      <c r="AR157" s="3">
        <f t="shared" si="46"/>
        <v>1.020232518233577E-2</v>
      </c>
      <c r="AS157" s="3">
        <f t="shared" si="46"/>
        <v>9.8884929567311097E-3</v>
      </c>
      <c r="AT157" s="3">
        <f t="shared" si="46"/>
        <v>9.5848163392764363E-3</v>
      </c>
      <c r="AU157" s="3">
        <f t="shared" si="46"/>
        <v>9.2909698926135764E-3</v>
      </c>
      <c r="AV157" s="3">
        <f t="shared" si="46"/>
        <v>9.0066232531473833E-3</v>
      </c>
      <c r="AW157" s="3">
        <f t="shared" si="46"/>
        <v>8.7314479506086506E-3</v>
      </c>
      <c r="AX157" s="3">
        <f t="shared" si="46"/>
        <v>8.4651217360121045E-3</v>
      </c>
      <c r="AY157" s="3">
        <f t="shared" si="46"/>
        <v>8.2073312268944321E-3</v>
      </c>
      <c r="AZ157" s="3">
        <f t="shared" si="46"/>
        <v>7.9577734227267438E-3</v>
      </c>
      <c r="BA157" s="3">
        <f t="shared" si="46"/>
        <v>7.7161564681234029E-3</v>
      </c>
      <c r="BB157" s="3">
        <f t="shared" si="46"/>
        <v>7.4821999213223744E-3</v>
      </c>
      <c r="BC157" s="3">
        <f t="shared" si="46"/>
        <v>7.2556347030838797E-3</v>
      </c>
      <c r="BD157" s="3">
        <f t="shared" si="46"/>
        <v>7.0362028447352731E-3</v>
      </c>
      <c r="BE157" s="3">
        <f t="shared" si="46"/>
        <v>6.8236571154043357E-3</v>
      </c>
      <c r="BF157" s="3">
        <f t="shared" si="46"/>
        <v>6.6177605820390006E-3</v>
      </c>
      <c r="BG157" s="3">
        <f t="shared" si="46"/>
        <v>6.5753797836294314E-3</v>
      </c>
      <c r="BH157" s="3">
        <f t="shared" si="46"/>
        <v>6.3138349650984082E-3</v>
      </c>
      <c r="BI157" s="3">
        <f t="shared" si="46"/>
        <v>5.8803605493438216E-3</v>
      </c>
    </row>
    <row r="158" spans="1:124" ht="21" customHeight="1" x14ac:dyDescent="0.35">
      <c r="A158" s="15" t="s">
        <v>243</v>
      </c>
      <c r="B158" s="3"/>
      <c r="C158" s="3">
        <f t="shared" ref="C158:BI158" si="47">+C155*(1+B9)-1</f>
        <v>5.1055817638835599E-2</v>
      </c>
      <c r="D158" s="3">
        <f t="shared" si="47"/>
        <v>5.0388819146718555E-2</v>
      </c>
      <c r="E158" s="3">
        <f t="shared" si="47"/>
        <v>4.9235343285549682E-2</v>
      </c>
      <c r="F158" s="3">
        <f t="shared" si="47"/>
        <v>4.7980057219438876E-2</v>
      </c>
      <c r="G158" s="3">
        <f t="shared" si="47"/>
        <v>4.6665799852787959E-2</v>
      </c>
      <c r="H158" s="3">
        <f t="shared" si="47"/>
        <v>4.5309910253460206E-2</v>
      </c>
      <c r="I158" s="3">
        <f t="shared" si="47"/>
        <v>4.3916453579566861E-2</v>
      </c>
      <c r="J158" s="3">
        <f t="shared" si="47"/>
        <v>4.2478440709060816E-2</v>
      </c>
      <c r="K158" s="3">
        <f t="shared" si="47"/>
        <v>4.097895145110475E-2</v>
      </c>
      <c r="L158" s="3">
        <f t="shared" si="47"/>
        <v>4.1443170145528896E-2</v>
      </c>
      <c r="M158" s="3">
        <f t="shared" si="47"/>
        <v>4.1839330904584138E-2</v>
      </c>
      <c r="N158" s="3">
        <f t="shared" si="47"/>
        <v>4.120991741370128E-2</v>
      </c>
      <c r="O158" s="3">
        <f t="shared" si="47"/>
        <v>4.0526807283250976E-2</v>
      </c>
      <c r="P158" s="3">
        <f t="shared" si="47"/>
        <v>3.9817431423002425E-2</v>
      </c>
      <c r="Q158" s="3">
        <f t="shared" si="47"/>
        <v>3.9100502388172087E-2</v>
      </c>
      <c r="R158" s="3">
        <f t="shared" si="47"/>
        <v>3.8389521745595179E-2</v>
      </c>
      <c r="S158" s="3">
        <f t="shared" si="47"/>
        <v>3.7695805482750755E-2</v>
      </c>
      <c r="T158" s="3">
        <f t="shared" si="47"/>
        <v>3.7031450976917402E-2</v>
      </c>
      <c r="U158" s="3">
        <f t="shared" si="47"/>
        <v>3.6412088164823775E-2</v>
      </c>
      <c r="V158" s="3">
        <f t="shared" si="47"/>
        <v>3.6137254870573843E-2</v>
      </c>
      <c r="W158" s="3">
        <f t="shared" si="47"/>
        <v>3.5096845884616146E-2</v>
      </c>
      <c r="X158" s="3">
        <f t="shared" si="47"/>
        <v>3.4235622913733943E-2</v>
      </c>
      <c r="Y158" s="3">
        <f t="shared" si="47"/>
        <v>3.3497876420540029E-2</v>
      </c>
      <c r="Z158" s="3">
        <f t="shared" si="47"/>
        <v>3.311670492644625E-2</v>
      </c>
      <c r="AA158" s="3">
        <f t="shared" si="47"/>
        <v>3.2564377684568324E-2</v>
      </c>
      <c r="AB158" s="3">
        <f t="shared" si="47"/>
        <v>3.2013223066451157E-2</v>
      </c>
      <c r="AC158" s="3">
        <f t="shared" si="47"/>
        <v>3.1460347917981579E-2</v>
      </c>
      <c r="AD158" s="3">
        <f t="shared" si="47"/>
        <v>3.2326939383936271E-2</v>
      </c>
      <c r="AE158" s="3">
        <f t="shared" si="47"/>
        <v>3.013520741342357E-2</v>
      </c>
      <c r="AF158" s="3">
        <f t="shared" si="47"/>
        <v>2.9771272665306103E-2</v>
      </c>
      <c r="AG158" s="3">
        <f t="shared" si="47"/>
        <v>2.9385985595051789E-2</v>
      </c>
      <c r="AH158" s="3">
        <f t="shared" si="47"/>
        <v>2.8990375424520654E-2</v>
      </c>
      <c r="AI158" s="3">
        <f t="shared" si="47"/>
        <v>2.8591897039822456E-2</v>
      </c>
      <c r="AJ158" s="3">
        <f t="shared" si="47"/>
        <v>2.8195536697444901E-2</v>
      </c>
      <c r="AK158" s="3">
        <f t="shared" si="47"/>
        <v>2.7804583090782264E-2</v>
      </c>
      <c r="AL158" s="3">
        <f t="shared" si="47"/>
        <v>2.7421161316985465E-2</v>
      </c>
      <c r="AM158" s="3">
        <f t="shared" si="47"/>
        <v>2.704660107940593E-2</v>
      </c>
      <c r="AN158" s="3">
        <f t="shared" si="47"/>
        <v>2.6681689949513254E-2</v>
      </c>
      <c r="AO158" s="3">
        <f t="shared" si="47"/>
        <v>2.6326847325282898E-2</v>
      </c>
      <c r="AP158" s="3">
        <f t="shared" si="47"/>
        <v>2.5982243829847818E-2</v>
      </c>
      <c r="AQ158" s="3">
        <f t="shared" si="47"/>
        <v>2.5647883228423041E-2</v>
      </c>
      <c r="AR158" s="3">
        <f t="shared" si="47"/>
        <v>2.5323658609673672E-2</v>
      </c>
      <c r="AS158" s="3">
        <f t="shared" si="47"/>
        <v>2.5009390895661232E-2</v>
      </c>
      <c r="AT158" s="3">
        <f t="shared" si="47"/>
        <v>2.4704855212530186E-2</v>
      </c>
      <c r="AU158" s="3">
        <f t="shared" si="47"/>
        <v>2.4409798917095271E-2</v>
      </c>
      <c r="AV158" s="3">
        <f t="shared" si="47"/>
        <v>2.412395388406452E-2</v>
      </c>
      <c r="AW158" s="3">
        <f t="shared" si="47"/>
        <v>2.3847044843064102E-2</v>
      </c>
      <c r="AX158" s="3">
        <f t="shared" si="47"/>
        <v>2.3578794995615882E-2</v>
      </c>
      <c r="AY158" s="3">
        <f t="shared" si="47"/>
        <v>2.3318929758829876E-2</v>
      </c>
      <c r="AZ158" s="3">
        <f t="shared" si="47"/>
        <v>2.3067179219324663E-2</v>
      </c>
      <c r="BA158" s="3">
        <f t="shared" si="47"/>
        <v>2.2823279699966115E-2</v>
      </c>
      <c r="BB158" s="3">
        <f t="shared" si="47"/>
        <v>2.2586974717472952E-2</v>
      </c>
      <c r="BC158" s="3">
        <f t="shared" si="47"/>
        <v>2.2358015523123553E-2</v>
      </c>
      <c r="BD158" s="3">
        <f t="shared" si="47"/>
        <v>2.2136161359570972E-2</v>
      </c>
      <c r="BE158" s="3">
        <f t="shared" si="47"/>
        <v>2.1921179525827394E-2</v>
      </c>
      <c r="BF158" s="3">
        <f t="shared" si="47"/>
        <v>2.1712845314167728E-2</v>
      </c>
      <c r="BG158" s="3">
        <f t="shared" si="47"/>
        <v>2.1670391348852069E-2</v>
      </c>
      <c r="BH158" s="3">
        <f t="shared" si="47"/>
        <v>2.1405410908206468E-2</v>
      </c>
      <c r="BI158" s="3">
        <f t="shared" si="47"/>
        <v>2.0965856709559194E-2</v>
      </c>
    </row>
    <row r="159" spans="1:124" ht="21" customHeight="1" x14ac:dyDescent="0.35">
      <c r="A159" s="90" t="s">
        <v>245</v>
      </c>
      <c r="B159" s="51">
        <v>1</v>
      </c>
      <c r="C159" s="51">
        <f>+B159/(1+C156)^5</f>
        <v>0.77959868524160025</v>
      </c>
      <c r="D159" s="51">
        <f t="shared" ref="D159:BI159" si="48">+C159/(1+D156)^5</f>
        <v>0.60970624970101184</v>
      </c>
      <c r="E159" s="51">
        <f t="shared" si="48"/>
        <v>0.47946409498765857</v>
      </c>
      <c r="F159" s="51">
        <f t="shared" si="48"/>
        <v>0.37930712369287417</v>
      </c>
      <c r="G159" s="51">
        <f t="shared" si="48"/>
        <v>0.30196098317617787</v>
      </c>
      <c r="H159" s="51">
        <f t="shared" si="48"/>
        <v>0.24194992489352846</v>
      </c>
      <c r="I159" s="51">
        <f t="shared" si="48"/>
        <v>0.19516268212447488</v>
      </c>
      <c r="J159" s="51">
        <f t="shared" si="48"/>
        <v>0.15851171583906615</v>
      </c>
      <c r="K159" s="51">
        <f t="shared" si="48"/>
        <v>0.12967361740072589</v>
      </c>
      <c r="L159" s="51">
        <f t="shared" si="48"/>
        <v>0.10584582814933965</v>
      </c>
      <c r="M159" s="51">
        <f t="shared" si="48"/>
        <v>8.6232306400808811E-2</v>
      </c>
      <c r="N159" s="51">
        <f t="shared" si="48"/>
        <v>7.0465821884449886E-2</v>
      </c>
      <c r="O159" s="51">
        <f t="shared" si="48"/>
        <v>5.7771301842712522E-2</v>
      </c>
      <c r="P159" s="51">
        <f t="shared" si="48"/>
        <v>4.7525499058791422E-2</v>
      </c>
      <c r="Q159" s="51">
        <f t="shared" si="48"/>
        <v>3.9231861204419551E-2</v>
      </c>
      <c r="R159" s="51">
        <f t="shared" si="48"/>
        <v>3.2496562735322955E-2</v>
      </c>
      <c r="S159" s="51">
        <f t="shared" si="48"/>
        <v>2.7007670123039736E-2</v>
      </c>
      <c r="T159" s="51">
        <f t="shared" si="48"/>
        <v>2.2517879009305634E-2</v>
      </c>
      <c r="U159" s="51">
        <f t="shared" si="48"/>
        <v>1.8830642253210145E-2</v>
      </c>
      <c r="V159" s="51">
        <f t="shared" si="48"/>
        <v>1.5768075338473544E-2</v>
      </c>
      <c r="W159" s="51">
        <f t="shared" si="48"/>
        <v>1.3270086696049453E-2</v>
      </c>
      <c r="X159" s="51">
        <f t="shared" si="48"/>
        <v>1.1214406598224059E-2</v>
      </c>
      <c r="Y159" s="51">
        <f t="shared" si="48"/>
        <v>9.5110475995709536E-3</v>
      </c>
      <c r="Z159" s="51">
        <f t="shared" si="48"/>
        <v>8.0813038405207292E-3</v>
      </c>
      <c r="AA159" s="51">
        <f t="shared" si="48"/>
        <v>6.8848699976047714E-3</v>
      </c>
      <c r="AB159" s="51">
        <f t="shared" si="48"/>
        <v>5.8812472096141117E-3</v>
      </c>
      <c r="AC159" s="51">
        <f t="shared" si="48"/>
        <v>5.0374036063253157E-3</v>
      </c>
      <c r="AD159" s="51">
        <f t="shared" si="48"/>
        <v>4.2965556873540995E-3</v>
      </c>
      <c r="AE159" s="51">
        <f t="shared" si="48"/>
        <v>3.7038150535296461E-3</v>
      </c>
      <c r="AF159" s="51">
        <f t="shared" si="48"/>
        <v>3.1984931969171616E-3</v>
      </c>
      <c r="AG159" s="51">
        <f t="shared" si="48"/>
        <v>2.7672868204084767E-3</v>
      </c>
      <c r="AH159" s="51">
        <f t="shared" si="48"/>
        <v>2.3988197260435529E-3</v>
      </c>
      <c r="AI159" s="51">
        <f t="shared" si="48"/>
        <v>2.0834453720793085E-3</v>
      </c>
      <c r="AJ159" s="51">
        <f t="shared" si="48"/>
        <v>1.8130239712051256E-3</v>
      </c>
      <c r="AK159" s="51">
        <f t="shared" si="48"/>
        <v>1.5807048893713724E-3</v>
      </c>
      <c r="AL159" s="51">
        <f t="shared" si="48"/>
        <v>1.3807284207993651E-3</v>
      </c>
      <c r="AM159" s="51">
        <f t="shared" si="48"/>
        <v>1.2082519816457786E-3</v>
      </c>
      <c r="AN159" s="51">
        <f t="shared" si="48"/>
        <v>1.0592011219548408E-3</v>
      </c>
      <c r="AO159" s="51">
        <f t="shared" si="48"/>
        <v>9.3014356120287858E-4</v>
      </c>
      <c r="AP159" s="51">
        <f t="shared" si="48"/>
        <v>8.1818358189596327E-4</v>
      </c>
      <c r="AQ159" s="51">
        <f t="shared" si="48"/>
        <v>7.2087393071570071E-4</v>
      </c>
      <c r="AR159" s="51">
        <f t="shared" si="48"/>
        <v>6.3614252388752171E-4</v>
      </c>
      <c r="AS159" s="51">
        <f t="shared" si="48"/>
        <v>5.622315413931643E-4</v>
      </c>
      <c r="AT159" s="51">
        <f t="shared" si="48"/>
        <v>4.9764682338941007E-4</v>
      </c>
      <c r="AU159" s="51">
        <f t="shared" si="48"/>
        <v>4.4111580236362466E-4</v>
      </c>
      <c r="AV159" s="51">
        <f t="shared" si="48"/>
        <v>3.9155249423653216E-4</v>
      </c>
      <c r="AW159" s="51">
        <f t="shared" si="48"/>
        <v>3.4802832334588545E-4</v>
      </c>
      <c r="AX159" s="51">
        <f t="shared" si="48"/>
        <v>3.0974776979418806E-4</v>
      </c>
      <c r="AY159" s="51">
        <f t="shared" si="48"/>
        <v>2.7602800613587457E-4</v>
      </c>
      <c r="AZ159" s="51">
        <f t="shared" si="48"/>
        <v>2.4628183818798885E-4</v>
      </c>
      <c r="BA159" s="51">
        <f t="shared" si="48"/>
        <v>2.2000338644715504E-4</v>
      </c>
      <c r="BB159" s="51">
        <f t="shared" si="48"/>
        <v>1.9675604445929857E-4</v>
      </c>
      <c r="BC159" s="51">
        <f t="shared" si="48"/>
        <v>1.7616233229079405E-4</v>
      </c>
      <c r="BD159" s="51">
        <f t="shared" si="48"/>
        <v>1.5789533021445281E-4</v>
      </c>
      <c r="BE159" s="51">
        <f t="shared" si="48"/>
        <v>1.4167143255047092E-4</v>
      </c>
      <c r="BF159" s="51">
        <f t="shared" si="48"/>
        <v>1.2724420652285789E-4</v>
      </c>
      <c r="BG159" s="51">
        <f t="shared" si="48"/>
        <v>1.1430993576018285E-4</v>
      </c>
      <c r="BH159" s="51">
        <f t="shared" si="48"/>
        <v>1.0282369579150041E-4</v>
      </c>
      <c r="BI159" s="51">
        <f t="shared" si="48"/>
        <v>9.2690903769642358E-5</v>
      </c>
      <c r="BJ159" s="51"/>
      <c r="BK159" s="51"/>
      <c r="BL159" s="51"/>
      <c r="BM159" s="51"/>
      <c r="BN159" s="51"/>
      <c r="BO159" s="51"/>
      <c r="BP159" s="51"/>
      <c r="BQ159" s="51"/>
      <c r="BR159" s="51"/>
      <c r="BS159" s="51"/>
      <c r="BT159" s="51"/>
      <c r="BU159" s="51"/>
      <c r="BV159" s="51"/>
      <c r="BW159" s="51"/>
      <c r="BX159" s="51"/>
      <c r="BY159" s="51"/>
      <c r="BZ159" s="51"/>
      <c r="CA159" s="51"/>
      <c r="CB159" s="51"/>
      <c r="CC159" s="51"/>
      <c r="CD159" s="51"/>
      <c r="CE159" s="51"/>
      <c r="CF159" s="51"/>
      <c r="CG159" s="51"/>
      <c r="CH159" s="51"/>
      <c r="CI159" s="51"/>
      <c r="CJ159" s="51"/>
      <c r="CK159" s="51"/>
      <c r="CL159" s="51"/>
      <c r="CM159" s="51"/>
      <c r="CN159" s="51"/>
      <c r="CO159" s="51"/>
      <c r="CP159" s="51"/>
      <c r="CQ159" s="51"/>
      <c r="CR159" s="51"/>
      <c r="CS159" s="51"/>
      <c r="CT159" s="51"/>
      <c r="CU159" s="51"/>
      <c r="CV159" s="51"/>
      <c r="CW159" s="51"/>
      <c r="CX159" s="51"/>
      <c r="CY159" s="51"/>
      <c r="CZ159" s="51"/>
      <c r="DA159" s="51"/>
      <c r="DB159" s="51"/>
      <c r="DC159" s="51"/>
      <c r="DD159" s="51"/>
      <c r="DE159" s="51"/>
      <c r="DF159" s="51"/>
      <c r="DG159" s="51"/>
      <c r="DH159" s="51"/>
      <c r="DI159" s="51"/>
      <c r="DJ159" s="51"/>
      <c r="DK159" s="51"/>
      <c r="DL159" s="51"/>
      <c r="DM159" s="51"/>
      <c r="DN159" s="51"/>
      <c r="DO159" s="51"/>
      <c r="DP159" s="51"/>
      <c r="DQ159" s="51"/>
      <c r="DR159" s="51"/>
      <c r="DS159" s="51"/>
      <c r="DT159" s="51"/>
    </row>
    <row r="160" spans="1:124" ht="21" customHeight="1" x14ac:dyDescent="0.35">
      <c r="A160" s="51"/>
      <c r="C160" s="51"/>
      <c r="D160" s="51"/>
      <c r="E160" s="51"/>
      <c r="F160" s="51"/>
      <c r="G160" s="51"/>
      <c r="H160" s="51"/>
      <c r="I160" s="51"/>
      <c r="J160" s="51"/>
      <c r="K160" s="51"/>
      <c r="L160" s="51"/>
      <c r="M160" s="51"/>
      <c r="N160" s="51"/>
      <c r="O160" s="51"/>
      <c r="P160" s="51"/>
      <c r="Q160" s="51"/>
      <c r="R160" s="51"/>
      <c r="S160" s="51"/>
      <c r="T160" s="51"/>
      <c r="U160" s="51"/>
      <c r="V160" s="51"/>
      <c r="W160" s="51"/>
      <c r="X160" s="51"/>
      <c r="Y160" s="51"/>
      <c r="Z160" s="51"/>
      <c r="AA160" s="51"/>
      <c r="AB160" s="51"/>
      <c r="AC160" s="51"/>
      <c r="AD160" s="51"/>
      <c r="AE160" s="51"/>
      <c r="AF160" s="51"/>
      <c r="AG160" s="51"/>
      <c r="AH160" s="51"/>
      <c r="AI160" s="51"/>
      <c r="AJ160" s="51"/>
      <c r="AK160" s="51"/>
      <c r="AL160" s="51"/>
      <c r="AM160" s="51"/>
      <c r="AN160" s="51"/>
      <c r="AO160" s="51"/>
      <c r="AP160" s="51"/>
      <c r="AQ160" s="51"/>
      <c r="AR160" s="51"/>
      <c r="AS160" s="51"/>
      <c r="AT160" s="51"/>
      <c r="AU160" s="51"/>
      <c r="AV160" s="51"/>
      <c r="AW160" s="51"/>
      <c r="AX160" s="51"/>
      <c r="AY160" s="51"/>
      <c r="AZ160" s="51"/>
      <c r="BA160" s="51"/>
      <c r="BB160" s="51"/>
      <c r="BC160" s="51"/>
      <c r="BD160" s="51"/>
      <c r="BE160" s="51"/>
      <c r="BF160" s="51"/>
      <c r="BG160" s="51"/>
      <c r="BH160" s="51"/>
      <c r="BI160" s="51"/>
      <c r="BJ160" s="51"/>
      <c r="BK160" s="51"/>
      <c r="BL160" s="51"/>
      <c r="BM160" s="51"/>
      <c r="BN160" s="51"/>
      <c r="BO160" s="51"/>
      <c r="BP160" s="51"/>
      <c r="BQ160" s="51"/>
      <c r="BR160" s="51"/>
      <c r="BS160" s="51"/>
      <c r="BT160" s="51"/>
      <c r="BU160" s="51"/>
      <c r="BV160" s="51"/>
      <c r="BW160" s="51"/>
      <c r="BX160" s="51"/>
      <c r="BY160" s="51"/>
      <c r="BZ160" s="51"/>
      <c r="CA160" s="51"/>
      <c r="CB160" s="51"/>
      <c r="CC160" s="51"/>
      <c r="CD160" s="51"/>
      <c r="CE160" s="51"/>
      <c r="CF160" s="51"/>
      <c r="CG160" s="51"/>
      <c r="CH160" s="51"/>
      <c r="CI160" s="51"/>
      <c r="CJ160" s="51"/>
      <c r="CK160" s="51"/>
      <c r="CL160" s="51"/>
      <c r="CM160" s="51"/>
      <c r="CN160" s="51"/>
      <c r="CO160" s="51"/>
      <c r="CP160" s="51"/>
      <c r="CQ160" s="51"/>
      <c r="CR160" s="51"/>
      <c r="CS160" s="51"/>
      <c r="CT160" s="51"/>
      <c r="CU160" s="51"/>
      <c r="CV160" s="51"/>
      <c r="CW160" s="51"/>
      <c r="CX160" s="51"/>
      <c r="CY160" s="51"/>
      <c r="CZ160" s="51"/>
      <c r="DA160" s="51"/>
      <c r="DB160" s="51"/>
      <c r="DC160" s="51"/>
      <c r="DD160" s="51"/>
      <c r="DE160" s="51"/>
      <c r="DF160" s="51"/>
      <c r="DG160" s="51"/>
      <c r="DH160" s="51"/>
      <c r="DI160" s="51"/>
      <c r="DJ160" s="51"/>
      <c r="DK160" s="51"/>
      <c r="DL160" s="51"/>
      <c r="DM160" s="51"/>
      <c r="DN160" s="51"/>
      <c r="DO160" s="51"/>
      <c r="DP160" s="51"/>
      <c r="DQ160" s="51"/>
      <c r="DR160" s="51"/>
      <c r="DS160" s="51"/>
      <c r="DT160" s="51"/>
    </row>
    <row r="161" spans="1:124" ht="21" customHeight="1" x14ac:dyDescent="0.35">
      <c r="A161" s="51"/>
      <c r="C161" s="51"/>
      <c r="D161" s="51"/>
      <c r="E161" s="3" t="s">
        <v>247</v>
      </c>
      <c r="F161" s="3" t="s">
        <v>250</v>
      </c>
      <c r="H161" s="51"/>
      <c r="I161" s="51"/>
      <c r="J161" s="51"/>
      <c r="K161" s="51"/>
      <c r="L161" s="51"/>
      <c r="M161" s="51"/>
      <c r="N161" s="51"/>
      <c r="O161" s="51"/>
      <c r="P161" s="51"/>
      <c r="Q161" s="51"/>
      <c r="R161" s="51"/>
      <c r="S161" s="51"/>
      <c r="T161" s="51"/>
      <c r="U161" s="51"/>
      <c r="V161" s="51"/>
      <c r="W161" s="51"/>
      <c r="X161" s="51"/>
      <c r="Y161" s="51"/>
      <c r="Z161" s="51"/>
      <c r="AA161" s="51"/>
      <c r="AB161" s="51"/>
      <c r="AC161" s="51"/>
      <c r="AD161" s="51"/>
      <c r="AE161" s="51"/>
      <c r="AF161" s="51"/>
      <c r="AG161" s="51"/>
      <c r="AH161" s="51"/>
      <c r="AI161" s="51"/>
      <c r="AJ161" s="51"/>
      <c r="AK161" s="51"/>
      <c r="AL161" s="51"/>
      <c r="AM161" s="51"/>
      <c r="AN161" s="51"/>
      <c r="AO161" s="51"/>
      <c r="AP161" s="51"/>
      <c r="AQ161" s="51"/>
      <c r="AR161" s="51"/>
      <c r="AS161" s="51"/>
      <c r="AT161" s="51"/>
      <c r="AU161" s="51"/>
      <c r="AV161" s="51"/>
      <c r="AW161" s="51"/>
      <c r="AX161" s="51"/>
      <c r="AY161" s="51"/>
      <c r="AZ161" s="51"/>
      <c r="BA161" s="51"/>
      <c r="BB161" s="51"/>
      <c r="BC161" s="51"/>
      <c r="BD161" s="51"/>
      <c r="BE161" s="51"/>
      <c r="BF161" s="51"/>
      <c r="BG161" s="51"/>
      <c r="BH161" s="51"/>
      <c r="BI161" s="51"/>
      <c r="BJ161" s="51"/>
      <c r="BK161" s="51"/>
      <c r="BL161" s="51"/>
      <c r="BM161" s="51"/>
      <c r="BN161" s="51"/>
      <c r="BO161" s="51"/>
      <c r="BP161" s="51"/>
      <c r="BQ161" s="51"/>
      <c r="BR161" s="51"/>
      <c r="BS161" s="51"/>
      <c r="BT161" s="51"/>
      <c r="BU161" s="51"/>
      <c r="BV161" s="51"/>
      <c r="BW161" s="51"/>
      <c r="BX161" s="51"/>
      <c r="BY161" s="51"/>
      <c r="BZ161" s="51"/>
      <c r="CA161" s="51"/>
      <c r="CB161" s="51"/>
      <c r="CC161" s="51"/>
      <c r="CD161" s="51"/>
      <c r="CE161" s="51"/>
      <c r="CF161" s="51"/>
      <c r="CG161" s="51"/>
      <c r="CH161" s="51"/>
      <c r="CI161" s="51"/>
      <c r="CJ161" s="51"/>
      <c r="CK161" s="51"/>
      <c r="CL161" s="51"/>
      <c r="CM161" s="51"/>
      <c r="CN161" s="51"/>
      <c r="CO161" s="51"/>
      <c r="CP161" s="51"/>
      <c r="CQ161" s="51"/>
      <c r="CR161" s="51"/>
      <c r="CS161" s="51"/>
      <c r="CT161" s="51"/>
      <c r="CU161" s="51"/>
      <c r="CV161" s="51"/>
      <c r="CW161" s="51"/>
      <c r="CX161" s="51"/>
      <c r="CY161" s="51"/>
      <c r="CZ161" s="51"/>
      <c r="DA161" s="51"/>
      <c r="DB161" s="51"/>
      <c r="DC161" s="51"/>
      <c r="DD161" s="51"/>
      <c r="DE161" s="51"/>
      <c r="DF161" s="51"/>
      <c r="DG161" s="51"/>
      <c r="DH161" s="51"/>
      <c r="DI161" s="51"/>
      <c r="DJ161" s="51"/>
      <c r="DK161" s="51"/>
      <c r="DL161" s="51"/>
      <c r="DM161" s="51"/>
      <c r="DN161" s="51"/>
      <c r="DO161" s="51"/>
      <c r="DP161" s="51"/>
      <c r="DQ161" s="51"/>
      <c r="DR161" s="51"/>
      <c r="DS161" s="51"/>
      <c r="DT161" s="51"/>
    </row>
    <row r="162" spans="1:124" s="57" customFormat="1" ht="45.65" customHeight="1" thickBot="1" x14ac:dyDescent="0.4">
      <c r="A162" s="84" t="s">
        <v>61</v>
      </c>
      <c r="B162" s="57" t="s">
        <v>342</v>
      </c>
      <c r="D162" s="57" t="s">
        <v>343</v>
      </c>
      <c r="E162" s="57" t="s">
        <v>340</v>
      </c>
      <c r="F162" s="153" t="s">
        <v>341</v>
      </c>
      <c r="G162" s="153"/>
    </row>
    <row r="163" spans="1:124" ht="21" customHeight="1" thickTop="1" x14ac:dyDescent="0.35">
      <c r="A163" s="15" t="s">
        <v>61</v>
      </c>
      <c r="B163" s="3"/>
      <c r="F163" s="3" t="s">
        <v>251</v>
      </c>
      <c r="G163" s="3" t="s">
        <v>252</v>
      </c>
    </row>
    <row r="164" spans="1:124" ht="21" customHeight="1" x14ac:dyDescent="0.35">
      <c r="A164" s="15" t="s">
        <v>244</v>
      </c>
      <c r="B164" s="3">
        <f>+SUMPRODUCT(B159:T159*B124:T124)*5</f>
        <v>2268.6650441982861</v>
      </c>
      <c r="D164" s="3">
        <f>+SUMPRODUCT(Base!B155:T155*B124:T124)*5</f>
        <v>2237.9924255922419</v>
      </c>
      <c r="E164" s="2">
        <v>2263.2194535643148</v>
      </c>
      <c r="F164" s="3">
        <f t="shared" ref="F164:F168" si="49">+D164-E164</f>
        <v>-25.227027972072847</v>
      </c>
      <c r="G164" s="6">
        <f>+F164*1000</f>
        <v>-25227.027972072847</v>
      </c>
    </row>
    <row r="165" spans="1:124" ht="21" customHeight="1" x14ac:dyDescent="0.35">
      <c r="A165" s="15" t="s">
        <v>64</v>
      </c>
      <c r="B165" s="3">
        <f>+SUMPRODUCT(B159:AN159*B124:AN124)*5</f>
        <v>2620.4150394486692</v>
      </c>
      <c r="D165" s="3">
        <f>+SUMPRODUCT(Base!B155:AN155*B124:AN124)*5</f>
        <v>2627.9998473766973</v>
      </c>
      <c r="E165" s="2">
        <v>2628.3554239442537</v>
      </c>
      <c r="F165" s="3">
        <f t="shared" si="49"/>
        <v>-0.35557656755645439</v>
      </c>
      <c r="G165" s="6">
        <f>+F165*1000</f>
        <v>-355.57656755645439</v>
      </c>
    </row>
    <row r="166" spans="1:124" ht="21" customHeight="1" x14ac:dyDescent="0.35">
      <c r="A166" s="15" t="s">
        <v>62</v>
      </c>
      <c r="B166" s="3">
        <f>+SUMPRODUCT(B159:BH159*B124:BH124)*5</f>
        <v>2674.920132179614</v>
      </c>
      <c r="D166" s="3">
        <f>+SUMPRODUCT(Base!B155:BH155*B124:BH124)*5</f>
        <v>2696.8661429813728</v>
      </c>
      <c r="E166" s="2">
        <v>2687.7370386156094</v>
      </c>
      <c r="F166" s="3">
        <f t="shared" si="49"/>
        <v>9.1291043657633963</v>
      </c>
      <c r="G166" s="6">
        <f>+F166*1000</f>
        <v>9129.1043657633963</v>
      </c>
    </row>
    <row r="167" spans="1:124" ht="21" customHeight="1" x14ac:dyDescent="0.35">
      <c r="A167" s="15" t="s">
        <v>63</v>
      </c>
      <c r="B167" s="154">
        <f>+SUMPRODUCT(B159:DQ159*B124:DQ124)*5</f>
        <v>2675.8975187526671</v>
      </c>
      <c r="D167" s="3">
        <f>+SUMPRODUCT(Base!B155:DQ155*B124:DQ124)*5</f>
        <v>2698.071306916715</v>
      </c>
      <c r="E167" s="2">
        <v>2688.7936628310235</v>
      </c>
      <c r="F167" s="154">
        <f t="shared" si="49"/>
        <v>9.2776440856914633</v>
      </c>
      <c r="G167" s="6">
        <f>+F167*1000</f>
        <v>9277.6440856914633</v>
      </c>
    </row>
    <row r="168" spans="1:124" ht="21" customHeight="1" x14ac:dyDescent="0.35">
      <c r="A168" s="15" t="s">
        <v>249</v>
      </c>
      <c r="B168" s="156">
        <f>+B130</f>
        <v>2703.4255116039594</v>
      </c>
      <c r="D168" s="3">
        <f>+B130</f>
        <v>2703.4255116039594</v>
      </c>
      <c r="E168" s="2">
        <v>2688.7871964352134</v>
      </c>
      <c r="F168" s="154">
        <f t="shared" si="49"/>
        <v>14.638315168745976</v>
      </c>
      <c r="G168" s="6">
        <f>+F168*1000</f>
        <v>14638.315168745976</v>
      </c>
    </row>
    <row r="169" spans="1:124" ht="21" customHeight="1" thickBot="1" x14ac:dyDescent="0.4">
      <c r="A169" s="84" t="s">
        <v>99</v>
      </c>
      <c r="B169" s="3"/>
    </row>
    <row r="170" spans="1:124" ht="21" customHeight="1" thickTop="1" x14ac:dyDescent="0.35">
      <c r="A170" s="15" t="s">
        <v>233</v>
      </c>
      <c r="B170" s="3">
        <f t="shared" ref="B170:AU170" si="50">+B118/B105</f>
        <v>2.124572737974987</v>
      </c>
      <c r="C170" s="3">
        <f t="shared" si="50"/>
        <v>2.1342154964183302</v>
      </c>
      <c r="D170" s="3">
        <f t="shared" si="50"/>
        <v>2.1468158752591049</v>
      </c>
      <c r="E170" s="3">
        <f t="shared" si="50"/>
        <v>2.1621949386978292</v>
      </c>
      <c r="F170" s="3">
        <f t="shared" si="50"/>
        <v>2.178559155235734</v>
      </c>
      <c r="G170" s="3">
        <f t="shared" si="50"/>
        <v>2.194831963991581</v>
      </c>
      <c r="H170" s="3">
        <f t="shared" si="50"/>
        <v>2.2103164683899226</v>
      </c>
      <c r="I170" s="3">
        <f t="shared" si="50"/>
        <v>2.2245092666937953</v>
      </c>
      <c r="J170" s="3">
        <f t="shared" si="50"/>
        <v>2.2369862149570285</v>
      </c>
      <c r="K170" s="3">
        <f t="shared" si="50"/>
        <v>2.2473396703402884</v>
      </c>
      <c r="L170" s="3">
        <f t="shared" si="50"/>
        <v>2.2551222207794215</v>
      </c>
      <c r="M170" s="3">
        <f t="shared" si="50"/>
        <v>2.2649003332892224</v>
      </c>
      <c r="N170" s="3">
        <f t="shared" si="50"/>
        <v>2.278801945212908</v>
      </c>
      <c r="O170" s="3">
        <f t="shared" si="50"/>
        <v>2.2954267422871375</v>
      </c>
      <c r="P170" s="3">
        <f t="shared" si="50"/>
        <v>2.3138416043504249</v>
      </c>
      <c r="Q170" s="3">
        <f t="shared" si="50"/>
        <v>2.333410697846797</v>
      </c>
      <c r="R170" s="3">
        <f t="shared" si="50"/>
        <v>2.3536789252701569</v>
      </c>
      <c r="S170" s="3">
        <f t="shared" si="50"/>
        <v>2.3742838086236846</v>
      </c>
      <c r="T170" s="3">
        <f t="shared" si="50"/>
        <v>2.394873977750712</v>
      </c>
      <c r="U170" s="3">
        <f t="shared" si="50"/>
        <v>2.4150110799479521</v>
      </c>
      <c r="V170" s="3">
        <f t="shared" si="50"/>
        <v>2.4341535257523086</v>
      </c>
      <c r="W170" s="3">
        <f t="shared" si="50"/>
        <v>2.4520482402980956</v>
      </c>
      <c r="X170" s="3">
        <f t="shared" si="50"/>
        <v>2.4685830191102132</v>
      </c>
      <c r="Y170" s="3">
        <f t="shared" si="50"/>
        <v>2.4850821453988901</v>
      </c>
      <c r="Z170" s="3">
        <f t="shared" si="50"/>
        <v>2.5009216456684702</v>
      </c>
      <c r="AA170" s="3">
        <f t="shared" si="50"/>
        <v>2.5167327936442176</v>
      </c>
      <c r="AB170" s="3">
        <f t="shared" si="50"/>
        <v>2.53248251797099</v>
      </c>
      <c r="AC170" s="3">
        <f t="shared" si="50"/>
        <v>2.5482639040965296</v>
      </c>
      <c r="AD170" s="3">
        <f t="shared" si="50"/>
        <v>2.5643315030628142</v>
      </c>
      <c r="AE170" s="3">
        <f t="shared" si="50"/>
        <v>2.5694124406437382</v>
      </c>
      <c r="AF170" s="3">
        <f t="shared" si="50"/>
        <v>2.5763556896387363</v>
      </c>
      <c r="AG170" s="3">
        <f t="shared" si="50"/>
        <v>2.5844606446270624</v>
      </c>
      <c r="AH170" s="3">
        <f t="shared" si="50"/>
        <v>2.5932507509333815</v>
      </c>
      <c r="AI170" s="3">
        <f t="shared" si="50"/>
        <v>2.602402846859365</v>
      </c>
      <c r="AJ170" s="3">
        <f t="shared" si="50"/>
        <v>2.611698910674638</v>
      </c>
      <c r="AK170" s="3">
        <f t="shared" si="50"/>
        <v>2.6209930284048584</v>
      </c>
      <c r="AL170" s="3">
        <f t="shared" si="50"/>
        <v>2.6301887376276052</v>
      </c>
      <c r="AM170" s="3">
        <f t="shared" si="50"/>
        <v>2.639223464272483</v>
      </c>
      <c r="AN170" s="3">
        <f t="shared" si="50"/>
        <v>2.6480578192597806</v>
      </c>
      <c r="AO170" s="3">
        <f t="shared" si="50"/>
        <v>2.6566682312633061</v>
      </c>
      <c r="AP170" s="3">
        <f t="shared" si="50"/>
        <v>2.6650418733178687</v>
      </c>
      <c r="AQ170" s="3">
        <f t="shared" si="50"/>
        <v>2.6731731687910507</v>
      </c>
      <c r="AR170" s="3">
        <f t="shared" si="50"/>
        <v>2.6810613860449273</v>
      </c>
      <c r="AS170" s="3">
        <f t="shared" si="50"/>
        <v>2.6887089842705154</v>
      </c>
      <c r="AT170" s="3">
        <f t="shared" si="50"/>
        <v>2.6961204779960752</v>
      </c>
      <c r="AU170" s="3">
        <f t="shared" si="50"/>
        <v>2.7033016599061876</v>
      </c>
    </row>
    <row r="171" spans="1:124" ht="21" customHeight="1" x14ac:dyDescent="0.35">
      <c r="A171" s="15" t="s">
        <v>261</v>
      </c>
      <c r="C171" s="3">
        <f>+C125/(C125+C124)</f>
        <v>8.7448535762614535E-2</v>
      </c>
      <c r="D171" s="3">
        <f t="shared" ref="D171:AU171" si="51">+D125/(D125+D124)</f>
        <v>8.3957600229528945E-2</v>
      </c>
      <c r="E171" s="3">
        <f t="shared" si="51"/>
        <v>8.0946497472480658E-2</v>
      </c>
      <c r="F171" s="3">
        <f t="shared" si="51"/>
        <v>7.7853283930320732E-2</v>
      </c>
      <c r="G171" s="3">
        <f t="shared" si="51"/>
        <v>7.4794437640222824E-2</v>
      </c>
      <c r="H171" s="3">
        <f t="shared" si="51"/>
        <v>7.1821707820651157E-2</v>
      </c>
      <c r="I171" s="3">
        <f t="shared" si="51"/>
        <v>6.8950444132205344E-2</v>
      </c>
      <c r="J171" s="3">
        <f t="shared" si="51"/>
        <v>6.6172493540078522E-2</v>
      </c>
      <c r="K171" s="3">
        <f t="shared" si="51"/>
        <v>6.3467333606114687E-2</v>
      </c>
      <c r="L171" s="3">
        <f t="shared" si="51"/>
        <v>6.0413717974442872E-2</v>
      </c>
      <c r="M171" s="3">
        <f t="shared" si="51"/>
        <v>5.878111033838937E-2</v>
      </c>
      <c r="N171" s="3">
        <f t="shared" si="51"/>
        <v>5.8080976432781255E-2</v>
      </c>
      <c r="O171" s="3">
        <f t="shared" si="51"/>
        <v>5.7147579234037654E-2</v>
      </c>
      <c r="P171" s="3">
        <f t="shared" si="51"/>
        <v>5.6082641048500553E-2</v>
      </c>
      <c r="Q171" s="3">
        <f t="shared" si="51"/>
        <v>5.4947238824666234E-2</v>
      </c>
      <c r="R171" s="3">
        <f t="shared" si="51"/>
        <v>5.3773534192907854E-2</v>
      </c>
      <c r="S171" s="3">
        <f t="shared" si="51"/>
        <v>5.256992770237804E-2</v>
      </c>
      <c r="T171" s="3">
        <f t="shared" si="51"/>
        <v>5.131968159227572E-2</v>
      </c>
      <c r="U171" s="3">
        <f t="shared" si="51"/>
        <v>4.9971780652314245E-2</v>
      </c>
      <c r="V171" s="3">
        <f t="shared" si="51"/>
        <v>4.8423473198022197E-2</v>
      </c>
      <c r="W171" s="3">
        <f t="shared" si="51"/>
        <v>4.6880288429361323E-2</v>
      </c>
      <c r="X171" s="3">
        <f t="shared" si="51"/>
        <v>4.5354489786693868E-2</v>
      </c>
      <c r="Y171" s="3">
        <f t="shared" si="51"/>
        <v>4.4331193699949242E-2</v>
      </c>
      <c r="Z171" s="3">
        <f t="shared" si="51"/>
        <v>4.3103482503735496E-2</v>
      </c>
      <c r="AA171" s="3">
        <f t="shared" si="51"/>
        <v>4.2125803031700507E-2</v>
      </c>
      <c r="AB171" s="3">
        <f t="shared" si="51"/>
        <v>4.1176394686193815E-2</v>
      </c>
      <c r="AC171" s="3">
        <f t="shared" si="51"/>
        <v>4.0298803469655038E-2</v>
      </c>
      <c r="AD171" s="3">
        <f t="shared" si="51"/>
        <v>3.9371941652299555E-2</v>
      </c>
      <c r="AE171" s="3">
        <f t="shared" si="51"/>
        <v>3.4678365153618704E-2</v>
      </c>
      <c r="AF171" s="3">
        <f t="shared" si="51"/>
        <v>3.4383098968622981E-2</v>
      </c>
      <c r="AG171" s="3">
        <f t="shared" si="51"/>
        <v>3.3897840219577466E-2</v>
      </c>
      <c r="AH171" s="3">
        <f t="shared" si="51"/>
        <v>3.3289218220265794E-2</v>
      </c>
      <c r="AI171" s="3">
        <f t="shared" si="51"/>
        <v>3.2602749021314548E-2</v>
      </c>
      <c r="AJ171" s="3">
        <f t="shared" si="51"/>
        <v>3.1869551207663986E-2</v>
      </c>
      <c r="AK171" s="3">
        <f t="shared" si="51"/>
        <v>3.1110883690589022E-2</v>
      </c>
      <c r="AL171" s="3">
        <f t="shared" si="51"/>
        <v>3.0341233256934181E-2</v>
      </c>
      <c r="AM171" s="3">
        <f t="shared" si="51"/>
        <v>2.9570426141901484E-2</v>
      </c>
      <c r="AN171" s="3">
        <f t="shared" si="51"/>
        <v>2.8805077581216771E-2</v>
      </c>
      <c r="AO171" s="3">
        <f t="shared" si="51"/>
        <v>2.8049589656532301E-2</v>
      </c>
      <c r="AP171" s="3">
        <f t="shared" si="51"/>
        <v>2.7306839577789697E-2</v>
      </c>
      <c r="AQ171" s="3">
        <f t="shared" si="51"/>
        <v>2.6578655113139664E-2</v>
      </c>
      <c r="AR171" s="3">
        <f t="shared" si="51"/>
        <v>2.586614329499283E-2</v>
      </c>
      <c r="AS171" s="3">
        <f t="shared" si="51"/>
        <v>2.5169917791148536E-2</v>
      </c>
      <c r="AT171" s="3">
        <f t="shared" si="51"/>
        <v>2.449025618585007E-2</v>
      </c>
      <c r="AU171" s="3">
        <f t="shared" si="51"/>
        <v>2.3827208728274134E-2</v>
      </c>
    </row>
    <row r="172" spans="1:124" ht="21" customHeight="1" x14ac:dyDescent="0.35"/>
    <row r="173" spans="1:124" ht="21" customHeight="1" x14ac:dyDescent="0.35"/>
    <row r="174" spans="1:124" ht="21" customHeight="1" x14ac:dyDescent="0.35"/>
    <row r="175" spans="1:124" ht="21" customHeight="1" x14ac:dyDescent="0.35"/>
    <row r="176" spans="1:124" ht="21" customHeight="1" x14ac:dyDescent="0.35"/>
    <row r="177" s="3" customFormat="1" ht="21" customHeight="1" x14ac:dyDescent="0.35"/>
    <row r="178" s="3" customFormat="1" ht="21" customHeight="1" x14ac:dyDescent="0.35"/>
    <row r="179" s="3" customFormat="1" ht="21" customHeight="1" x14ac:dyDescent="0.35"/>
    <row r="180" s="3" customFormat="1" ht="21" customHeight="1" x14ac:dyDescent="0.35"/>
    <row r="181" s="3" customFormat="1" ht="21" customHeight="1" x14ac:dyDescent="0.35"/>
    <row r="182" s="3" customFormat="1" ht="21" customHeight="1" x14ac:dyDescent="0.35"/>
    <row r="183" s="3" customFormat="1" ht="21" customHeight="1" x14ac:dyDescent="0.35"/>
    <row r="184" s="3" customFormat="1" ht="21" customHeight="1" x14ac:dyDescent="0.35"/>
    <row r="185" s="3" customFormat="1" ht="21" customHeight="1" x14ac:dyDescent="0.35"/>
    <row r="186" s="3" customFormat="1" ht="21" customHeight="1" x14ac:dyDescent="0.35"/>
    <row r="187" s="3" customFormat="1" ht="21" customHeight="1" x14ac:dyDescent="0.35"/>
    <row r="188" s="3" customFormat="1" ht="21" customHeight="1" x14ac:dyDescent="0.35"/>
    <row r="189" s="3" customFormat="1" ht="21" customHeight="1" x14ac:dyDescent="0.35"/>
    <row r="190" s="3" customFormat="1" ht="21" customHeight="1" x14ac:dyDescent="0.35"/>
    <row r="191" s="3" customFormat="1" ht="21" customHeight="1" x14ac:dyDescent="0.35"/>
    <row r="192" s="3" customFormat="1" ht="21" customHeight="1" x14ac:dyDescent="0.35"/>
    <row r="193" spans="1:123" ht="21" customHeight="1" x14ac:dyDescent="0.35"/>
    <row r="194" spans="1:123" ht="21" customHeight="1" x14ac:dyDescent="0.35"/>
    <row r="195" spans="1:123" ht="21" customHeight="1" x14ac:dyDescent="0.35"/>
    <row r="196" spans="1:123" ht="21" customHeight="1" x14ac:dyDescent="0.35"/>
    <row r="197" spans="1:123" ht="21" customHeight="1" x14ac:dyDescent="0.35"/>
    <row r="198" spans="1:123" ht="21" customHeight="1" x14ac:dyDescent="0.35"/>
    <row r="199" spans="1:123" ht="21" customHeight="1" x14ac:dyDescent="0.35"/>
    <row r="200" spans="1:123" ht="21" customHeight="1" x14ac:dyDescent="0.35"/>
    <row r="201" spans="1:123" ht="21" customHeight="1" x14ac:dyDescent="0.35"/>
    <row r="202" spans="1:123" ht="21" customHeight="1" x14ac:dyDescent="0.35"/>
    <row r="203" spans="1:123" ht="21" customHeight="1" x14ac:dyDescent="0.35"/>
    <row r="204" spans="1:123" ht="21" customHeight="1" x14ac:dyDescent="0.35"/>
    <row r="205" spans="1:123" ht="21" customHeight="1" x14ac:dyDescent="0.35"/>
    <row r="206" spans="1:123" ht="21" customHeight="1" x14ac:dyDescent="0.35"/>
    <row r="207" spans="1:123" ht="21" customHeight="1" x14ac:dyDescent="0.35"/>
    <row r="208" spans="1:123" s="25" customFormat="1" ht="15" thickBot="1" x14ac:dyDescent="0.4">
      <c r="A208" s="89" t="s">
        <v>119</v>
      </c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3"/>
      <c r="CE208" s="3"/>
      <c r="CF208" s="3"/>
      <c r="CG208" s="3"/>
      <c r="CH208" s="3"/>
      <c r="CI208" s="3"/>
      <c r="CJ208" s="3"/>
      <c r="CK208" s="3"/>
      <c r="CL208" s="3"/>
      <c r="CM208" s="3"/>
      <c r="CN208" s="3"/>
      <c r="CO208" s="3"/>
      <c r="CP208" s="3"/>
      <c r="CQ208" s="3"/>
      <c r="CR208" s="3"/>
      <c r="CS208" s="3"/>
      <c r="CT208" s="3"/>
      <c r="CU208" s="3"/>
      <c r="CV208" s="3"/>
      <c r="CW208" s="3"/>
      <c r="CX208" s="3"/>
      <c r="CY208" s="3"/>
      <c r="CZ208" s="3"/>
      <c r="DA208" s="3"/>
      <c r="DB208" s="3"/>
      <c r="DC208" s="3"/>
      <c r="DD208" s="3"/>
      <c r="DE208" s="3"/>
      <c r="DF208" s="3"/>
      <c r="DG208" s="3"/>
      <c r="DH208" s="3"/>
      <c r="DI208" s="3"/>
      <c r="DJ208" s="3"/>
      <c r="DK208" s="3"/>
      <c r="DL208" s="3"/>
      <c r="DM208" s="3"/>
      <c r="DN208" s="3"/>
      <c r="DO208" s="3"/>
      <c r="DP208" s="3"/>
      <c r="DQ208" s="3"/>
      <c r="DR208" s="3"/>
      <c r="DS208" s="3"/>
    </row>
    <row r="209" spans="1:124" s="22" customFormat="1" ht="15" thickTop="1" x14ac:dyDescent="0.35">
      <c r="A209" s="20" t="s">
        <v>198</v>
      </c>
      <c r="B209" s="21">
        <v>1E-3</v>
      </c>
      <c r="C209" s="21">
        <v>1E-3</v>
      </c>
      <c r="D209" s="21">
        <v>1E-3</v>
      </c>
      <c r="E209" s="21">
        <v>1E-3</v>
      </c>
      <c r="F209" s="21">
        <v>1E-3</v>
      </c>
      <c r="G209" s="21">
        <v>1E-3</v>
      </c>
      <c r="H209" s="21">
        <v>1E-3</v>
      </c>
      <c r="I209" s="21">
        <v>1E-3</v>
      </c>
      <c r="J209" s="21">
        <v>1E-3</v>
      </c>
      <c r="K209" s="21">
        <v>1E-3</v>
      </c>
      <c r="L209" s="21">
        <v>1E-3</v>
      </c>
      <c r="M209" s="21">
        <v>1E-3</v>
      </c>
      <c r="N209" s="21">
        <v>1E-3</v>
      </c>
      <c r="O209" s="21">
        <v>1E-3</v>
      </c>
      <c r="P209" s="21">
        <v>1E-3</v>
      </c>
      <c r="Q209" s="21">
        <v>1E-3</v>
      </c>
      <c r="R209" s="21">
        <v>1E-3</v>
      </c>
      <c r="S209" s="21">
        <v>1E-3</v>
      </c>
      <c r="T209" s="21">
        <v>1E-3</v>
      </c>
      <c r="U209" s="21">
        <v>1E-3</v>
      </c>
      <c r="V209" s="21">
        <v>1E-3</v>
      </c>
      <c r="W209" s="21">
        <v>1E-3</v>
      </c>
      <c r="X209" s="21">
        <v>1E-3</v>
      </c>
      <c r="Y209" s="21">
        <v>1E-3</v>
      </c>
      <c r="Z209" s="21">
        <v>1E-3</v>
      </c>
      <c r="AA209" s="21">
        <v>1E-3</v>
      </c>
      <c r="AB209" s="21">
        <v>1E-3</v>
      </c>
      <c r="AC209" s="21">
        <v>1E-3</v>
      </c>
      <c r="AD209" s="21">
        <v>1E-3</v>
      </c>
      <c r="AE209" s="21">
        <v>1E-3</v>
      </c>
      <c r="AF209" s="21">
        <v>1E-3</v>
      </c>
      <c r="AG209" s="21">
        <v>1E-3</v>
      </c>
      <c r="AH209" s="21">
        <v>1E-3</v>
      </c>
      <c r="AI209" s="21">
        <v>1E-3</v>
      </c>
      <c r="AJ209" s="21">
        <v>1E-3</v>
      </c>
      <c r="AK209" s="21">
        <v>1E-3</v>
      </c>
      <c r="AL209" s="21">
        <v>1E-3</v>
      </c>
      <c r="AM209" s="21">
        <v>1E-3</v>
      </c>
      <c r="AN209" s="21">
        <v>1E-3</v>
      </c>
      <c r="AO209" s="21">
        <v>1E-3</v>
      </c>
      <c r="AP209" s="21">
        <v>1E-3</v>
      </c>
      <c r="AQ209" s="21">
        <v>1E-3</v>
      </c>
      <c r="AR209" s="21">
        <v>1E-3</v>
      </c>
      <c r="AS209" s="21">
        <v>1E-3</v>
      </c>
      <c r="AT209" s="21">
        <v>1E-3</v>
      </c>
      <c r="AU209" s="21">
        <v>1E-3</v>
      </c>
      <c r="AV209" s="21">
        <v>1E-3</v>
      </c>
      <c r="AW209" s="21">
        <v>1E-3</v>
      </c>
      <c r="AX209" s="21">
        <v>1E-3</v>
      </c>
      <c r="AY209" s="21">
        <v>1E-3</v>
      </c>
      <c r="AZ209" s="21">
        <v>1E-3</v>
      </c>
      <c r="BA209" s="21">
        <v>1E-3</v>
      </c>
      <c r="BB209" s="21">
        <v>1E-3</v>
      </c>
      <c r="BC209" s="21">
        <v>1E-3</v>
      </c>
      <c r="BD209" s="21">
        <v>1E-3</v>
      </c>
      <c r="BE209" s="21">
        <v>1E-3</v>
      </c>
      <c r="BF209" s="21">
        <v>1E-3</v>
      </c>
      <c r="BG209" s="21">
        <v>1E-3</v>
      </c>
      <c r="BH209" s="21">
        <v>1E-3</v>
      </c>
      <c r="BI209" s="21">
        <v>1E-3</v>
      </c>
      <c r="BJ209" s="21"/>
      <c r="BK209" s="21"/>
      <c r="BL209" s="21"/>
      <c r="BM209" s="21"/>
      <c r="BN209" s="21"/>
      <c r="BO209" s="21"/>
      <c r="BP209" s="21"/>
      <c r="BQ209" s="21"/>
      <c r="BR209" s="21"/>
      <c r="BS209" s="21"/>
      <c r="BT209" s="21"/>
      <c r="BU209" s="21"/>
      <c r="BV209" s="21"/>
      <c r="BW209" s="21"/>
      <c r="BX209" s="21"/>
      <c r="BY209" s="21"/>
      <c r="BZ209" s="21"/>
      <c r="CA209" s="21"/>
      <c r="CB209" s="21"/>
      <c r="CC209" s="21"/>
      <c r="CD209" s="21"/>
      <c r="CE209" s="21"/>
      <c r="CF209" s="21"/>
      <c r="CG209" s="21"/>
      <c r="CH209" s="21"/>
      <c r="CI209" s="21"/>
      <c r="CJ209" s="21"/>
      <c r="CK209" s="21"/>
      <c r="CL209" s="21"/>
      <c r="CM209" s="21"/>
      <c r="CN209" s="21"/>
      <c r="CO209" s="21"/>
      <c r="CP209" s="21"/>
      <c r="CQ209" s="21"/>
      <c r="CR209" s="21"/>
      <c r="CS209" s="21"/>
      <c r="CT209" s="21"/>
      <c r="CU209" s="21"/>
      <c r="CV209" s="21"/>
      <c r="CW209" s="21"/>
      <c r="CX209" s="21"/>
      <c r="CY209" s="21"/>
      <c r="CZ209" s="21"/>
      <c r="DA209" s="21"/>
      <c r="DB209" s="21"/>
      <c r="DC209" s="21"/>
      <c r="DD209" s="21"/>
      <c r="DE209" s="21"/>
      <c r="DF209" s="21"/>
      <c r="DG209" s="21"/>
      <c r="DH209" s="21"/>
      <c r="DI209" s="21"/>
      <c r="DJ209" s="21"/>
      <c r="DK209" s="21"/>
      <c r="DL209" s="21"/>
      <c r="DM209" s="21"/>
      <c r="DN209" s="21"/>
      <c r="DO209" s="21"/>
      <c r="DP209" s="21"/>
      <c r="DQ209" s="21"/>
      <c r="DR209" s="21"/>
      <c r="DS209" s="21"/>
      <c r="DT209" s="21"/>
    </row>
    <row r="210" spans="1:124" ht="15" thickBot="1" x14ac:dyDescent="0.4">
      <c r="A210" s="89" t="s">
        <v>200</v>
      </c>
    </row>
    <row r="211" spans="1:124" s="22" customFormat="1" ht="15" thickTop="1" x14ac:dyDescent="0.35">
      <c r="A211" s="20" t="s">
        <v>198</v>
      </c>
      <c r="B211" s="21">
        <v>1</v>
      </c>
      <c r="C211" s="21">
        <v>45.965855418031836</v>
      </c>
      <c r="D211" s="21">
        <v>52.885784424251824</v>
      </c>
      <c r="E211" s="21">
        <v>60.482621376901378</v>
      </c>
      <c r="F211" s="21">
        <v>68.665218038893585</v>
      </c>
      <c r="G211" s="21">
        <v>77.436213167367043</v>
      </c>
      <c r="H211" s="21">
        <v>86.819274290457599</v>
      </c>
      <c r="I211" s="21">
        <v>97.007845242953138</v>
      </c>
      <c r="J211" s="21">
        <v>108.12682434979411</v>
      </c>
      <c r="K211" s="21">
        <v>120.20402576864771</v>
      </c>
      <c r="L211" s="21">
        <v>133.29285806404164</v>
      </c>
      <c r="M211" s="21">
        <v>147.4641592947408</v>
      </c>
      <c r="N211" s="21">
        <v>162.80409495623982</v>
      </c>
      <c r="O211" s="21">
        <v>179.41372739879699</v>
      </c>
      <c r="P211" s="21">
        <v>197.40295077064025</v>
      </c>
      <c r="Q211" s="21">
        <v>216.8803867094727</v>
      </c>
      <c r="R211" s="21">
        <v>237.92799095042452</v>
      </c>
      <c r="S211" s="21">
        <v>260.57981244098761</v>
      </c>
      <c r="T211" s="21">
        <v>264.01915693948979</v>
      </c>
      <c r="U211" s="21">
        <v>260.5687288350781</v>
      </c>
      <c r="V211" s="21">
        <v>257.2045532284734</v>
      </c>
      <c r="W211" s="21">
        <v>253.92447437444153</v>
      </c>
      <c r="X211" s="21">
        <v>250.7263902738124</v>
      </c>
      <c r="Y211" s="21">
        <v>247.60825128783776</v>
      </c>
      <c r="Z211" s="21">
        <v>244.5680588676432</v>
      </c>
      <c r="AA211" s="21">
        <v>244.5680588676432</v>
      </c>
      <c r="AB211" s="21">
        <v>244.5680588676432</v>
      </c>
      <c r="AC211" s="21">
        <v>244.5680588676432</v>
      </c>
      <c r="AD211" s="21">
        <v>244.5680588676432</v>
      </c>
      <c r="AE211" s="21">
        <v>244.5680588676432</v>
      </c>
      <c r="AF211" s="21">
        <v>244.5680588676432</v>
      </c>
      <c r="AG211" s="21">
        <v>244.5680588676432</v>
      </c>
      <c r="AH211" s="21">
        <v>244.5680588676432</v>
      </c>
      <c r="AI211" s="21">
        <v>244.5680588676432</v>
      </c>
      <c r="AJ211" s="21">
        <v>244.5680588676432</v>
      </c>
      <c r="AK211" s="21">
        <v>244.5680588676432</v>
      </c>
      <c r="AL211" s="21">
        <v>244.5680588676432</v>
      </c>
      <c r="AM211" s="21">
        <v>244.5680588676432</v>
      </c>
      <c r="AN211" s="21">
        <v>244.5680588676432</v>
      </c>
      <c r="AO211" s="21">
        <v>244.5680588676432</v>
      </c>
      <c r="AP211" s="21">
        <v>244.5680588676432</v>
      </c>
      <c r="AQ211" s="21">
        <v>244.5680588676432</v>
      </c>
      <c r="AR211" s="21">
        <v>244.5680588676432</v>
      </c>
      <c r="AS211" s="21">
        <v>244.5680588676432</v>
      </c>
      <c r="AT211" s="21">
        <v>244.5680588676432</v>
      </c>
      <c r="AU211" s="21">
        <v>244.5680588676432</v>
      </c>
      <c r="AV211" s="21">
        <v>244.5680588676432</v>
      </c>
      <c r="AW211" s="21">
        <v>244.5680588676432</v>
      </c>
      <c r="AX211" s="21">
        <v>244.5680588676432</v>
      </c>
      <c r="AY211" s="21">
        <v>244.5680588676432</v>
      </c>
      <c r="AZ211" s="21">
        <v>244.5680588676432</v>
      </c>
      <c r="BA211" s="21">
        <v>244.5680588676432</v>
      </c>
      <c r="BB211" s="21">
        <v>244.5680588676432</v>
      </c>
      <c r="BC211" s="21">
        <v>244.5680588676432</v>
      </c>
      <c r="BD211" s="21">
        <v>244.5680588676432</v>
      </c>
      <c r="BE211" s="21">
        <v>244.5680588676432</v>
      </c>
      <c r="BF211" s="21">
        <v>244.5680588676432</v>
      </c>
      <c r="BG211" s="21">
        <v>244.5680588676432</v>
      </c>
      <c r="BH211" s="21">
        <v>244.5680588676432</v>
      </c>
      <c r="BI211" s="21">
        <v>244.5680588676432</v>
      </c>
      <c r="BJ211" s="21"/>
      <c r="BK211" s="21"/>
      <c r="BL211" s="21"/>
      <c r="BM211" s="21"/>
      <c r="BN211" s="21"/>
      <c r="BO211" s="21"/>
      <c r="BP211" s="21"/>
      <c r="BQ211" s="21"/>
      <c r="BR211" s="21"/>
      <c r="BS211" s="21"/>
      <c r="BT211" s="21"/>
      <c r="BU211" s="21"/>
      <c r="BV211" s="21"/>
      <c r="BW211" s="21"/>
      <c r="BX211" s="21"/>
      <c r="BY211" s="21"/>
      <c r="BZ211" s="21"/>
      <c r="CA211" s="21"/>
      <c r="CB211" s="21"/>
      <c r="CC211" s="21"/>
      <c r="CD211" s="21"/>
      <c r="CE211" s="21"/>
      <c r="CF211" s="21"/>
      <c r="CG211" s="21"/>
      <c r="CH211" s="21"/>
      <c r="CI211" s="21"/>
      <c r="CJ211" s="21"/>
      <c r="CK211" s="21"/>
      <c r="CL211" s="21"/>
      <c r="CM211" s="21"/>
      <c r="CN211" s="21"/>
      <c r="CO211" s="21"/>
      <c r="CP211" s="21"/>
      <c r="CQ211" s="21"/>
      <c r="CR211" s="21"/>
      <c r="CS211" s="21"/>
      <c r="CT211" s="21"/>
      <c r="CU211" s="21"/>
      <c r="CV211" s="21"/>
      <c r="CW211" s="21"/>
      <c r="CX211" s="21"/>
      <c r="CY211" s="21"/>
      <c r="CZ211" s="21"/>
      <c r="DA211" s="21"/>
      <c r="DB211" s="21"/>
      <c r="DC211" s="21"/>
      <c r="DD211" s="21"/>
      <c r="DE211" s="21"/>
      <c r="DF211" s="21"/>
      <c r="DG211" s="21"/>
      <c r="DH211" s="21"/>
      <c r="DI211" s="21"/>
      <c r="DJ211" s="21"/>
      <c r="DK211" s="21"/>
      <c r="DL211" s="21"/>
      <c r="DM211" s="21"/>
      <c r="DN211" s="21"/>
      <c r="DO211" s="21"/>
      <c r="DP211" s="21"/>
      <c r="DQ211" s="21"/>
      <c r="DR211" s="21"/>
      <c r="DS211" s="21"/>
      <c r="DT211" s="21"/>
    </row>
    <row r="212" spans="1:124" s="25" customFormat="1" ht="15" thickBot="1" x14ac:dyDescent="0.4">
      <c r="A212" s="89" t="s">
        <v>199</v>
      </c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  <c r="CA212" s="3"/>
      <c r="CB212" s="3"/>
      <c r="CC212" s="3"/>
      <c r="CD212" s="3"/>
      <c r="CE212" s="3"/>
      <c r="CF212" s="3"/>
      <c r="CG212" s="3"/>
      <c r="CH212" s="3"/>
      <c r="CI212" s="3"/>
      <c r="CJ212" s="3"/>
      <c r="CK212" s="3"/>
      <c r="CL212" s="3"/>
      <c r="CM212" s="3"/>
      <c r="CN212" s="3"/>
      <c r="CO212" s="3"/>
      <c r="CP212" s="3"/>
      <c r="CQ212" s="3"/>
      <c r="CR212" s="3"/>
      <c r="CS212" s="3"/>
      <c r="CT212" s="3"/>
      <c r="CU212" s="3"/>
      <c r="CV212" s="3"/>
      <c r="CW212" s="3"/>
      <c r="CX212" s="3"/>
      <c r="CY212" s="3"/>
      <c r="CZ212" s="3"/>
      <c r="DA212" s="3"/>
      <c r="DB212" s="3"/>
      <c r="DC212" s="3"/>
      <c r="DD212" s="3"/>
      <c r="DE212" s="3"/>
      <c r="DF212" s="3"/>
      <c r="DG212" s="3"/>
      <c r="DH212" s="3"/>
      <c r="DI212" s="3"/>
      <c r="DJ212" s="3"/>
      <c r="DK212" s="3"/>
      <c r="DL212" s="3"/>
      <c r="DM212" s="3"/>
      <c r="DN212" s="3"/>
      <c r="DO212" s="3"/>
      <c r="DP212" s="3"/>
      <c r="DQ212" s="3"/>
      <c r="DR212" s="3"/>
      <c r="DS212" s="3"/>
      <c r="DT212" s="3"/>
    </row>
    <row r="213" spans="1:124" s="22" customFormat="1" ht="15" thickTop="1" x14ac:dyDescent="0.35">
      <c r="A213" s="20" t="s">
        <v>198</v>
      </c>
      <c r="B213" s="21">
        <v>1</v>
      </c>
      <c r="C213" s="21">
        <v>35.155481751481716</v>
      </c>
      <c r="D213" s="21">
        <v>44.332282374749177</v>
      </c>
      <c r="E213" s="21">
        <v>55.52901374640512</v>
      </c>
      <c r="F213" s="21">
        <v>69.121567096942428</v>
      </c>
      <c r="G213" s="21">
        <v>85.567382136243751</v>
      </c>
      <c r="H213" s="21">
        <v>105.65996338931656</v>
      </c>
      <c r="I213" s="21">
        <v>130.45068993725823</v>
      </c>
      <c r="J213" s="21">
        <v>161.44727845162271</v>
      </c>
      <c r="K213" s="21">
        <v>200.16812854747508</v>
      </c>
      <c r="L213" s="21">
        <v>248.46508219287259</v>
      </c>
      <c r="M213" s="21">
        <v>291</v>
      </c>
      <c r="N213" s="21">
        <v>289</v>
      </c>
      <c r="O213" s="21">
        <v>297.85766994708598</v>
      </c>
      <c r="P213" s="21">
        <v>290.73542023432384</v>
      </c>
      <c r="Q213" s="21">
        <v>321.96493961973624</v>
      </c>
      <c r="R213" s="21">
        <v>285.95533933101092</v>
      </c>
      <c r="S213" s="21">
        <v>273.6138942404549</v>
      </c>
      <c r="T213" s="21">
        <v>305.71192638335839</v>
      </c>
      <c r="U213" s="21">
        <v>261.30466001826568</v>
      </c>
      <c r="V213" s="21">
        <v>204.04197460433676</v>
      </c>
      <c r="W213" s="21">
        <v>200.13987587411992</v>
      </c>
      <c r="X213" s="21">
        <v>216.98742013606164</v>
      </c>
      <c r="Y213" s="21">
        <v>216.98742013606164</v>
      </c>
      <c r="Z213" s="21">
        <v>300</v>
      </c>
      <c r="AA213" s="21">
        <v>209.66102603523055</v>
      </c>
      <c r="AB213" s="21">
        <v>212.25067459590824</v>
      </c>
      <c r="AC213" s="21">
        <v>213.56558978268362</v>
      </c>
      <c r="AD213" s="21">
        <v>213.56558978268362</v>
      </c>
      <c r="AE213" s="21">
        <v>213.56558978268362</v>
      </c>
      <c r="AF213" s="21">
        <v>213.56558978268362</v>
      </c>
      <c r="AG213" s="21">
        <v>213.56558978268362</v>
      </c>
      <c r="AH213" s="21">
        <v>213.56558978268362</v>
      </c>
      <c r="AI213" s="21">
        <v>213.56558978268362</v>
      </c>
      <c r="AJ213" s="21">
        <v>213.56558978268362</v>
      </c>
      <c r="AK213" s="21">
        <v>213.56558978268362</v>
      </c>
      <c r="AL213" s="21">
        <v>213.56558978268362</v>
      </c>
      <c r="AM213" s="21">
        <v>213.56558978268362</v>
      </c>
      <c r="AN213" s="21">
        <v>213.56558978268362</v>
      </c>
      <c r="AO213" s="21">
        <v>213.56558978268362</v>
      </c>
      <c r="AP213" s="21">
        <v>213.56558978268362</v>
      </c>
      <c r="AQ213" s="21">
        <v>213.56558978268362</v>
      </c>
      <c r="AR213" s="21">
        <v>213.56558978268362</v>
      </c>
      <c r="AS213" s="21">
        <v>213.56558978268362</v>
      </c>
      <c r="AT213" s="21">
        <v>213.56558978268362</v>
      </c>
      <c r="AU213" s="21">
        <v>213.56558978268362</v>
      </c>
      <c r="AV213" s="21">
        <v>213.56558978268362</v>
      </c>
      <c r="AW213" s="21">
        <v>213.56558978268362</v>
      </c>
      <c r="AX213" s="21">
        <v>301.30110664013489</v>
      </c>
      <c r="AY213" s="21">
        <v>200.41389669519512</v>
      </c>
      <c r="AZ213" s="21">
        <v>100.20694834759756</v>
      </c>
      <c r="BA213" s="21">
        <v>50.10347417379878</v>
      </c>
      <c r="BB213" s="21">
        <v>25.05173708689939</v>
      </c>
      <c r="BC213" s="21">
        <v>12.525868543449695</v>
      </c>
      <c r="BD213" s="21">
        <v>6.2629342717248475</v>
      </c>
      <c r="BE213" s="21">
        <v>3.1314671358624238</v>
      </c>
      <c r="BF213" s="21">
        <v>1.5657335679312119</v>
      </c>
      <c r="BG213" s="21">
        <v>0.78286678396560594</v>
      </c>
      <c r="BH213" s="21">
        <v>0.39143339198280297</v>
      </c>
      <c r="BI213" s="21">
        <v>0.19571669599140148</v>
      </c>
      <c r="BJ213" s="21"/>
      <c r="BK213" s="21"/>
      <c r="BL213" s="21"/>
      <c r="BM213" s="21"/>
      <c r="BN213" s="21"/>
      <c r="BO213" s="21"/>
      <c r="BP213" s="21"/>
      <c r="BQ213" s="21"/>
      <c r="BR213" s="21"/>
      <c r="BS213" s="21"/>
      <c r="BT213" s="21"/>
      <c r="BU213" s="21"/>
      <c r="BV213" s="21"/>
      <c r="BW213" s="21"/>
      <c r="BX213" s="21"/>
      <c r="BY213" s="21"/>
      <c r="BZ213" s="21"/>
      <c r="CA213" s="21"/>
      <c r="CB213" s="21"/>
      <c r="CC213" s="21"/>
      <c r="CD213" s="21"/>
      <c r="CE213" s="21"/>
      <c r="CF213" s="21"/>
      <c r="CG213" s="21"/>
      <c r="CH213" s="21"/>
      <c r="CI213" s="21"/>
      <c r="CJ213" s="21"/>
      <c r="CK213" s="21"/>
      <c r="CL213" s="21"/>
      <c r="CM213" s="21"/>
      <c r="CN213" s="21"/>
      <c r="CO213" s="21"/>
      <c r="CP213" s="21"/>
      <c r="CQ213" s="21"/>
      <c r="CR213" s="21"/>
      <c r="CS213" s="21"/>
      <c r="CT213" s="21"/>
      <c r="CU213" s="21"/>
      <c r="CV213" s="21"/>
      <c r="CW213" s="21"/>
      <c r="CX213" s="21"/>
      <c r="CY213" s="21"/>
      <c r="CZ213" s="21"/>
      <c r="DA213" s="21"/>
      <c r="DB213" s="21"/>
      <c r="DC213" s="21"/>
      <c r="DD213" s="21"/>
      <c r="DE213" s="21"/>
      <c r="DF213" s="21"/>
      <c r="DG213" s="21"/>
      <c r="DH213" s="21"/>
      <c r="DI213" s="21"/>
      <c r="DJ213" s="21"/>
      <c r="DK213" s="21"/>
      <c r="DL213" s="21"/>
      <c r="DM213" s="21"/>
      <c r="DN213" s="21"/>
      <c r="DO213" s="21"/>
      <c r="DP213" s="21"/>
      <c r="DQ213" s="21"/>
      <c r="DR213" s="21"/>
      <c r="DS213" s="21"/>
      <c r="DT213" s="21"/>
    </row>
    <row r="216" spans="1:124" ht="20" thickBot="1" x14ac:dyDescent="0.4">
      <c r="A216" s="84" t="s">
        <v>99</v>
      </c>
      <c r="B216" s="3"/>
    </row>
    <row r="217" spans="1:124" ht="15" thickTop="1" x14ac:dyDescent="0.35">
      <c r="A217" s="15" t="s">
        <v>233</v>
      </c>
      <c r="B217" s="3">
        <f t="shared" ref="B217:AU217" si="52">+B118/B105</f>
        <v>2.124572737974987</v>
      </c>
      <c r="C217" s="3">
        <f t="shared" si="52"/>
        <v>2.1342154964183302</v>
      </c>
      <c r="D217" s="3">
        <f t="shared" si="52"/>
        <v>2.1468158752591049</v>
      </c>
      <c r="E217" s="3">
        <f t="shared" si="52"/>
        <v>2.1621949386978292</v>
      </c>
      <c r="F217" s="3">
        <f t="shared" si="52"/>
        <v>2.178559155235734</v>
      </c>
      <c r="G217" s="3">
        <f t="shared" si="52"/>
        <v>2.194831963991581</v>
      </c>
      <c r="H217" s="3">
        <f t="shared" si="52"/>
        <v>2.2103164683899226</v>
      </c>
      <c r="I217" s="3">
        <f t="shared" si="52"/>
        <v>2.2245092666937953</v>
      </c>
      <c r="J217" s="3">
        <f t="shared" si="52"/>
        <v>2.2369862149570285</v>
      </c>
      <c r="K217" s="3">
        <f t="shared" si="52"/>
        <v>2.2473396703402884</v>
      </c>
      <c r="L217" s="3">
        <f t="shared" si="52"/>
        <v>2.2551222207794215</v>
      </c>
      <c r="M217" s="3">
        <f t="shared" si="52"/>
        <v>2.2649003332892224</v>
      </c>
      <c r="N217" s="3">
        <f t="shared" si="52"/>
        <v>2.278801945212908</v>
      </c>
      <c r="O217" s="3">
        <f t="shared" si="52"/>
        <v>2.2954267422871375</v>
      </c>
      <c r="P217" s="3">
        <f t="shared" si="52"/>
        <v>2.3138416043504249</v>
      </c>
      <c r="Q217" s="3">
        <f t="shared" si="52"/>
        <v>2.333410697846797</v>
      </c>
      <c r="R217" s="3">
        <f t="shared" si="52"/>
        <v>2.3536789252701569</v>
      </c>
      <c r="S217" s="3">
        <f t="shared" si="52"/>
        <v>2.3742838086236846</v>
      </c>
      <c r="T217" s="3">
        <f t="shared" si="52"/>
        <v>2.394873977750712</v>
      </c>
      <c r="U217" s="3">
        <f t="shared" si="52"/>
        <v>2.4150110799479521</v>
      </c>
      <c r="V217" s="3">
        <f t="shared" si="52"/>
        <v>2.4341535257523086</v>
      </c>
      <c r="W217" s="3">
        <f t="shared" si="52"/>
        <v>2.4520482402980956</v>
      </c>
      <c r="X217" s="3">
        <f t="shared" si="52"/>
        <v>2.4685830191102132</v>
      </c>
      <c r="Y217" s="3">
        <f t="shared" si="52"/>
        <v>2.4850821453988901</v>
      </c>
      <c r="Z217" s="3">
        <f t="shared" si="52"/>
        <v>2.5009216456684702</v>
      </c>
      <c r="AA217" s="3">
        <f t="shared" si="52"/>
        <v>2.5167327936442176</v>
      </c>
      <c r="AB217" s="3">
        <f t="shared" si="52"/>
        <v>2.53248251797099</v>
      </c>
      <c r="AC217" s="3">
        <f t="shared" si="52"/>
        <v>2.5482639040965296</v>
      </c>
      <c r="AD217" s="3">
        <f t="shared" si="52"/>
        <v>2.5643315030628142</v>
      </c>
      <c r="AE217" s="3">
        <f t="shared" si="52"/>
        <v>2.5694124406437382</v>
      </c>
      <c r="AF217" s="3">
        <f t="shared" si="52"/>
        <v>2.5763556896387363</v>
      </c>
      <c r="AG217" s="3">
        <f t="shared" si="52"/>
        <v>2.5844606446270624</v>
      </c>
      <c r="AH217" s="3">
        <f t="shared" si="52"/>
        <v>2.5932507509333815</v>
      </c>
      <c r="AI217" s="3">
        <f t="shared" si="52"/>
        <v>2.602402846859365</v>
      </c>
      <c r="AJ217" s="3">
        <f t="shared" si="52"/>
        <v>2.611698910674638</v>
      </c>
      <c r="AK217" s="3">
        <f t="shared" si="52"/>
        <v>2.6209930284048584</v>
      </c>
      <c r="AL217" s="3">
        <f t="shared" si="52"/>
        <v>2.6301887376276052</v>
      </c>
      <c r="AM217" s="3">
        <f t="shared" si="52"/>
        <v>2.639223464272483</v>
      </c>
      <c r="AN217" s="3">
        <f t="shared" si="52"/>
        <v>2.6480578192597806</v>
      </c>
      <c r="AO217" s="3">
        <f t="shared" si="52"/>
        <v>2.6566682312633061</v>
      </c>
      <c r="AP217" s="3">
        <f t="shared" si="52"/>
        <v>2.6650418733178687</v>
      </c>
      <c r="AQ217" s="3">
        <f t="shared" si="52"/>
        <v>2.6731731687910507</v>
      </c>
      <c r="AR217" s="3">
        <f t="shared" si="52"/>
        <v>2.6810613860449273</v>
      </c>
      <c r="AS217" s="3">
        <f t="shared" si="52"/>
        <v>2.6887089842705154</v>
      </c>
      <c r="AT217" s="3">
        <f t="shared" si="52"/>
        <v>2.6961204779960752</v>
      </c>
      <c r="AU217" s="3">
        <f t="shared" si="52"/>
        <v>2.7033016599061876</v>
      </c>
    </row>
    <row r="225" s="3" customFormat="1" x14ac:dyDescent="0.35"/>
    <row r="226" s="3" customFormat="1" x14ac:dyDescent="0.35"/>
    <row r="227" s="3" customFormat="1" x14ac:dyDescent="0.35"/>
    <row r="228" s="3" customFormat="1" x14ac:dyDescent="0.35"/>
    <row r="229" s="3" customFormat="1" x14ac:dyDescent="0.35"/>
    <row r="230" s="3" customFormat="1" x14ac:dyDescent="0.35"/>
    <row r="231" s="3" customFormat="1" x14ac:dyDescent="0.35"/>
    <row r="232" s="3" customFormat="1" x14ac:dyDescent="0.35"/>
    <row r="233" s="3" customFormat="1" x14ac:dyDescent="0.35"/>
    <row r="234" s="3" customFormat="1" x14ac:dyDescent="0.35"/>
    <row r="235" s="3" customFormat="1" x14ac:dyDescent="0.35"/>
    <row r="236" s="3" customFormat="1" x14ac:dyDescent="0.35"/>
    <row r="237" s="3" customFormat="1" x14ac:dyDescent="0.35"/>
    <row r="238" s="3" customFormat="1" x14ac:dyDescent="0.35"/>
    <row r="239" s="3" customFormat="1" x14ac:dyDescent="0.35"/>
    <row r="240" s="3" customFormat="1" x14ac:dyDescent="0.35"/>
    <row r="241" s="3" customFormat="1" x14ac:dyDescent="0.35"/>
    <row r="242" s="3" customFormat="1" x14ac:dyDescent="0.35"/>
    <row r="243" s="3" customFormat="1" x14ac:dyDescent="0.35"/>
    <row r="244" s="3" customFormat="1" x14ac:dyDescent="0.35"/>
    <row r="245" s="3" customFormat="1" x14ac:dyDescent="0.35"/>
    <row r="246" s="3" customFormat="1" x14ac:dyDescent="0.35"/>
    <row r="247" s="3" customFormat="1" x14ac:dyDescent="0.35"/>
    <row r="248" s="3" customFormat="1" x14ac:dyDescent="0.35"/>
    <row r="249" s="3" customFormat="1" x14ac:dyDescent="0.35"/>
    <row r="250" s="3" customFormat="1" x14ac:dyDescent="0.35"/>
    <row r="251" s="3" customFormat="1" x14ac:dyDescent="0.35"/>
    <row r="252" s="3" customFormat="1" x14ac:dyDescent="0.35"/>
    <row r="253" s="3" customFormat="1" x14ac:dyDescent="0.35"/>
    <row r="254" s="3" customFormat="1" x14ac:dyDescent="0.35"/>
    <row r="255" s="3" customFormat="1" x14ac:dyDescent="0.35"/>
    <row r="256" s="3" customFormat="1" x14ac:dyDescent="0.35"/>
    <row r="257" s="3" customFormat="1" x14ac:dyDescent="0.35"/>
    <row r="258" s="3" customFormat="1" x14ac:dyDescent="0.35"/>
    <row r="259" s="3" customFormat="1" x14ac:dyDescent="0.35"/>
    <row r="260" s="3" customFormat="1" x14ac:dyDescent="0.35"/>
    <row r="261" s="3" customFormat="1" x14ac:dyDescent="0.35"/>
    <row r="262" s="3" customFormat="1" x14ac:dyDescent="0.35"/>
    <row r="263" s="3" customFormat="1" x14ac:dyDescent="0.35"/>
    <row r="264" s="3" customFormat="1" x14ac:dyDescent="0.35"/>
    <row r="265" s="3" customFormat="1" x14ac:dyDescent="0.35"/>
    <row r="266" s="3" customFormat="1" x14ac:dyDescent="0.35"/>
    <row r="267" s="3" customFormat="1" x14ac:dyDescent="0.35"/>
    <row r="268" s="3" customFormat="1" x14ac:dyDescent="0.35"/>
    <row r="269" s="3" customFormat="1" x14ac:dyDescent="0.35"/>
    <row r="270" s="3" customFormat="1" x14ac:dyDescent="0.35"/>
    <row r="271" s="3" customFormat="1" x14ac:dyDescent="0.35"/>
    <row r="272" s="3" customFormat="1" x14ac:dyDescent="0.35"/>
    <row r="273" s="3" customFormat="1" x14ac:dyDescent="0.35"/>
    <row r="274" s="3" customFormat="1" x14ac:dyDescent="0.35"/>
    <row r="275" s="3" customFormat="1" x14ac:dyDescent="0.35"/>
    <row r="276" s="3" customFormat="1" x14ac:dyDescent="0.35"/>
    <row r="277" s="3" customFormat="1" x14ac:dyDescent="0.35"/>
    <row r="278" s="3" customFormat="1" x14ac:dyDescent="0.35"/>
    <row r="279" s="3" customFormat="1" x14ac:dyDescent="0.35"/>
    <row r="280" s="3" customFormat="1" x14ac:dyDescent="0.35"/>
    <row r="281" s="3" customFormat="1" x14ac:dyDescent="0.35"/>
    <row r="282" s="3" customFormat="1" x14ac:dyDescent="0.35"/>
    <row r="283" s="3" customFormat="1" x14ac:dyDescent="0.35"/>
    <row r="284" s="3" customFormat="1" x14ac:dyDescent="0.35"/>
    <row r="285" s="3" customFormat="1" x14ac:dyDescent="0.35"/>
    <row r="286" s="3" customFormat="1" x14ac:dyDescent="0.35"/>
    <row r="287" s="3" customFormat="1" x14ac:dyDescent="0.35"/>
    <row r="288" s="3" customFormat="1" x14ac:dyDescent="0.35"/>
    <row r="289" s="3" customFormat="1" x14ac:dyDescent="0.35"/>
    <row r="290" s="3" customFormat="1" x14ac:dyDescent="0.35"/>
    <row r="291" s="3" customFormat="1" x14ac:dyDescent="0.35"/>
    <row r="292" s="3" customFormat="1" x14ac:dyDescent="0.35"/>
    <row r="293" s="3" customFormat="1" x14ac:dyDescent="0.35"/>
    <row r="294" s="3" customFormat="1" x14ac:dyDescent="0.35"/>
    <row r="295" s="3" customFormat="1" x14ac:dyDescent="0.35"/>
    <row r="296" s="3" customFormat="1" x14ac:dyDescent="0.35"/>
    <row r="297" s="3" customFormat="1" x14ac:dyDescent="0.35"/>
    <row r="298" s="3" customFormat="1" x14ac:dyDescent="0.35"/>
    <row r="299" s="3" customFormat="1" x14ac:dyDescent="0.35"/>
    <row r="300" s="3" customFormat="1" x14ac:dyDescent="0.35"/>
    <row r="301" s="3" customFormat="1" x14ac:dyDescent="0.35"/>
    <row r="302" s="3" customFormat="1" x14ac:dyDescent="0.35"/>
    <row r="303" s="3" customFormat="1" x14ac:dyDescent="0.35"/>
    <row r="304" s="3" customFormat="1" x14ac:dyDescent="0.35"/>
    <row r="305" s="3" customFormat="1" x14ac:dyDescent="0.35"/>
    <row r="306" s="3" customFormat="1" x14ac:dyDescent="0.35"/>
    <row r="307" s="3" customFormat="1" x14ac:dyDescent="0.35"/>
    <row r="308" s="3" customFormat="1" x14ac:dyDescent="0.35"/>
    <row r="309" s="3" customFormat="1" x14ac:dyDescent="0.35"/>
    <row r="310" s="3" customFormat="1" x14ac:dyDescent="0.35"/>
    <row r="311" s="3" customFormat="1" x14ac:dyDescent="0.35"/>
    <row r="312" s="3" customFormat="1" x14ac:dyDescent="0.35"/>
    <row r="313" s="3" customFormat="1" x14ac:dyDescent="0.35"/>
    <row r="314" s="3" customFormat="1" x14ac:dyDescent="0.35"/>
    <row r="315" s="3" customFormat="1" x14ac:dyDescent="0.35"/>
    <row r="316" s="3" customFormat="1" x14ac:dyDescent="0.35"/>
    <row r="317" s="3" customFormat="1" x14ac:dyDescent="0.35"/>
    <row r="318" s="3" customFormat="1" x14ac:dyDescent="0.35"/>
    <row r="319" s="3" customFormat="1" x14ac:dyDescent="0.35"/>
    <row r="320" s="3" customFormat="1" x14ac:dyDescent="0.35"/>
    <row r="321" s="3" customFormat="1" x14ac:dyDescent="0.35"/>
    <row r="322" s="3" customFormat="1" x14ac:dyDescent="0.35"/>
    <row r="323" s="3" customFormat="1" x14ac:dyDescent="0.35"/>
    <row r="324" s="3" customFormat="1" x14ac:dyDescent="0.35"/>
    <row r="325" s="3" customFormat="1" x14ac:dyDescent="0.35"/>
    <row r="326" s="3" customFormat="1" x14ac:dyDescent="0.35"/>
    <row r="327" s="3" customFormat="1" x14ac:dyDescent="0.35"/>
    <row r="328" s="3" customFormat="1" x14ac:dyDescent="0.35"/>
    <row r="329" s="3" customFormat="1" x14ac:dyDescent="0.35"/>
    <row r="330" s="3" customFormat="1" x14ac:dyDescent="0.35"/>
    <row r="331" s="3" customFormat="1" x14ac:dyDescent="0.35"/>
    <row r="332" s="3" customFormat="1" x14ac:dyDescent="0.35"/>
    <row r="333" s="3" customFormat="1" x14ac:dyDescent="0.35"/>
    <row r="334" s="3" customFormat="1" x14ac:dyDescent="0.35"/>
    <row r="335" s="3" customFormat="1" x14ac:dyDescent="0.35"/>
    <row r="336" s="3" customFormat="1" x14ac:dyDescent="0.35"/>
    <row r="337" s="3" customFormat="1" x14ac:dyDescent="0.35"/>
    <row r="338" s="3" customFormat="1" x14ac:dyDescent="0.35"/>
    <row r="339" s="3" customFormat="1" x14ac:dyDescent="0.35"/>
    <row r="340" s="3" customFormat="1" x14ac:dyDescent="0.35"/>
    <row r="341" s="3" customFormat="1" x14ac:dyDescent="0.35"/>
    <row r="342" s="3" customFormat="1" x14ac:dyDescent="0.35"/>
    <row r="343" s="3" customFormat="1" x14ac:dyDescent="0.35"/>
    <row r="344" s="3" customFormat="1" x14ac:dyDescent="0.35"/>
    <row r="345" s="3" customFormat="1" x14ac:dyDescent="0.35"/>
    <row r="346" s="3" customFormat="1" x14ac:dyDescent="0.35"/>
    <row r="347" s="3" customFormat="1" x14ac:dyDescent="0.35"/>
    <row r="348" s="3" customFormat="1" x14ac:dyDescent="0.35"/>
    <row r="349" s="3" customFormat="1" x14ac:dyDescent="0.35"/>
    <row r="350" s="3" customFormat="1" x14ac:dyDescent="0.35"/>
    <row r="351" s="3" customFormat="1" x14ac:dyDescent="0.35"/>
    <row r="352" s="3" customFormat="1" x14ac:dyDescent="0.35"/>
    <row r="353" s="3" customFormat="1" x14ac:dyDescent="0.35"/>
    <row r="354" s="3" customFormat="1" x14ac:dyDescent="0.35"/>
    <row r="355" s="3" customFormat="1" x14ac:dyDescent="0.35"/>
    <row r="356" s="3" customFormat="1" x14ac:dyDescent="0.35"/>
    <row r="357" s="3" customFormat="1" x14ac:dyDescent="0.35"/>
    <row r="358" s="3" customFormat="1" x14ac:dyDescent="0.35"/>
    <row r="359" s="3" customFormat="1" x14ac:dyDescent="0.35"/>
    <row r="360" s="3" customFormat="1" x14ac:dyDescent="0.35"/>
    <row r="361" s="3" customFormat="1" x14ac:dyDescent="0.35"/>
    <row r="362" s="3" customFormat="1" x14ac:dyDescent="0.35"/>
    <row r="363" s="3" customFormat="1" x14ac:dyDescent="0.35"/>
    <row r="364" s="3" customFormat="1" x14ac:dyDescent="0.35"/>
    <row r="365" s="3" customFormat="1" x14ac:dyDescent="0.35"/>
    <row r="366" s="3" customFormat="1" x14ac:dyDescent="0.35"/>
    <row r="367" s="3" customFormat="1" x14ac:dyDescent="0.35"/>
    <row r="368" s="3" customFormat="1" x14ac:dyDescent="0.35"/>
    <row r="369" s="3" customFormat="1" x14ac:dyDescent="0.35"/>
    <row r="370" s="3" customFormat="1" x14ac:dyDescent="0.35"/>
    <row r="371" s="3" customFormat="1" x14ac:dyDescent="0.35"/>
    <row r="372" s="3" customFormat="1" x14ac:dyDescent="0.35"/>
    <row r="373" s="3" customFormat="1" x14ac:dyDescent="0.35"/>
    <row r="374" s="3" customFormat="1" x14ac:dyDescent="0.35"/>
    <row r="375" s="3" customFormat="1" x14ac:dyDescent="0.35"/>
    <row r="376" s="3" customFormat="1" x14ac:dyDescent="0.35"/>
    <row r="377" s="3" customFormat="1" x14ac:dyDescent="0.35"/>
    <row r="378" s="3" customFormat="1" x14ac:dyDescent="0.35"/>
    <row r="379" s="3" customFormat="1" x14ac:dyDescent="0.35"/>
    <row r="380" s="3" customFormat="1" x14ac:dyDescent="0.35"/>
    <row r="381" s="3" customFormat="1" x14ac:dyDescent="0.35"/>
    <row r="382" s="3" customFormat="1" x14ac:dyDescent="0.35"/>
    <row r="383" s="3" customFormat="1" x14ac:dyDescent="0.35"/>
    <row r="384" s="3" customFormat="1" x14ac:dyDescent="0.35"/>
    <row r="385" s="3" customFormat="1" x14ac:dyDescent="0.35"/>
    <row r="386" s="3" customFormat="1" x14ac:dyDescent="0.35"/>
    <row r="387" s="3" customFormat="1" x14ac:dyDescent="0.35"/>
    <row r="388" s="3" customFormat="1" x14ac:dyDescent="0.35"/>
    <row r="389" s="3" customFormat="1" x14ac:dyDescent="0.35"/>
    <row r="390" s="3" customFormat="1" x14ac:dyDescent="0.35"/>
    <row r="391" s="3" customFormat="1" x14ac:dyDescent="0.35"/>
    <row r="392" s="3" customFormat="1" x14ac:dyDescent="0.35"/>
    <row r="393" s="3" customFormat="1" x14ac:dyDescent="0.35"/>
    <row r="394" s="3" customFormat="1" x14ac:dyDescent="0.35"/>
    <row r="395" s="3" customFormat="1" x14ac:dyDescent="0.35"/>
    <row r="396" s="3" customFormat="1" x14ac:dyDescent="0.35"/>
    <row r="397" s="3" customFormat="1" x14ac:dyDescent="0.35"/>
    <row r="398" s="3" customFormat="1" x14ac:dyDescent="0.35"/>
    <row r="399" s="3" customFormat="1" x14ac:dyDescent="0.35"/>
    <row r="400" s="3" customFormat="1" x14ac:dyDescent="0.35"/>
    <row r="401" s="3" customFormat="1" x14ac:dyDescent="0.35"/>
    <row r="402" s="3" customFormat="1" x14ac:dyDescent="0.35"/>
    <row r="403" s="3" customFormat="1" x14ac:dyDescent="0.35"/>
    <row r="404" s="3" customFormat="1" x14ac:dyDescent="0.35"/>
    <row r="405" s="3" customFormat="1" x14ac:dyDescent="0.35"/>
    <row r="406" s="3" customFormat="1" x14ac:dyDescent="0.35"/>
    <row r="407" s="3" customFormat="1" x14ac:dyDescent="0.35"/>
    <row r="408" s="3" customFormat="1" x14ac:dyDescent="0.35"/>
    <row r="409" s="3" customFormat="1" x14ac:dyDescent="0.35"/>
    <row r="410" s="3" customFormat="1" x14ac:dyDescent="0.35"/>
    <row r="411" s="3" customFormat="1" x14ac:dyDescent="0.35"/>
    <row r="412" s="3" customFormat="1" x14ac:dyDescent="0.35"/>
    <row r="413" s="3" customFormat="1" x14ac:dyDescent="0.35"/>
    <row r="414" s="3" customFormat="1" x14ac:dyDescent="0.35"/>
    <row r="415" s="3" customFormat="1" x14ac:dyDescent="0.35"/>
    <row r="416" s="3" customFormat="1" x14ac:dyDescent="0.35"/>
    <row r="417" s="3" customFormat="1" x14ac:dyDescent="0.35"/>
    <row r="418" s="3" customFormat="1" x14ac:dyDescent="0.35"/>
    <row r="419" s="3" customFormat="1" x14ac:dyDescent="0.35"/>
    <row r="420" s="3" customFormat="1" x14ac:dyDescent="0.35"/>
    <row r="421" s="3" customFormat="1" x14ac:dyDescent="0.35"/>
    <row r="422" s="3" customFormat="1" x14ac:dyDescent="0.35"/>
    <row r="423" s="3" customFormat="1" x14ac:dyDescent="0.35"/>
    <row r="424" s="3" customFormat="1" x14ac:dyDescent="0.35"/>
    <row r="425" s="3" customFormat="1" x14ac:dyDescent="0.35"/>
    <row r="426" s="3" customFormat="1" x14ac:dyDescent="0.35"/>
    <row r="427" s="3" customFormat="1" x14ac:dyDescent="0.35"/>
    <row r="428" s="3" customFormat="1" x14ac:dyDescent="0.35"/>
    <row r="429" s="3" customFormat="1" x14ac:dyDescent="0.35"/>
    <row r="430" s="3" customFormat="1" x14ac:dyDescent="0.35"/>
    <row r="431" s="3" customFormat="1" x14ac:dyDescent="0.35"/>
    <row r="432" s="3" customFormat="1" x14ac:dyDescent="0.35"/>
    <row r="433" s="3" customFormat="1" x14ac:dyDescent="0.35"/>
    <row r="434" s="3" customFormat="1" x14ac:dyDescent="0.35"/>
    <row r="435" s="3" customFormat="1" x14ac:dyDescent="0.35"/>
    <row r="436" s="3" customFormat="1" x14ac:dyDescent="0.35"/>
    <row r="437" s="3" customFormat="1" x14ac:dyDescent="0.35"/>
    <row r="438" s="3" customFormat="1" x14ac:dyDescent="0.35"/>
    <row r="439" s="3" customFormat="1" x14ac:dyDescent="0.35"/>
    <row r="440" s="3" customFormat="1" x14ac:dyDescent="0.35"/>
    <row r="441" s="3" customFormat="1" x14ac:dyDescent="0.35"/>
    <row r="442" s="3" customFormat="1" x14ac:dyDescent="0.35"/>
    <row r="443" s="3" customFormat="1" x14ac:dyDescent="0.35"/>
    <row r="444" s="3" customFormat="1" x14ac:dyDescent="0.35"/>
    <row r="445" s="3" customFormat="1" x14ac:dyDescent="0.35"/>
    <row r="446" s="3" customFormat="1" x14ac:dyDescent="0.35"/>
    <row r="447" s="3" customFormat="1" x14ac:dyDescent="0.35"/>
    <row r="448" s="3" customFormat="1" x14ac:dyDescent="0.35"/>
    <row r="449" s="3" customFormat="1" x14ac:dyDescent="0.35"/>
    <row r="450" s="3" customFormat="1" x14ac:dyDescent="0.35"/>
    <row r="451" s="3" customFormat="1" x14ac:dyDescent="0.35"/>
    <row r="452" s="3" customFormat="1" x14ac:dyDescent="0.35"/>
    <row r="453" s="3" customFormat="1" x14ac:dyDescent="0.35"/>
    <row r="454" s="3" customFormat="1" x14ac:dyDescent="0.35"/>
    <row r="455" s="3" customFormat="1" x14ac:dyDescent="0.35"/>
    <row r="456" s="3" customFormat="1" x14ac:dyDescent="0.35"/>
    <row r="457" s="3" customFormat="1" x14ac:dyDescent="0.35"/>
    <row r="458" s="3" customFormat="1" x14ac:dyDescent="0.35"/>
    <row r="459" s="3" customFormat="1" x14ac:dyDescent="0.35"/>
    <row r="460" s="3" customFormat="1" x14ac:dyDescent="0.35"/>
    <row r="461" s="3" customFormat="1" x14ac:dyDescent="0.35"/>
    <row r="462" s="3" customFormat="1" x14ac:dyDescent="0.35"/>
    <row r="463" s="3" customFormat="1" x14ac:dyDescent="0.35"/>
    <row r="464" s="3" customFormat="1" x14ac:dyDescent="0.35"/>
    <row r="465" s="3" customFormat="1" x14ac:dyDescent="0.35"/>
    <row r="466" s="3" customFormat="1" x14ac:dyDescent="0.35"/>
    <row r="467" s="3" customFormat="1" x14ac:dyDescent="0.35"/>
    <row r="468" s="3" customFormat="1" x14ac:dyDescent="0.35"/>
    <row r="469" s="3" customFormat="1" x14ac:dyDescent="0.35"/>
    <row r="470" s="3" customFormat="1" x14ac:dyDescent="0.35"/>
    <row r="471" s="3" customFormat="1" x14ac:dyDescent="0.35"/>
    <row r="472" s="3" customFormat="1" x14ac:dyDescent="0.35"/>
    <row r="473" s="3" customFormat="1" x14ac:dyDescent="0.35"/>
    <row r="474" s="3" customFormat="1" x14ac:dyDescent="0.35"/>
    <row r="475" s="3" customFormat="1" x14ac:dyDescent="0.35"/>
    <row r="476" s="3" customFormat="1" x14ac:dyDescent="0.35"/>
    <row r="477" s="3" customFormat="1" x14ac:dyDescent="0.35"/>
    <row r="478" s="3" customFormat="1" x14ac:dyDescent="0.35"/>
    <row r="479" s="3" customFormat="1" x14ac:dyDescent="0.35"/>
    <row r="480" s="3" customFormat="1" x14ac:dyDescent="0.35"/>
    <row r="481" s="3" customFormat="1" x14ac:dyDescent="0.35"/>
    <row r="482" s="3" customFormat="1" x14ac:dyDescent="0.35"/>
    <row r="483" s="3" customFormat="1" x14ac:dyDescent="0.35"/>
    <row r="484" s="3" customFormat="1" x14ac:dyDescent="0.35"/>
    <row r="485" s="3" customFormat="1" x14ac:dyDescent="0.35"/>
    <row r="486" s="3" customFormat="1" x14ac:dyDescent="0.35"/>
    <row r="487" s="3" customFormat="1" x14ac:dyDescent="0.35"/>
    <row r="488" s="3" customFormat="1" x14ac:dyDescent="0.35"/>
    <row r="489" s="3" customFormat="1" x14ac:dyDescent="0.35"/>
    <row r="490" s="3" customFormat="1" x14ac:dyDescent="0.35"/>
    <row r="491" s="3" customFormat="1" x14ac:dyDescent="0.35"/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W491"/>
  <sheetViews>
    <sheetView zoomScale="130" zoomScaleNormal="130" workbookViewId="0">
      <pane xSplit="1" ySplit="2" topLeftCell="B128" activePane="bottomRight" state="frozen"/>
      <selection pane="topRight" activeCell="B1" sqref="B1"/>
      <selection pane="bottomLeft" activeCell="A3" sqref="A3"/>
      <selection pane="bottomRight" activeCell="A132" sqref="A132:XFD133"/>
    </sheetView>
  </sheetViews>
  <sheetFormatPr defaultColWidth="12.36328125" defaultRowHeight="18" customHeight="1" x14ac:dyDescent="0.35"/>
  <cols>
    <col min="1" max="1" width="40.6328125" style="50" customWidth="1"/>
    <col min="2" max="2" width="15.08984375" style="51" bestFit="1" customWidth="1"/>
    <col min="3" max="3" width="14.453125" style="3" bestFit="1" customWidth="1"/>
    <col min="4" max="4" width="15.453125" style="3" customWidth="1"/>
    <col min="5" max="6" width="14.453125" style="3" bestFit="1" customWidth="1"/>
    <col min="7" max="7" width="15.08984375" style="3" bestFit="1" customWidth="1"/>
    <col min="8" max="34" width="14.453125" style="3" bestFit="1" customWidth="1"/>
    <col min="35" max="40" width="14.54296875" style="3" bestFit="1" customWidth="1"/>
    <col min="41" max="61" width="14.453125" style="3" bestFit="1" customWidth="1"/>
    <col min="62" max="62" width="14.6328125" style="3" customWidth="1"/>
    <col min="63" max="124" width="12.6328125" style="3" bestFit="1" customWidth="1"/>
    <col min="125" max="128" width="12.54296875" style="3" bestFit="1" customWidth="1"/>
    <col min="129" max="16384" width="12.36328125" style="3"/>
  </cols>
  <sheetData>
    <row r="1" spans="1:61" ht="14.5" x14ac:dyDescent="0.35">
      <c r="A1" s="50" t="s">
        <v>197</v>
      </c>
      <c r="B1" s="51">
        <v>1</v>
      </c>
      <c r="C1" s="3">
        <v>2</v>
      </c>
      <c r="D1" s="3">
        <v>3</v>
      </c>
      <c r="E1" s="3">
        <v>4</v>
      </c>
      <c r="F1" s="3">
        <v>5</v>
      </c>
      <c r="G1" s="3">
        <v>6</v>
      </c>
      <c r="H1" s="3">
        <v>7</v>
      </c>
      <c r="I1" s="3">
        <v>8</v>
      </c>
      <c r="J1" s="3">
        <v>9</v>
      </c>
      <c r="K1" s="3">
        <v>10</v>
      </c>
      <c r="L1" s="3">
        <v>11</v>
      </c>
      <c r="M1" s="3">
        <v>12</v>
      </c>
      <c r="N1" s="3">
        <v>13</v>
      </c>
      <c r="O1" s="3">
        <v>14</v>
      </c>
      <c r="P1" s="3">
        <v>15</v>
      </c>
      <c r="Q1" s="3">
        <v>16</v>
      </c>
      <c r="R1" s="3">
        <v>17</v>
      </c>
      <c r="S1" s="3">
        <v>18</v>
      </c>
      <c r="T1" s="3">
        <v>19</v>
      </c>
      <c r="U1" s="3">
        <v>20</v>
      </c>
      <c r="V1" s="3">
        <v>21</v>
      </c>
      <c r="W1" s="3">
        <v>22</v>
      </c>
      <c r="X1" s="3">
        <v>23</v>
      </c>
      <c r="Y1" s="3">
        <v>24</v>
      </c>
      <c r="Z1" s="3">
        <v>25</v>
      </c>
      <c r="AA1" s="3">
        <v>26</v>
      </c>
      <c r="AB1" s="3">
        <v>27</v>
      </c>
      <c r="AC1" s="3">
        <v>28</v>
      </c>
      <c r="AD1" s="3">
        <v>29</v>
      </c>
      <c r="AE1" s="3">
        <v>30</v>
      </c>
      <c r="AF1" s="3">
        <v>31</v>
      </c>
      <c r="AG1" s="3">
        <v>32</v>
      </c>
      <c r="AH1" s="3">
        <v>33</v>
      </c>
      <c r="AI1" s="3">
        <v>34</v>
      </c>
      <c r="AJ1" s="3">
        <v>35</v>
      </c>
      <c r="AK1" s="3">
        <v>36</v>
      </c>
      <c r="AL1" s="3">
        <v>37</v>
      </c>
      <c r="AM1" s="3">
        <v>38</v>
      </c>
      <c r="AN1" s="3">
        <v>39</v>
      </c>
      <c r="AO1" s="3">
        <f>+AN1+1</f>
        <v>40</v>
      </c>
      <c r="AP1" s="3">
        <f t="shared" ref="AP1:BI1" si="0">+AO1+1</f>
        <v>41</v>
      </c>
      <c r="AQ1" s="3">
        <f t="shared" si="0"/>
        <v>42</v>
      </c>
      <c r="AR1" s="3">
        <f t="shared" si="0"/>
        <v>43</v>
      </c>
      <c r="AS1" s="3">
        <f t="shared" si="0"/>
        <v>44</v>
      </c>
      <c r="AT1" s="3">
        <f t="shared" si="0"/>
        <v>45</v>
      </c>
      <c r="AU1" s="3">
        <f t="shared" si="0"/>
        <v>46</v>
      </c>
      <c r="AV1" s="3">
        <f t="shared" si="0"/>
        <v>47</v>
      </c>
      <c r="AW1" s="3">
        <f t="shared" si="0"/>
        <v>48</v>
      </c>
      <c r="AX1" s="3">
        <f t="shared" si="0"/>
        <v>49</v>
      </c>
      <c r="AY1" s="3">
        <f t="shared" si="0"/>
        <v>50</v>
      </c>
      <c r="AZ1" s="3">
        <f t="shared" si="0"/>
        <v>51</v>
      </c>
      <c r="BA1" s="3">
        <f t="shared" si="0"/>
        <v>52</v>
      </c>
      <c r="BB1" s="3">
        <f t="shared" si="0"/>
        <v>53</v>
      </c>
      <c r="BC1" s="3">
        <f t="shared" si="0"/>
        <v>54</v>
      </c>
      <c r="BD1" s="3">
        <f t="shared" si="0"/>
        <v>55</v>
      </c>
      <c r="BE1" s="3">
        <f t="shared" si="0"/>
        <v>56</v>
      </c>
      <c r="BF1" s="3">
        <f t="shared" si="0"/>
        <v>57</v>
      </c>
      <c r="BG1" s="3">
        <f t="shared" si="0"/>
        <v>58</v>
      </c>
      <c r="BH1" s="3">
        <f t="shared" si="0"/>
        <v>59</v>
      </c>
      <c r="BI1" s="3">
        <f t="shared" si="0"/>
        <v>60</v>
      </c>
    </row>
    <row r="2" spans="1:61" ht="14.5" x14ac:dyDescent="0.35">
      <c r="A2" s="52"/>
      <c r="B2" s="51">
        <v>2010</v>
      </c>
      <c r="C2" s="3">
        <f>+B2+Parameters!$B$21</f>
        <v>2015</v>
      </c>
      <c r="D2" s="3">
        <f>+C2+Parameters!$B$21</f>
        <v>2020</v>
      </c>
      <c r="E2" s="3">
        <f>+D2+Parameters!$B$21</f>
        <v>2025</v>
      </c>
      <c r="F2" s="3">
        <f>+E2+Parameters!$B$21</f>
        <v>2030</v>
      </c>
      <c r="G2" s="3">
        <f>+F2+Parameters!$B$21</f>
        <v>2035</v>
      </c>
      <c r="H2" s="3">
        <f>+G2+Parameters!$B$21</f>
        <v>2040</v>
      </c>
      <c r="I2" s="3">
        <f>+H2+Parameters!$B$21</f>
        <v>2045</v>
      </c>
      <c r="J2" s="3">
        <f>+I2+Parameters!$B$21</f>
        <v>2050</v>
      </c>
      <c r="K2" s="3">
        <f>+J2+Parameters!$B$21</f>
        <v>2055</v>
      </c>
      <c r="L2" s="3">
        <f>+K2+Parameters!$B$21</f>
        <v>2060</v>
      </c>
      <c r="M2" s="3">
        <f>+L2+Parameters!$B$21</f>
        <v>2065</v>
      </c>
      <c r="N2" s="3">
        <f>+M2+Parameters!$B$21</f>
        <v>2070</v>
      </c>
      <c r="O2" s="3">
        <f>+N2+Parameters!$B$21</f>
        <v>2075</v>
      </c>
      <c r="P2" s="3">
        <f>+O2+Parameters!$B$21</f>
        <v>2080</v>
      </c>
      <c r="Q2" s="3">
        <f>+P2+Parameters!$B$21</f>
        <v>2085</v>
      </c>
      <c r="R2" s="3">
        <f>+Q2+Parameters!$B$21</f>
        <v>2090</v>
      </c>
      <c r="S2" s="3">
        <f>+R2+Parameters!$B$21</f>
        <v>2095</v>
      </c>
      <c r="T2" s="3">
        <f>+S2+Parameters!$B$21</f>
        <v>2100</v>
      </c>
      <c r="U2" s="3">
        <f>+T2+Parameters!$B$21</f>
        <v>2105</v>
      </c>
      <c r="V2" s="3">
        <f>+U2+Parameters!$B$21</f>
        <v>2110</v>
      </c>
      <c r="W2" s="3">
        <f>+V2+Parameters!$B$21</f>
        <v>2115</v>
      </c>
      <c r="X2" s="3">
        <f>+W2+Parameters!$B$21</f>
        <v>2120</v>
      </c>
      <c r="Y2" s="3">
        <f>+X2+Parameters!$B$21</f>
        <v>2125</v>
      </c>
      <c r="Z2" s="3">
        <f>+Y2+Parameters!$B$21</f>
        <v>2130</v>
      </c>
      <c r="AA2" s="3">
        <f>+Z2+Parameters!$B$21</f>
        <v>2135</v>
      </c>
      <c r="AB2" s="3">
        <f>+AA2+Parameters!$B$21</f>
        <v>2140</v>
      </c>
      <c r="AC2" s="3">
        <f>+AB2+Parameters!$B$21</f>
        <v>2145</v>
      </c>
      <c r="AD2" s="3">
        <f>+AC2+Parameters!$B$21</f>
        <v>2150</v>
      </c>
      <c r="AE2" s="3">
        <f>+AD2+Parameters!$B$21</f>
        <v>2155</v>
      </c>
      <c r="AF2" s="3">
        <f>+AE2+Parameters!$B$21</f>
        <v>2160</v>
      </c>
      <c r="AG2" s="3">
        <f>+AF2+Parameters!$B$21</f>
        <v>2165</v>
      </c>
      <c r="AH2" s="3">
        <f>+AG2+Parameters!$B$21</f>
        <v>2170</v>
      </c>
      <c r="AI2" s="3">
        <f>+AH2+Parameters!$B$21</f>
        <v>2175</v>
      </c>
      <c r="AJ2" s="3">
        <f>+AI2+Parameters!$B$21</f>
        <v>2180</v>
      </c>
      <c r="AK2" s="3">
        <f>+AJ2+Parameters!$B$21</f>
        <v>2185</v>
      </c>
      <c r="AL2" s="3">
        <f>+AK2+Parameters!$B$21</f>
        <v>2190</v>
      </c>
      <c r="AM2" s="3">
        <f>+AL2+Parameters!$B$21</f>
        <v>2195</v>
      </c>
      <c r="AN2" s="3">
        <f>+AM2+Parameters!$B$21</f>
        <v>2200</v>
      </c>
      <c r="AO2" s="3">
        <f>+AN2+Parameters!$B$21</f>
        <v>2205</v>
      </c>
      <c r="AP2" s="3">
        <f>+AO2+Parameters!$B$21</f>
        <v>2210</v>
      </c>
      <c r="AQ2" s="3">
        <f>+AP2+Parameters!$B$21</f>
        <v>2215</v>
      </c>
      <c r="AR2" s="3">
        <f>+AQ2+Parameters!$B$21</f>
        <v>2220</v>
      </c>
      <c r="AS2" s="3">
        <f>+AR2+Parameters!$B$21</f>
        <v>2225</v>
      </c>
      <c r="AT2" s="3">
        <f>+AS2+Parameters!$B$21</f>
        <v>2230</v>
      </c>
      <c r="AU2" s="3">
        <f>+AT2+Parameters!$B$21</f>
        <v>2235</v>
      </c>
      <c r="AV2" s="3">
        <f>+AU2+Parameters!$B$21</f>
        <v>2240</v>
      </c>
      <c r="AW2" s="3">
        <f>+AV2+Parameters!$B$21</f>
        <v>2245</v>
      </c>
      <c r="AX2" s="3">
        <f>+AW2+Parameters!$B$21</f>
        <v>2250</v>
      </c>
      <c r="AY2" s="3">
        <f>+AX2+Parameters!$B$21</f>
        <v>2255</v>
      </c>
      <c r="AZ2" s="3">
        <f>+AY2+Parameters!$B$21</f>
        <v>2260</v>
      </c>
      <c r="BA2" s="3">
        <f>+AZ2+Parameters!$B$21</f>
        <v>2265</v>
      </c>
      <c r="BB2" s="3">
        <f>+BA2+Parameters!$B$21</f>
        <v>2270</v>
      </c>
      <c r="BC2" s="3">
        <f>+BB2+Parameters!$B$21</f>
        <v>2275</v>
      </c>
      <c r="BD2" s="3">
        <f>+BC2+Parameters!$B$21</f>
        <v>2280</v>
      </c>
      <c r="BE2" s="3">
        <f>+BD2+Parameters!$B$21</f>
        <v>2285</v>
      </c>
      <c r="BF2" s="3">
        <f>+BE2+Parameters!$B$21</f>
        <v>2290</v>
      </c>
      <c r="BG2" s="3">
        <f>+BF2+Parameters!$B$21</f>
        <v>2295</v>
      </c>
      <c r="BH2" s="3">
        <f>+BG2+Parameters!$B$21</f>
        <v>2300</v>
      </c>
      <c r="BI2" s="3">
        <f>+BH2+Parameters!$B$21</f>
        <v>2305</v>
      </c>
    </row>
    <row r="3" spans="1:61" ht="15" thickBot="1" x14ac:dyDescent="0.4">
      <c r="A3" s="53" t="s">
        <v>201</v>
      </c>
    </row>
    <row r="4" spans="1:61" ht="15.5" thickTop="1" thickBot="1" x14ac:dyDescent="0.4">
      <c r="A4" s="54" t="s">
        <v>35</v>
      </c>
    </row>
    <row r="5" spans="1:61" ht="21" customHeight="1" thickTop="1" x14ac:dyDescent="0.35">
      <c r="A5" s="50" t="s">
        <v>51</v>
      </c>
      <c r="B5" s="51">
        <f>+Base!B5</f>
        <v>0.3</v>
      </c>
    </row>
    <row r="6" spans="1:61" ht="19.75" customHeight="1" x14ac:dyDescent="0.35">
      <c r="A6" s="50" t="s">
        <v>144</v>
      </c>
      <c r="B6" s="51">
        <f>+Base!B6</f>
        <v>0.1</v>
      </c>
    </row>
    <row r="7" spans="1:61" ht="21" hidden="1" customHeight="1" x14ac:dyDescent="0.35">
      <c r="A7" s="113" t="s">
        <v>167</v>
      </c>
      <c r="B7" s="114">
        <f>+Parameters!B22*Parameters!B23</f>
        <v>0</v>
      </c>
    </row>
    <row r="8" spans="1:61" ht="21" hidden="1" customHeight="1" x14ac:dyDescent="0.35">
      <c r="A8" s="113" t="s">
        <v>168</v>
      </c>
      <c r="B8" s="114">
        <f>1-Parameters!B24</f>
        <v>0.5</v>
      </c>
    </row>
    <row r="9" spans="1:61" ht="21" hidden="1" customHeight="1" x14ac:dyDescent="0.35">
      <c r="A9" s="113" t="s">
        <v>179</v>
      </c>
      <c r="B9" s="115">
        <f>+B7*B8</f>
        <v>0</v>
      </c>
    </row>
    <row r="10" spans="1:61" ht="21" hidden="1" customHeight="1" x14ac:dyDescent="0.35">
      <c r="A10" s="13" t="s">
        <v>315</v>
      </c>
      <c r="B10" s="8">
        <f>+B6+B9</f>
        <v>0.1</v>
      </c>
    </row>
    <row r="11" spans="1:61" ht="23.4" customHeight="1" x14ac:dyDescent="0.35">
      <c r="A11" s="50" t="s">
        <v>22</v>
      </c>
      <c r="B11" s="51">
        <f>+Base!B11</f>
        <v>66.95</v>
      </c>
    </row>
    <row r="12" spans="1:61" ht="21" customHeight="1" x14ac:dyDescent="0.35">
      <c r="A12" s="50" t="s">
        <v>13</v>
      </c>
      <c r="B12" s="51">
        <v>160</v>
      </c>
    </row>
    <row r="13" spans="1:61" ht="21" customHeight="1" x14ac:dyDescent="0.35">
      <c r="A13" s="50" t="s">
        <v>71</v>
      </c>
      <c r="B13" s="51">
        <f>+Base!B13</f>
        <v>3.7976214000000001</v>
      </c>
    </row>
    <row r="14" spans="1:61" ht="18" customHeight="1" thickBot="1" x14ac:dyDescent="0.4">
      <c r="A14" s="54" t="s">
        <v>52</v>
      </c>
    </row>
    <row r="15" spans="1:61" ht="18" customHeight="1" thickTop="1" x14ac:dyDescent="0.35">
      <c r="A15" s="50" t="s">
        <v>135</v>
      </c>
      <c r="B15" s="51">
        <f>+B16</f>
        <v>1E-3</v>
      </c>
      <c r="C15" s="3">
        <f>+B15</f>
        <v>1E-3</v>
      </c>
      <c r="D15" s="3">
        <f t="shared" ref="D15:BI15" si="1">+C15</f>
        <v>1E-3</v>
      </c>
      <c r="E15" s="3">
        <f t="shared" si="1"/>
        <v>1E-3</v>
      </c>
      <c r="F15" s="3">
        <f t="shared" si="1"/>
        <v>1E-3</v>
      </c>
      <c r="G15" s="3">
        <f t="shared" si="1"/>
        <v>1E-3</v>
      </c>
      <c r="H15" s="3">
        <f t="shared" si="1"/>
        <v>1E-3</v>
      </c>
      <c r="I15" s="3">
        <f t="shared" si="1"/>
        <v>1E-3</v>
      </c>
      <c r="J15" s="3">
        <f t="shared" si="1"/>
        <v>1E-3</v>
      </c>
      <c r="K15" s="3">
        <f t="shared" si="1"/>
        <v>1E-3</v>
      </c>
      <c r="L15" s="3">
        <f t="shared" si="1"/>
        <v>1E-3</v>
      </c>
      <c r="M15" s="3">
        <f t="shared" si="1"/>
        <v>1E-3</v>
      </c>
      <c r="N15" s="3">
        <f t="shared" si="1"/>
        <v>1E-3</v>
      </c>
      <c r="O15" s="3">
        <f t="shared" si="1"/>
        <v>1E-3</v>
      </c>
      <c r="P15" s="3">
        <f t="shared" si="1"/>
        <v>1E-3</v>
      </c>
      <c r="Q15" s="3">
        <f t="shared" si="1"/>
        <v>1E-3</v>
      </c>
      <c r="R15" s="3">
        <f t="shared" si="1"/>
        <v>1E-3</v>
      </c>
      <c r="S15" s="3">
        <f t="shared" si="1"/>
        <v>1E-3</v>
      </c>
      <c r="T15" s="3">
        <f t="shared" si="1"/>
        <v>1E-3</v>
      </c>
      <c r="U15" s="3">
        <f t="shared" si="1"/>
        <v>1E-3</v>
      </c>
      <c r="V15" s="3">
        <f t="shared" si="1"/>
        <v>1E-3</v>
      </c>
      <c r="W15" s="3">
        <f t="shared" si="1"/>
        <v>1E-3</v>
      </c>
      <c r="X15" s="3">
        <f t="shared" si="1"/>
        <v>1E-3</v>
      </c>
      <c r="Y15" s="3">
        <f t="shared" si="1"/>
        <v>1E-3</v>
      </c>
      <c r="Z15" s="3">
        <f t="shared" si="1"/>
        <v>1E-3</v>
      </c>
      <c r="AA15" s="3">
        <f t="shared" si="1"/>
        <v>1E-3</v>
      </c>
      <c r="AB15" s="3">
        <f t="shared" si="1"/>
        <v>1E-3</v>
      </c>
      <c r="AC15" s="3">
        <f t="shared" si="1"/>
        <v>1E-3</v>
      </c>
      <c r="AD15" s="3">
        <f t="shared" si="1"/>
        <v>1E-3</v>
      </c>
      <c r="AE15" s="3">
        <f t="shared" si="1"/>
        <v>1E-3</v>
      </c>
      <c r="AF15" s="3">
        <f t="shared" si="1"/>
        <v>1E-3</v>
      </c>
      <c r="AG15" s="3">
        <f t="shared" si="1"/>
        <v>1E-3</v>
      </c>
      <c r="AH15" s="3">
        <f t="shared" si="1"/>
        <v>1E-3</v>
      </c>
      <c r="AI15" s="3">
        <f t="shared" si="1"/>
        <v>1E-3</v>
      </c>
      <c r="AJ15" s="3">
        <f t="shared" si="1"/>
        <v>1E-3</v>
      </c>
      <c r="AK15" s="3">
        <f t="shared" si="1"/>
        <v>1E-3</v>
      </c>
      <c r="AL15" s="3">
        <f t="shared" si="1"/>
        <v>1E-3</v>
      </c>
      <c r="AM15" s="3">
        <f t="shared" si="1"/>
        <v>1E-3</v>
      </c>
      <c r="AN15" s="3">
        <f t="shared" si="1"/>
        <v>1E-3</v>
      </c>
      <c r="AO15" s="3">
        <f t="shared" si="1"/>
        <v>1E-3</v>
      </c>
      <c r="AP15" s="3">
        <f t="shared" si="1"/>
        <v>1E-3</v>
      </c>
      <c r="AQ15" s="3">
        <f t="shared" si="1"/>
        <v>1E-3</v>
      </c>
      <c r="AR15" s="3">
        <f t="shared" si="1"/>
        <v>1E-3</v>
      </c>
      <c r="AS15" s="3">
        <f t="shared" si="1"/>
        <v>1E-3</v>
      </c>
      <c r="AT15" s="3">
        <f t="shared" si="1"/>
        <v>1E-3</v>
      </c>
      <c r="AU15" s="3">
        <f t="shared" si="1"/>
        <v>1E-3</v>
      </c>
      <c r="AV15" s="3">
        <f t="shared" si="1"/>
        <v>1E-3</v>
      </c>
      <c r="AW15" s="3">
        <f t="shared" si="1"/>
        <v>1E-3</v>
      </c>
      <c r="AX15" s="3">
        <f t="shared" si="1"/>
        <v>1E-3</v>
      </c>
      <c r="AY15" s="3">
        <f t="shared" si="1"/>
        <v>1E-3</v>
      </c>
      <c r="AZ15" s="3">
        <f t="shared" si="1"/>
        <v>1E-3</v>
      </c>
      <c r="BA15" s="3">
        <f t="shared" si="1"/>
        <v>1E-3</v>
      </c>
      <c r="BB15" s="3">
        <f t="shared" si="1"/>
        <v>1E-3</v>
      </c>
      <c r="BC15" s="3">
        <f t="shared" si="1"/>
        <v>1E-3</v>
      </c>
      <c r="BD15" s="3">
        <f t="shared" si="1"/>
        <v>1E-3</v>
      </c>
      <c r="BE15" s="3">
        <f t="shared" si="1"/>
        <v>1E-3</v>
      </c>
      <c r="BF15" s="3">
        <f t="shared" si="1"/>
        <v>1E-3</v>
      </c>
      <c r="BG15" s="3">
        <f t="shared" si="1"/>
        <v>1E-3</v>
      </c>
      <c r="BH15" s="3">
        <f t="shared" si="1"/>
        <v>1E-3</v>
      </c>
      <c r="BI15" s="3">
        <f t="shared" si="1"/>
        <v>1E-3</v>
      </c>
    </row>
    <row r="16" spans="1:61" ht="18" customHeight="1" x14ac:dyDescent="0.35">
      <c r="A16" s="50" t="s">
        <v>143</v>
      </c>
      <c r="B16" s="51">
        <v>1E-3</v>
      </c>
    </row>
    <row r="17" spans="1:124" ht="18" hidden="1" customHeight="1" x14ac:dyDescent="0.35">
      <c r="A17" s="50" t="s">
        <v>169</v>
      </c>
      <c r="B17" s="51">
        <f>+Base!B17</f>
        <v>0</v>
      </c>
    </row>
    <row r="18" spans="1:124" ht="18" customHeight="1" x14ac:dyDescent="0.35">
      <c r="A18" s="50" t="s">
        <v>53</v>
      </c>
      <c r="B18" s="51">
        <f>+Base!B18</f>
        <v>1</v>
      </c>
      <c r="C18" s="3">
        <f t="shared" ref="C18:BI18" si="2">B18/(1+B15)^(C2-B2)</f>
        <v>0.99501496506987486</v>
      </c>
      <c r="D18" s="3">
        <f t="shared" si="2"/>
        <v>0.99005478071300423</v>
      </c>
      <c r="E18" s="3">
        <f t="shared" si="2"/>
        <v>0.98511932304841254</v>
      </c>
      <c r="F18" s="3">
        <f t="shared" si="2"/>
        <v>0.98020846881267498</v>
      </c>
      <c r="G18" s="3">
        <f t="shared" si="2"/>
        <v>0.97532209535683934</v>
      </c>
      <c r="H18" s="3">
        <f t="shared" si="2"/>
        <v>0.97046008064336264</v>
      </c>
      <c r="I18" s="3">
        <f t="shared" si="2"/>
        <v>0.96562230324306342</v>
      </c>
      <c r="J18" s="3">
        <f t="shared" si="2"/>
        <v>0.96080864233208885</v>
      </c>
      <c r="K18" s="3">
        <f t="shared" si="2"/>
        <v>0.95601897768889732</v>
      </c>
      <c r="L18" s="3">
        <f t="shared" si="2"/>
        <v>0.95125318969125561</v>
      </c>
      <c r="M18" s="3">
        <f t="shared" si="2"/>
        <v>0.94651115931325169</v>
      </c>
      <c r="N18" s="3">
        <f t="shared" si="2"/>
        <v>0.94179276812232193</v>
      </c>
      <c r="O18" s="3">
        <f t="shared" si="2"/>
        <v>0.93709789827629286</v>
      </c>
      <c r="P18" s="3">
        <f t="shared" si="2"/>
        <v>0.93242643252043866</v>
      </c>
      <c r="Q18" s="3">
        <f t="shared" si="2"/>
        <v>0.92777825418455229</v>
      </c>
      <c r="R18" s="3">
        <f t="shared" si="2"/>
        <v>0.92315324718003178</v>
      </c>
      <c r="S18" s="3">
        <f t="shared" si="2"/>
        <v>0.91855129599698082</v>
      </c>
      <c r="T18" s="3">
        <f t="shared" si="2"/>
        <v>0.91397228570132416</v>
      </c>
      <c r="U18" s="3">
        <f t="shared" si="2"/>
        <v>0.90941610193193678</v>
      </c>
      <c r="V18" s="3">
        <f t="shared" si="2"/>
        <v>0.90488263089778787</v>
      </c>
      <c r="W18" s="3">
        <f t="shared" si="2"/>
        <v>0.90037175937509883</v>
      </c>
      <c r="X18" s="3">
        <f t="shared" si="2"/>
        <v>0.89588337470451573</v>
      </c>
      <c r="Y18" s="3">
        <f t="shared" si="2"/>
        <v>0.89141736478829536</v>
      </c>
      <c r="Z18" s="3">
        <f t="shared" si="2"/>
        <v>0.88697361808750563</v>
      </c>
      <c r="AA18" s="3">
        <f t="shared" si="2"/>
        <v>0.8825520236192399</v>
      </c>
      <c r="AB18" s="3">
        <f t="shared" si="2"/>
        <v>0.87815247095384541</v>
      </c>
      <c r="AC18" s="3">
        <f t="shared" si="2"/>
        <v>0.87377485021216483</v>
      </c>
      <c r="AD18" s="3">
        <f t="shared" si="2"/>
        <v>0.86941905206279235</v>
      </c>
      <c r="AE18" s="3">
        <f t="shared" si="2"/>
        <v>0.86508496771934307</v>
      </c>
      <c r="AF18" s="3">
        <f t="shared" si="2"/>
        <v>0.86077248893773595</v>
      </c>
      <c r="AG18" s="3">
        <f t="shared" si="2"/>
        <v>0.85648150801349054</v>
      </c>
      <c r="AH18" s="3">
        <f t="shared" si="2"/>
        <v>0.85221191777903704</v>
      </c>
      <c r="AI18" s="3">
        <f t="shared" si="2"/>
        <v>0.84796361160103961</v>
      </c>
      <c r="AJ18" s="3">
        <f t="shared" si="2"/>
        <v>0.84373648337773333</v>
      </c>
      <c r="AK18" s="3">
        <f t="shared" si="2"/>
        <v>0.83953042753627438</v>
      </c>
      <c r="AL18" s="3">
        <f t="shared" si="2"/>
        <v>0.83534533903010311</v>
      </c>
      <c r="AM18" s="3">
        <f t="shared" si="2"/>
        <v>0.83118111333632083</v>
      </c>
      <c r="AN18" s="3">
        <f t="shared" si="2"/>
        <v>0.82703764645307898</v>
      </c>
      <c r="AO18" s="3">
        <f t="shared" si="2"/>
        <v>0.82291483489698192</v>
      </c>
      <c r="AP18" s="3">
        <f t="shared" si="2"/>
        <v>0.81881257570050225</v>
      </c>
      <c r="AQ18" s="3">
        <f t="shared" si="2"/>
        <v>0.81473076640940956</v>
      </c>
      <c r="AR18" s="3">
        <f t="shared" si="2"/>
        <v>0.81066930508021107</v>
      </c>
      <c r="AS18" s="3">
        <f t="shared" si="2"/>
        <v>0.80662809027760596</v>
      </c>
      <c r="AT18" s="3">
        <f t="shared" si="2"/>
        <v>0.80260702107195192</v>
      </c>
      <c r="AU18" s="3">
        <f t="shared" si="2"/>
        <v>0.79860599703674451</v>
      </c>
      <c r="AV18" s="3">
        <f t="shared" si="2"/>
        <v>0.79462491824610892</v>
      </c>
      <c r="AW18" s="3">
        <f t="shared" si="2"/>
        <v>0.79066368527230424</v>
      </c>
      <c r="AX18" s="3">
        <f t="shared" si="2"/>
        <v>0.78672219918324038</v>
      </c>
      <c r="AY18" s="3">
        <f t="shared" si="2"/>
        <v>0.78280036154000709</v>
      </c>
      <c r="AZ18" s="3">
        <f t="shared" si="2"/>
        <v>0.77889807439441561</v>
      </c>
      <c r="BA18" s="3">
        <f t="shared" si="2"/>
        <v>0.77501524028655222</v>
      </c>
      <c r="BB18" s="3">
        <f t="shared" si="2"/>
        <v>0.77115176224234439</v>
      </c>
      <c r="BC18" s="3">
        <f t="shared" si="2"/>
        <v>0.76730754377113874</v>
      </c>
      <c r="BD18" s="3">
        <f t="shared" si="2"/>
        <v>0.76348248886329106</v>
      </c>
      <c r="BE18" s="3">
        <f t="shared" si="2"/>
        <v>0.7596765019877687</v>
      </c>
      <c r="BF18" s="3">
        <f t="shared" si="2"/>
        <v>0.75588948808976442</v>
      </c>
      <c r="BG18" s="3">
        <f t="shared" si="2"/>
        <v>0.75212135258832258</v>
      </c>
      <c r="BH18" s="3">
        <f t="shared" si="2"/>
        <v>0.74837200137397686</v>
      </c>
      <c r="BI18" s="3">
        <f t="shared" si="2"/>
        <v>0.74464134080639988</v>
      </c>
    </row>
    <row r="19" spans="1:124" ht="18" customHeight="1" x14ac:dyDescent="0.35">
      <c r="A19" s="50" t="s">
        <v>58</v>
      </c>
      <c r="B19" s="51">
        <v>1.01</v>
      </c>
    </row>
    <row r="20" spans="1:124" ht="21" customHeight="1" thickBot="1" x14ac:dyDescent="0.4">
      <c r="A20" s="55" t="s">
        <v>15</v>
      </c>
    </row>
    <row r="21" spans="1:124" ht="21" customHeight="1" thickTop="1" x14ac:dyDescent="0.35">
      <c r="A21" s="50" t="s">
        <v>88</v>
      </c>
      <c r="B21" s="51">
        <f>+Base!B21</f>
        <v>3.7976214000000001</v>
      </c>
      <c r="C21" s="51">
        <f>+Base!C21</f>
        <v>4.1233674267100975</v>
      </c>
      <c r="D21" s="51">
        <f>+Base!D21</f>
        <v>4.4657337879870225</v>
      </c>
      <c r="E21" s="51">
        <f>+Base!E21</f>
        <v>4.8246876450561675</v>
      </c>
      <c r="F21" s="51">
        <f>+Base!F21</f>
        <v>5.2001407372762589</v>
      </c>
      <c r="G21" s="51">
        <f>+Base!G21</f>
        <v>5.5919503241395958</v>
      </c>
      <c r="H21" s="51">
        <f>+Base!H21</f>
        <v>5.9999204992367279</v>
      </c>
      <c r="I21" s="51">
        <f>+Base!I21</f>
        <v>6.4238038470291627</v>
      </c>
      <c r="J21" s="51">
        <f>+Base!J21</f>
        <v>6.8633034110325832</v>
      </c>
      <c r="K21" s="51">
        <f>+Base!K21</f>
        <v>7.3180749403940499</v>
      </c>
      <c r="L21" s="51">
        <f>+Base!L21</f>
        <v>7.7877293808181882</v>
      </c>
      <c r="M21" s="51">
        <f>+Base!M21</f>
        <v>8.2718355753199262</v>
      </c>
      <c r="N21" s="51">
        <f>+Base!N21</f>
        <v>8.7699231403093645</v>
      </c>
      <c r="O21" s="51">
        <f>+Base!O21</f>
        <v>9.2814854829978692</v>
      </c>
      <c r="P21" s="51">
        <f>+Base!P21</f>
        <v>9.805982927000942</v>
      </c>
      <c r="Q21" s="51">
        <f>+Base!Q21</f>
        <v>10.342845914248688</v>
      </c>
      <c r="R21" s="51">
        <f>+Base!R21</f>
        <v>10.891478252845129</v>
      </c>
      <c r="S21" s="51">
        <f>+Base!S21</f>
        <v>11.451260382290016</v>
      </c>
      <c r="T21" s="51">
        <f>+Base!T21</f>
        <v>12.021552629440624</v>
      </c>
      <c r="U21" s="51">
        <f>+Base!U21</f>
        <v>12.601698430697848</v>
      </c>
      <c r="V21" s="51">
        <f>+Base!V21</f>
        <v>13.191027498106218</v>
      </c>
      <c r="W21" s="51">
        <f>+Base!W21</f>
        <v>13.788858909319805</v>
      </c>
      <c r="X21" s="51">
        <f>+Base!X21</f>
        <v>14.394504103668551</v>
      </c>
      <c r="Y21" s="51">
        <f>+Base!Y21</f>
        <v>15.007269768829158</v>
      </c>
      <c r="Z21" s="51">
        <f>+Base!Z21</f>
        <v>15.626460604832571</v>
      </c>
      <c r="AA21" s="51">
        <f>+Base!AA21</f>
        <v>16.251381954301731</v>
      </c>
      <c r="AB21" s="51">
        <f>+Base!AB21</f>
        <v>16.881342289887851</v>
      </c>
      <c r="AC21" s="51">
        <f>+Base!AC21</f>
        <v>17.515655551844304</v>
      </c>
      <c r="AD21" s="51">
        <f>+Base!AD21</f>
        <v>18.153643330531068</v>
      </c>
      <c r="AE21" s="51">
        <f>+Base!AE21</f>
        <v>18.794636890369542</v>
      </c>
      <c r="AF21" s="51">
        <f>+Base!AF21</f>
        <v>19.437979033360847</v>
      </c>
      <c r="AG21" s="51">
        <f>+Base!AG21</f>
        <v>20.08302580173595</v>
      </c>
      <c r="AH21" s="51">
        <f>+Base!AH21</f>
        <v>20.729148020621849</v>
      </c>
      <c r="AI21" s="51">
        <f>+Base!AI21</f>
        <v>21.375732682784619</v>
      </c>
      <c r="AJ21" s="51">
        <f>+Base!AJ21</f>
        <v>22.022184178549967</v>
      </c>
      <c r="AK21" s="51">
        <f>+Base!AK21</f>
        <v>22.667925374908592</v>
      </c>
      <c r="AL21" s="51">
        <f>+Base!AL21</f>
        <v>23.312398548592238</v>
      </c>
      <c r="AM21" s="51">
        <f>+Base!AM21</f>
        <v>23.955066178562941</v>
      </c>
      <c r="AN21" s="51">
        <f>+Base!AN21</f>
        <v>24.595411603899361</v>
      </c>
      <c r="AO21" s="51">
        <f>+Base!AO21</f>
        <v>25.232939553497779</v>
      </c>
      <c r="AP21" s="51">
        <f>+Base!AP21</f>
        <v>25.867176554338993</v>
      </c>
      <c r="AQ21" s="51">
        <f>+Base!AQ21</f>
        <v>26.497671225314146</v>
      </c>
      <c r="AR21" s="51">
        <f>+Base!AR21</f>
        <v>27.123994463760443</v>
      </c>
      <c r="AS21" s="51">
        <f>+Base!AS21</f>
        <v>27.745739531939883</v>
      </c>
      <c r="AT21" s="51">
        <f>+Base!AT21</f>
        <v>28.362522050708495</v>
      </c>
      <c r="AU21" s="51">
        <f>+Base!AU21</f>
        <v>28.973979907577796</v>
      </c>
      <c r="AV21" s="51">
        <f>+Base!AV21</f>
        <v>29.579773086271572</v>
      </c>
      <c r="AW21" s="51">
        <f>+Base!AW21</f>
        <v>30.179583424736954</v>
      </c>
      <c r="AX21" s="51">
        <f>+Base!AX21</f>
        <v>30.773114308385264</v>
      </c>
      <c r="AY21" s="51">
        <f>+Base!AY21</f>
        <v>31.360090305122124</v>
      </c>
      <c r="AZ21" s="51">
        <f>+Base!AZ21</f>
        <v>31.94025674848292</v>
      </c>
      <c r="BA21" s="51">
        <f>+Base!BA21</f>
        <v>32.513379274924787</v>
      </c>
      <c r="BB21" s="51">
        <f>+Base!BB21</f>
        <v>33.07924332104443</v>
      </c>
      <c r="BC21" s="51">
        <f>+Base!BC21</f>
        <v>33.63765358619667</v>
      </c>
      <c r="BD21" s="51">
        <f>+Base!BD21</f>
        <v>34.188433465685904</v>
      </c>
      <c r="BE21" s="51">
        <f>+Base!BE21</f>
        <v>34.73142445939488</v>
      </c>
      <c r="BF21" s="51">
        <f>+Base!BF21</f>
        <v>35.266485560405712</v>
      </c>
      <c r="BG21" s="51">
        <f>+Base!BG21</f>
        <v>35.793492627859642</v>
      </c>
      <c r="BH21" s="51">
        <f>+Base!BH21</f>
        <v>36.312337747996835</v>
      </c>
      <c r="BI21" s="51">
        <f>+Base!BI21</f>
        <v>36.822928587018112</v>
      </c>
      <c r="BJ21" s="51"/>
      <c r="BK21" s="51"/>
      <c r="BL21" s="51"/>
      <c r="BM21" s="51"/>
      <c r="BN21" s="51"/>
      <c r="BO21" s="51"/>
      <c r="BP21" s="51"/>
      <c r="BQ21" s="51"/>
      <c r="BR21" s="51"/>
      <c r="BS21" s="51"/>
      <c r="BT21" s="51"/>
      <c r="BU21" s="51"/>
      <c r="BV21" s="51"/>
      <c r="BW21" s="51"/>
      <c r="BX21" s="51"/>
      <c r="BY21" s="51"/>
      <c r="BZ21" s="51"/>
      <c r="CA21" s="51"/>
      <c r="CB21" s="51"/>
      <c r="CC21" s="51"/>
      <c r="CD21" s="51"/>
      <c r="CE21" s="51"/>
      <c r="CF21" s="51"/>
      <c r="CG21" s="51"/>
      <c r="CH21" s="51"/>
      <c r="CI21" s="51"/>
      <c r="CJ21" s="51"/>
      <c r="CK21" s="51"/>
      <c r="CL21" s="51"/>
      <c r="CM21" s="51"/>
      <c r="CN21" s="51"/>
      <c r="CO21" s="51"/>
      <c r="CP21" s="51"/>
      <c r="CQ21" s="51"/>
      <c r="CR21" s="51"/>
      <c r="CS21" s="51"/>
      <c r="CT21" s="51"/>
      <c r="CU21" s="51"/>
      <c r="CV21" s="51"/>
      <c r="CW21" s="51"/>
      <c r="CX21" s="51"/>
      <c r="CY21" s="51"/>
      <c r="CZ21" s="51"/>
      <c r="DA21" s="51"/>
      <c r="DB21" s="51"/>
      <c r="DC21" s="51"/>
      <c r="DD21" s="51"/>
      <c r="DE21" s="51"/>
      <c r="DF21" s="51"/>
      <c r="DG21" s="51"/>
      <c r="DH21" s="51"/>
      <c r="DI21" s="51"/>
      <c r="DJ21" s="51"/>
      <c r="DK21" s="51"/>
      <c r="DL21" s="51"/>
      <c r="DM21" s="51"/>
      <c r="DN21" s="51"/>
      <c r="DO21" s="51"/>
      <c r="DP21" s="51"/>
      <c r="DQ21" s="51"/>
      <c r="DR21" s="51"/>
      <c r="DS21" s="51"/>
      <c r="DT21" s="51"/>
    </row>
    <row r="22" spans="1:124" ht="21" customHeight="1" x14ac:dyDescent="0.35">
      <c r="A22" s="50" t="s">
        <v>89</v>
      </c>
      <c r="B22" s="51">
        <f>+Base!B22</f>
        <v>3.7976214000000001</v>
      </c>
    </row>
    <row r="23" spans="1:124" ht="21" customHeight="1" x14ac:dyDescent="0.35">
      <c r="A23" s="50" t="s">
        <v>145</v>
      </c>
      <c r="B23" s="3"/>
      <c r="C23" s="51">
        <f>+Base!C23</f>
        <v>7.9000000000000001E-2</v>
      </c>
      <c r="D23" s="51">
        <f>+Base!D23</f>
        <v>7.666519715033214E-2</v>
      </c>
      <c r="E23" s="51">
        <f>+Base!E23</f>
        <v>7.4399398153155646E-2</v>
      </c>
      <c r="F23" s="51">
        <f>+Base!F23</f>
        <v>7.2200563636427031E-2</v>
      </c>
      <c r="G23" s="51">
        <f>+Base!G23</f>
        <v>7.0066714500655436E-2</v>
      </c>
      <c r="H23" s="51">
        <f>+Base!H23</f>
        <v>6.7995930137579569E-2</v>
      </c>
      <c r="I23" s="51">
        <f>+Base!I23</f>
        <v>6.5986346701490492E-2</v>
      </c>
      <c r="J23" s="51">
        <f>+Base!J23</f>
        <v>6.4036155431644787E-2</v>
      </c>
      <c r="K23" s="51">
        <f>+Base!K23</f>
        <v>6.2143601024257727E-2</v>
      </c>
      <c r="L23" s="51">
        <f>+Base!L23</f>
        <v>6.0306980052611397E-2</v>
      </c>
      <c r="M23" s="51">
        <f>+Base!M23</f>
        <v>5.8524639433855712E-2</v>
      </c>
      <c r="N23" s="51">
        <f>+Base!N23</f>
        <v>5.6794974941122171E-2</v>
      </c>
      <c r="O23" s="51">
        <f>+Base!O23</f>
        <v>5.5116429759611452E-2</v>
      </c>
      <c r="P23" s="51">
        <f>+Base!P23</f>
        <v>5.3487493085355005E-2</v>
      </c>
      <c r="Q23" s="51">
        <f>+Base!Q23</f>
        <v>5.1906698765389482E-2</v>
      </c>
      <c r="R23" s="51">
        <f>+Base!R23</f>
        <v>5.0372623978120097E-2</v>
      </c>
      <c r="S23" s="51">
        <f>+Base!S23</f>
        <v>4.8883887952685126E-2</v>
      </c>
      <c r="T23" s="51">
        <f>+Base!T23</f>
        <v>4.7439150726169006E-2</v>
      </c>
      <c r="U23" s="51">
        <f>+Base!U23</f>
        <v>4.6037111937545179E-2</v>
      </c>
      <c r="V23" s="51">
        <f>+Base!V23</f>
        <v>4.4676509657263427E-2</v>
      </c>
      <c r="W23" s="51">
        <f>+Base!W23</f>
        <v>4.3356119251428085E-2</v>
      </c>
      <c r="X23" s="51">
        <f>+Base!X23</f>
        <v>4.207475227954488E-2</v>
      </c>
      <c r="Y23" s="51">
        <f>+Base!Y23</f>
        <v>4.0831255424844247E-2</v>
      </c>
      <c r="Z23" s="51">
        <f>+Base!Z23</f>
        <v>3.9624509456218392E-2</v>
      </c>
      <c r="AA23" s="51">
        <f>+Base!AA23</f>
        <v>3.8453428220837763E-2</v>
      </c>
      <c r="AB23" s="51">
        <f>+Base!AB23</f>
        <v>3.7316957666540161E-2</v>
      </c>
      <c r="AC23" s="51">
        <f>+Base!AC23</f>
        <v>3.6214074893112659E-2</v>
      </c>
      <c r="AD23" s="51">
        <f>+Base!AD23</f>
        <v>3.514378723161235E-2</v>
      </c>
      <c r="AE23" s="51">
        <f>+Base!AE23</f>
        <v>3.4105131350897301E-2</v>
      </c>
      <c r="AF23" s="51">
        <f>+Base!AF23</f>
        <v>3.3097172390563478E-2</v>
      </c>
      <c r="AG23" s="51">
        <f>+Base!AG23</f>
        <v>3.2119003119507335E-2</v>
      </c>
      <c r="AH23" s="51">
        <f>+Base!AH23</f>
        <v>3.116974311935649E-2</v>
      </c>
      <c r="AI23" s="51">
        <f>+Base!AI23</f>
        <v>3.0248537992033853E-2</v>
      </c>
      <c r="AJ23" s="51">
        <f>+Base!AJ23</f>
        <v>2.9354558590741611E-2</v>
      </c>
      <c r="AK23" s="51">
        <f>+Base!AK23</f>
        <v>2.8487000273673187E-2</v>
      </c>
      <c r="AL23" s="51">
        <f>+Base!AL23</f>
        <v>2.7645082179781271E-2</v>
      </c>
      <c r="AM23" s="51">
        <f>+Base!AM23</f>
        <v>2.6828046525950191E-2</v>
      </c>
      <c r="AN23" s="51">
        <f>+Base!AN23</f>
        <v>2.603515792493994E-2</v>
      </c>
      <c r="AO23" s="51">
        <f>+Base!AO23</f>
        <v>2.5265702723488014E-2</v>
      </c>
      <c r="AP23" s="51">
        <f>+Base!AP23</f>
        <v>2.4518988359973317E-2</v>
      </c>
      <c r="AQ23" s="51">
        <f>+Base!AQ23</f>
        <v>2.379434274106397E-2</v>
      </c>
      <c r="AR23" s="51">
        <f>+Base!AR23</f>
        <v>2.3091113636787893E-2</v>
      </c>
      <c r="AS23" s="51">
        <f>+Base!AS23</f>
        <v>2.2408668093481861E-2</v>
      </c>
      <c r="AT23" s="51">
        <f>+Base!AT23</f>
        <v>2.1746391864090435E-2</v>
      </c>
      <c r="AU23" s="51">
        <f>+Base!AU23</f>
        <v>2.1103688855302182E-2</v>
      </c>
      <c r="AV23" s="51">
        <f>+Base!AV23</f>
        <v>2.0479980591025435E-2</v>
      </c>
      <c r="AW23" s="51">
        <f>+Base!AW23</f>
        <v>1.9874705691720763E-2</v>
      </c>
      <c r="AX23" s="51">
        <f>+Base!AX23</f>
        <v>1.9287319369121533E-2</v>
      </c>
      <c r="AY23" s="51">
        <f>+Base!AY23</f>
        <v>1.8717292935887621E-2</v>
      </c>
      <c r="AZ23" s="51">
        <f>+Base!AZ23</f>
        <v>1.8164113329751184E-2</v>
      </c>
      <c r="BA23" s="51">
        <f>+Base!BA23</f>
        <v>1.7627282651725956E-2</v>
      </c>
      <c r="BB23" s="51">
        <f>+Base!BB23</f>
        <v>1.7106317717964559E-2</v>
      </c>
      <c r="BC23" s="51">
        <f>+Base!BC23</f>
        <v>1.6600749624860411E-2</v>
      </c>
      <c r="BD23" s="51">
        <f>+Base!BD23</f>
        <v>1.6110123327002866E-2</v>
      </c>
      <c r="BE23" s="51">
        <f>+Base!BE23</f>
        <v>1.5633997227605563E-2</v>
      </c>
      <c r="BF23" s="51">
        <f>+Base!BF23</f>
        <v>1.5171942781039578E-2</v>
      </c>
      <c r="BG23" s="51">
        <f>+Base!BG23</f>
        <v>1.4723544107113387E-2</v>
      </c>
      <c r="BH23" s="51">
        <f>+Base!BH23</f>
        <v>1.4288397616752647E-2</v>
      </c>
      <c r="BI23" s="51">
        <f>+Base!BI23</f>
        <v>1.3866111648742753E-2</v>
      </c>
      <c r="BJ23" s="51"/>
      <c r="BK23" s="51"/>
      <c r="BL23" s="51"/>
      <c r="BM23" s="51"/>
      <c r="BN23" s="51"/>
      <c r="BO23" s="51"/>
      <c r="BP23" s="51"/>
      <c r="BQ23" s="51"/>
      <c r="BR23" s="51"/>
      <c r="BS23" s="51"/>
      <c r="BT23" s="51"/>
      <c r="BU23" s="51"/>
      <c r="BV23" s="51"/>
      <c r="BW23" s="51"/>
      <c r="BX23" s="51"/>
      <c r="BY23" s="51"/>
      <c r="BZ23" s="51"/>
      <c r="CA23" s="51"/>
      <c r="CB23" s="51"/>
      <c r="CC23" s="51"/>
      <c r="CD23" s="51"/>
      <c r="CE23" s="51"/>
      <c r="CF23" s="51"/>
      <c r="CG23" s="51"/>
      <c r="CH23" s="51"/>
      <c r="CI23" s="51"/>
      <c r="CJ23" s="51"/>
      <c r="CK23" s="51"/>
      <c r="CL23" s="51"/>
      <c r="CM23" s="51"/>
      <c r="CN23" s="51"/>
      <c r="CO23" s="51"/>
      <c r="CP23" s="51"/>
      <c r="CQ23" s="51"/>
      <c r="CR23" s="51"/>
      <c r="CS23" s="51"/>
      <c r="CT23" s="51"/>
      <c r="CU23" s="51"/>
      <c r="CV23" s="51"/>
      <c r="CW23" s="51"/>
      <c r="CX23" s="51"/>
      <c r="CY23" s="51"/>
      <c r="CZ23" s="51"/>
      <c r="DA23" s="51"/>
      <c r="DB23" s="51"/>
      <c r="DC23" s="51"/>
      <c r="DD23" s="51"/>
      <c r="DE23" s="51"/>
      <c r="DF23" s="51"/>
      <c r="DG23" s="51"/>
      <c r="DH23" s="51"/>
      <c r="DI23" s="51"/>
      <c r="DJ23" s="51"/>
      <c r="DK23" s="51"/>
      <c r="DL23" s="51"/>
      <c r="DM23" s="51"/>
      <c r="DN23" s="51"/>
      <c r="DO23" s="51"/>
      <c r="DP23" s="51"/>
      <c r="DQ23" s="51"/>
      <c r="DR23" s="51"/>
      <c r="DS23" s="51"/>
      <c r="DT23" s="51"/>
    </row>
    <row r="24" spans="1:124" ht="21" customHeight="1" thickBot="1" x14ac:dyDescent="0.4">
      <c r="A24" s="54" t="s">
        <v>50</v>
      </c>
    </row>
    <row r="25" spans="1:124" ht="21" customHeight="1" thickTop="1" x14ac:dyDescent="0.35">
      <c r="A25" s="50" t="s">
        <v>81</v>
      </c>
      <c r="B25" s="51">
        <f>+Base!B25</f>
        <v>0</v>
      </c>
    </row>
    <row r="26" spans="1:124" ht="21" customHeight="1" x14ac:dyDescent="0.35">
      <c r="A26" s="50" t="s">
        <v>82</v>
      </c>
      <c r="B26" s="51">
        <f>+Base!B26</f>
        <v>2.6637500000000003E-3</v>
      </c>
    </row>
    <row r="27" spans="1:124" ht="21" customHeight="1" x14ac:dyDescent="0.35">
      <c r="A27" s="50" t="s">
        <v>20</v>
      </c>
      <c r="B27" s="51">
        <f>+Base!B27</f>
        <v>2</v>
      </c>
    </row>
    <row r="28" spans="1:124" ht="21" customHeight="1" x14ac:dyDescent="0.35">
      <c r="A28" s="50" t="str">
        <f>+Parameters!A18</f>
        <v>Threshold for catastrophic damages</v>
      </c>
      <c r="B28" s="51">
        <f>+Base!B28</f>
        <v>4</v>
      </c>
    </row>
    <row r="29" spans="1:124" ht="21" customHeight="1" x14ac:dyDescent="0.35">
      <c r="A29" s="50" t="str">
        <f>+Parameters!A19</f>
        <v>Exponent for catastrophic damages</v>
      </c>
      <c r="B29" s="51">
        <f>+Base!B29</f>
        <v>3</v>
      </c>
    </row>
    <row r="30" spans="1:124" ht="21" customHeight="1" x14ac:dyDescent="0.35">
      <c r="A30" s="50" t="str">
        <f>+Parameters!A17</f>
        <v>Damage rate at threshold for catastrophic damages</v>
      </c>
      <c r="B30" s="51">
        <f>+Base!B30</f>
        <v>0</v>
      </c>
    </row>
    <row r="31" spans="1:124" ht="21" customHeight="1" thickBot="1" x14ac:dyDescent="0.4">
      <c r="A31" s="54" t="s">
        <v>49</v>
      </c>
    </row>
    <row r="32" spans="1:124" ht="21" customHeight="1" thickTop="1" x14ac:dyDescent="0.35">
      <c r="A32" s="50" t="s">
        <v>36</v>
      </c>
      <c r="B32" s="3">
        <f>+B34*B41/$B39/1000</f>
        <v>6.0074995839112348E-2</v>
      </c>
      <c r="C32" s="3">
        <f t="shared" ref="C32:BI32" si="3">+C34*C41/$B39/1000</f>
        <v>5.5716476125948579E-2</v>
      </c>
      <c r="D32" s="3">
        <f t="shared" si="3"/>
        <v>5.1687067072907732E-2</v>
      </c>
      <c r="E32" s="3">
        <f t="shared" si="3"/>
        <v>4.7960969508636458E-2</v>
      </c>
      <c r="F32" s="3">
        <f t="shared" si="3"/>
        <v>4.4514479113862096E-2</v>
      </c>
      <c r="G32" s="3">
        <f t="shared" si="3"/>
        <v>4.1325810583862081E-2</v>
      </c>
      <c r="H32" s="3">
        <f t="shared" si="3"/>
        <v>3.8374937020832646E-2</v>
      </c>
      <c r="I32" s="3">
        <f t="shared" si="3"/>
        <v>3.5643443197204687E-2</v>
      </c>
      <c r="J32" s="3">
        <f t="shared" si="3"/>
        <v>3.311439145569213E-2</v>
      </c>
      <c r="K32" s="3">
        <f t="shared" si="3"/>
        <v>3.0772199124832176E-2</v>
      </c>
      <c r="L32" s="3">
        <f t="shared" si="3"/>
        <v>2.8602526431127418E-2</v>
      </c>
      <c r="M32" s="3">
        <f t="shared" si="3"/>
        <v>2.6592173981650903E-2</v>
      </c>
      <c r="N32" s="3">
        <f t="shared" si="3"/>
        <v>2.4728988975051856E-2</v>
      </c>
      <c r="O32" s="3">
        <f t="shared" si="3"/>
        <v>2.3001779375133119E-2</v>
      </c>
      <c r="P32" s="3">
        <f t="shared" si="3"/>
        <v>2.1400235350313459E-2</v>
      </c>
      <c r="Q32" s="3">
        <f t="shared" si="3"/>
        <v>1.9914857345015261E-2</v>
      </c>
      <c r="R32" s="3">
        <f t="shared" si="3"/>
        <v>1.8536890205941146E-2</v>
      </c>
      <c r="S32" s="3">
        <f t="shared" si="3"/>
        <v>1.7258262837874048E-2</v>
      </c>
      <c r="T32" s="3">
        <f t="shared" si="3"/>
        <v>1.6071532910550385E-2</v>
      </c>
      <c r="U32" s="3">
        <f t="shared" si="3"/>
        <v>1.4969836180765512E-2</v>
      </c>
      <c r="V32" s="3">
        <f t="shared" si="3"/>
        <v>1.3946840032579743E-2</v>
      </c>
      <c r="W32" s="3">
        <f t="shared" si="3"/>
        <v>1.2996700873668398E-2</v>
      </c>
      <c r="X32" s="3">
        <f t="shared" si="3"/>
        <v>1.2114025057832123E-2</v>
      </c>
      <c r="Y32" s="3">
        <f t="shared" si="3"/>
        <v>1.1293833032752996E-2</v>
      </c>
      <c r="Z32" s="3">
        <f t="shared" si="3"/>
        <v>1.0531526438518842E-2</v>
      </c>
      <c r="AA32" s="3">
        <f t="shared" si="3"/>
        <v>9.8228579064871049E-3</v>
      </c>
      <c r="AB32" s="3">
        <f t="shared" si="3"/>
        <v>9.163903329942269E-3</v>
      </c>
      <c r="AC32" s="3">
        <f t="shared" si="3"/>
        <v>8.5510363979175111E-3</v>
      </c>
      <c r="AD32" s="3">
        <f t="shared" si="3"/>
        <v>7.9809052016832499E-3</v>
      </c>
      <c r="AE32" s="3">
        <f t="shared" si="3"/>
        <v>7.4504107399169621E-3</v>
      </c>
      <c r="AF32" s="3">
        <f t="shared" si="3"/>
        <v>6.9566871636085629E-3</v>
      </c>
      <c r="AG32" s="3">
        <f t="shared" si="3"/>
        <v>6.497083615458683E-3</v>
      </c>
      <c r="AH32" s="3">
        <f t="shared" si="3"/>
        <v>6.0691475310152209E-3</v>
      </c>
      <c r="AI32" s="3">
        <f t="shared" si="3"/>
        <v>5.6706092801773935E-3</v>
      </c>
      <c r="AJ32" s="3">
        <f t="shared" si="3"/>
        <v>5.299368038076303E-3</v>
      </c>
      <c r="AK32" s="3">
        <f t="shared" si="3"/>
        <v>4.9534787838078796E-3</v>
      </c>
      <c r="AL32" s="3">
        <f t="shared" si="3"/>
        <v>4.631140334130277E-3</v>
      </c>
      <c r="AM32" s="3">
        <f t="shared" si="3"/>
        <v>4.3306843271184161E-3</v>
      </c>
      <c r="AN32" s="3">
        <f t="shared" si="3"/>
        <v>4.0505650779612068E-3</v>
      </c>
      <c r="AO32" s="3">
        <f t="shared" si="3"/>
        <v>3.7893502356536506E-3</v>
      </c>
      <c r="AP32" s="3">
        <f t="shared" si="3"/>
        <v>3.5457121753327409E-3</v>
      </c>
      <c r="AQ32" s="3">
        <f t="shared" si="3"/>
        <v>3.3184200664834141E-3</v>
      </c>
      <c r="AR32" s="3">
        <f t="shared" si="3"/>
        <v>3.1063325622451266E-3</v>
      </c>
      <c r="AS32" s="3">
        <f t="shared" si="3"/>
        <v>2.9083910596229097E-3</v>
      </c>
      <c r="AT32" s="3">
        <f t="shared" si="3"/>
        <v>2.7236134845870928E-3</v>
      </c>
      <c r="AU32" s="3">
        <f t="shared" si="3"/>
        <v>2.5510885598679588E-3</v>
      </c>
      <c r="AV32" s="3">
        <f t="shared" si="3"/>
        <v>2.3899705167470639E-3</v>
      </c>
      <c r="AW32" s="3">
        <f t="shared" si="3"/>
        <v>2.2394742153443556E-3</v>
      </c>
      <c r="AX32" s="3">
        <f t="shared" si="3"/>
        <v>2.0988706408258074E-3</v>
      </c>
      <c r="AY32" s="3">
        <f t="shared" si="3"/>
        <v>1.9674827456336989E-3</v>
      </c>
      <c r="AZ32" s="3">
        <f t="shared" si="3"/>
        <v>1.8446816102926501E-3</v>
      </c>
      <c r="BA32" s="3">
        <f t="shared" si="3"/>
        <v>1.7298828975886378E-3</v>
      </c>
      <c r="BB32" s="3">
        <f t="shared" si="3"/>
        <v>1.6225435769735177E-3</v>
      </c>
      <c r="BC32" s="3">
        <f t="shared" si="3"/>
        <v>1.5221588979303421E-3</v>
      </c>
      <c r="BD32" s="3">
        <f t="shared" si="3"/>
        <v>1.4282595927598738E-3</v>
      </c>
      <c r="BE32" s="3">
        <f t="shared" si="3"/>
        <v>1.3404092908297566E-3</v>
      </c>
      <c r="BF32" s="3">
        <f t="shared" si="3"/>
        <v>1.2582021277771501E-3</v>
      </c>
      <c r="BG32" s="3">
        <f t="shared" si="3"/>
        <v>1.1812605344845683E-3</v>
      </c>
      <c r="BH32" s="3">
        <f t="shared" si="3"/>
        <v>1.1092331918674599E-3</v>
      </c>
      <c r="BI32" s="3">
        <f t="shared" si="3"/>
        <v>1.041793138630097E-3</v>
      </c>
    </row>
    <row r="33" spans="1:124" ht="21" customHeight="1" x14ac:dyDescent="0.35">
      <c r="A33" s="50" t="s">
        <v>207</v>
      </c>
      <c r="B33" s="51">
        <f>+Base!B33</f>
        <v>344</v>
      </c>
    </row>
    <row r="34" spans="1:124" ht="21" customHeight="1" x14ac:dyDescent="0.35">
      <c r="A34" s="50" t="s">
        <v>155</v>
      </c>
      <c r="B34" s="51">
        <f>+B33</f>
        <v>344</v>
      </c>
      <c r="C34" s="3">
        <f>+B34*(1-$B$36)</f>
        <v>335.4</v>
      </c>
      <c r="D34" s="3">
        <f>+C34*(1-$B$36)</f>
        <v>327.01499999999999</v>
      </c>
      <c r="E34" s="3">
        <f>+D34*(1-$B$36)</f>
        <v>318.83962499999996</v>
      </c>
      <c r="F34" s="3">
        <f>+E34*(1-$B$36)</f>
        <v>310.86863437499994</v>
      </c>
      <c r="G34" s="3">
        <f>+F34*(1-$B$36)</f>
        <v>303.09691851562496</v>
      </c>
      <c r="H34" s="3">
        <f t="shared" ref="H34:BI34" si="4">+G34*(1-$B$36)</f>
        <v>295.51949555273433</v>
      </c>
      <c r="I34" s="3">
        <f t="shared" si="4"/>
        <v>288.13150816391595</v>
      </c>
      <c r="J34" s="3">
        <f t="shared" si="4"/>
        <v>280.92822045981802</v>
      </c>
      <c r="K34" s="3">
        <f t="shared" si="4"/>
        <v>273.90501494832256</v>
      </c>
      <c r="L34" s="3">
        <f t="shared" si="4"/>
        <v>267.05738957461449</v>
      </c>
      <c r="M34" s="3">
        <f t="shared" si="4"/>
        <v>260.3809548352491</v>
      </c>
      <c r="N34" s="3">
        <f t="shared" si="4"/>
        <v>253.87143096436787</v>
      </c>
      <c r="O34" s="3">
        <f t="shared" si="4"/>
        <v>247.52464519025867</v>
      </c>
      <c r="P34" s="3">
        <f t="shared" si="4"/>
        <v>241.33652906050219</v>
      </c>
      <c r="Q34" s="3">
        <f t="shared" si="4"/>
        <v>235.30311583398964</v>
      </c>
      <c r="R34" s="3">
        <f t="shared" si="4"/>
        <v>229.42053793813989</v>
      </c>
      <c r="S34" s="3">
        <f t="shared" si="4"/>
        <v>223.68502448968638</v>
      </c>
      <c r="T34" s="3">
        <f t="shared" si="4"/>
        <v>218.09289887744421</v>
      </c>
      <c r="U34" s="3">
        <f t="shared" si="4"/>
        <v>212.64057640550811</v>
      </c>
      <c r="V34" s="3">
        <f t="shared" si="4"/>
        <v>207.3245619953704</v>
      </c>
      <c r="W34" s="3">
        <f t="shared" si="4"/>
        <v>202.14144794548614</v>
      </c>
      <c r="X34" s="3">
        <f t="shared" si="4"/>
        <v>197.08791174684899</v>
      </c>
      <c r="Y34" s="3">
        <f t="shared" si="4"/>
        <v>192.16071395317775</v>
      </c>
      <c r="Z34" s="3">
        <f t="shared" si="4"/>
        <v>187.35669610434829</v>
      </c>
      <c r="AA34" s="3">
        <f t="shared" si="4"/>
        <v>182.67277870173959</v>
      </c>
      <c r="AB34" s="3">
        <f t="shared" si="4"/>
        <v>178.10595923419609</v>
      </c>
      <c r="AC34" s="3">
        <f t="shared" si="4"/>
        <v>173.65331025334117</v>
      </c>
      <c r="AD34" s="3">
        <f t="shared" si="4"/>
        <v>169.31197749700763</v>
      </c>
      <c r="AE34" s="3">
        <f t="shared" si="4"/>
        <v>165.07917805958243</v>
      </c>
      <c r="AF34" s="3">
        <f t="shared" si="4"/>
        <v>160.95219860809286</v>
      </c>
      <c r="AG34" s="3">
        <f t="shared" si="4"/>
        <v>156.92839364289054</v>
      </c>
      <c r="AH34" s="3">
        <f t="shared" si="4"/>
        <v>153.00518380181828</v>
      </c>
      <c r="AI34" s="3">
        <f t="shared" si="4"/>
        <v>149.18005420677281</v>
      </c>
      <c r="AJ34" s="3">
        <f t="shared" si="4"/>
        <v>145.45055285160348</v>
      </c>
      <c r="AK34" s="3">
        <f t="shared" si="4"/>
        <v>141.81428903031338</v>
      </c>
      <c r="AL34" s="3">
        <f t="shared" si="4"/>
        <v>138.26893180455554</v>
      </c>
      <c r="AM34" s="3">
        <f t="shared" si="4"/>
        <v>134.81220850944163</v>
      </c>
      <c r="AN34" s="3">
        <f t="shared" si="4"/>
        <v>131.44190329670559</v>
      </c>
      <c r="AO34" s="3">
        <f t="shared" si="4"/>
        <v>128.15585571428795</v>
      </c>
      <c r="AP34" s="3">
        <f t="shared" si="4"/>
        <v>124.95195932143075</v>
      </c>
      <c r="AQ34" s="3">
        <f t="shared" si="4"/>
        <v>121.82816033839498</v>
      </c>
      <c r="AR34" s="3">
        <f t="shared" si="4"/>
        <v>118.7824563299351</v>
      </c>
      <c r="AS34" s="3">
        <f t="shared" si="4"/>
        <v>115.81289492168672</v>
      </c>
      <c r="AT34" s="3">
        <f t="shared" si="4"/>
        <v>112.91757254864454</v>
      </c>
      <c r="AU34" s="3">
        <f t="shared" si="4"/>
        <v>110.09463323492842</v>
      </c>
      <c r="AV34" s="3">
        <f t="shared" si="4"/>
        <v>107.34226740405521</v>
      </c>
      <c r="AW34" s="3">
        <f t="shared" si="4"/>
        <v>104.65871071895383</v>
      </c>
      <c r="AX34" s="3">
        <f t="shared" si="4"/>
        <v>102.04224295097998</v>
      </c>
      <c r="AY34" s="3">
        <f t="shared" si="4"/>
        <v>99.491186877205479</v>
      </c>
      <c r="AZ34" s="3">
        <f t="shared" si="4"/>
        <v>97.00390720527534</v>
      </c>
      <c r="BA34" s="3">
        <f t="shared" si="4"/>
        <v>94.578809525143456</v>
      </c>
      <c r="BB34" s="3">
        <f t="shared" si="4"/>
        <v>92.214339287014866</v>
      </c>
      <c r="BC34" s="3">
        <f t="shared" si="4"/>
        <v>89.908980804839487</v>
      </c>
      <c r="BD34" s="3">
        <f t="shared" si="4"/>
        <v>87.661256284718505</v>
      </c>
      <c r="BE34" s="3">
        <f t="shared" si="4"/>
        <v>85.469724877600541</v>
      </c>
      <c r="BF34" s="3">
        <f t="shared" si="4"/>
        <v>83.332981755660526</v>
      </c>
      <c r="BG34" s="3">
        <f t="shared" si="4"/>
        <v>81.249657211769005</v>
      </c>
      <c r="BH34" s="3">
        <f t="shared" si="4"/>
        <v>79.218415781474775</v>
      </c>
      <c r="BI34" s="3">
        <f t="shared" si="4"/>
        <v>77.237955386937898</v>
      </c>
    </row>
    <row r="35" spans="1:124" ht="21" customHeight="1" x14ac:dyDescent="0.35">
      <c r="A35" s="50" t="s">
        <v>208</v>
      </c>
      <c r="B35" s="51">
        <f>+Base!B35</f>
        <v>0</v>
      </c>
      <c r="D35" s="3">
        <f>+D34/C34</f>
        <v>0.97499999999999998</v>
      </c>
      <c r="E35" s="3">
        <f t="shared" ref="E35:AC35" si="5">+E34/D34</f>
        <v>0.97499999999999987</v>
      </c>
      <c r="F35" s="3">
        <f t="shared" si="5"/>
        <v>0.97499999999999998</v>
      </c>
      <c r="G35" s="3">
        <f t="shared" si="5"/>
        <v>0.97500000000000009</v>
      </c>
      <c r="H35" s="3">
        <f t="shared" si="5"/>
        <v>0.97499999999999998</v>
      </c>
      <c r="I35" s="3">
        <f t="shared" si="5"/>
        <v>0.97499999999999998</v>
      </c>
      <c r="J35" s="3">
        <f t="shared" si="5"/>
        <v>0.97499999999999987</v>
      </c>
      <c r="K35" s="3">
        <f t="shared" si="5"/>
        <v>0.97499999999999998</v>
      </c>
      <c r="L35" s="3">
        <f t="shared" si="5"/>
        <v>0.97499999999999998</v>
      </c>
      <c r="M35" s="3">
        <f t="shared" si="5"/>
        <v>0.97499999999999987</v>
      </c>
      <c r="N35" s="3">
        <f t="shared" si="5"/>
        <v>0.97499999999999998</v>
      </c>
      <c r="O35" s="3">
        <f t="shared" si="5"/>
        <v>0.97499999999999998</v>
      </c>
      <c r="P35" s="3">
        <f t="shared" si="5"/>
        <v>0.97499999999999998</v>
      </c>
      <c r="Q35" s="3">
        <f t="shared" si="5"/>
        <v>0.97499999999999998</v>
      </c>
      <c r="R35" s="3">
        <f t="shared" si="5"/>
        <v>0.97499999999999998</v>
      </c>
      <c r="S35" s="3">
        <f t="shared" si="5"/>
        <v>0.97499999999999998</v>
      </c>
      <c r="T35" s="3">
        <f t="shared" si="5"/>
        <v>0.97499999999999998</v>
      </c>
      <c r="U35" s="3">
        <f t="shared" si="5"/>
        <v>0.97499999999999998</v>
      </c>
      <c r="V35" s="3">
        <f t="shared" si="5"/>
        <v>0.97499999999999998</v>
      </c>
      <c r="W35" s="3">
        <f t="shared" si="5"/>
        <v>0.97499999999999998</v>
      </c>
      <c r="X35" s="3">
        <f t="shared" si="5"/>
        <v>0.97499999999999998</v>
      </c>
      <c r="Y35" s="3">
        <f t="shared" si="5"/>
        <v>0.97499999999999987</v>
      </c>
      <c r="Z35" s="3">
        <f t="shared" si="5"/>
        <v>0.97499999999999987</v>
      </c>
      <c r="AA35" s="3">
        <f t="shared" si="5"/>
        <v>0.97500000000000009</v>
      </c>
      <c r="AB35" s="3">
        <f t="shared" si="5"/>
        <v>0.97499999999999998</v>
      </c>
      <c r="AC35" s="3">
        <f t="shared" si="5"/>
        <v>0.97499999999999987</v>
      </c>
    </row>
    <row r="36" spans="1:124" ht="21" customHeight="1" x14ac:dyDescent="0.35">
      <c r="A36" s="50" t="s">
        <v>209</v>
      </c>
      <c r="B36" s="51">
        <f>+Base!B36</f>
        <v>2.5000000000000001E-2</v>
      </c>
    </row>
    <row r="37" spans="1:124" ht="21" customHeight="1" x14ac:dyDescent="0.35">
      <c r="A37" s="50" t="s">
        <v>43</v>
      </c>
      <c r="B37" s="51">
        <f>+Base!B37</f>
        <v>1</v>
      </c>
    </row>
    <row r="38" spans="1:124" ht="28.25" customHeight="1" x14ac:dyDescent="0.35">
      <c r="A38" s="50" t="s">
        <v>161</v>
      </c>
      <c r="B38" s="51">
        <f>+Base!B38</f>
        <v>2250</v>
      </c>
    </row>
    <row r="39" spans="1:124" ht="21" customHeight="1" x14ac:dyDescent="0.35">
      <c r="A39" s="50" t="s">
        <v>37</v>
      </c>
      <c r="B39" s="51">
        <f>+Base!B39</f>
        <v>2.8</v>
      </c>
    </row>
    <row r="40" spans="1:124" ht="21" customHeight="1" thickBot="1" x14ac:dyDescent="0.4">
      <c r="A40" s="54" t="s">
        <v>38</v>
      </c>
    </row>
    <row r="41" spans="1:124" ht="24" customHeight="1" thickTop="1" x14ac:dyDescent="0.35">
      <c r="A41" s="50" t="s">
        <v>210</v>
      </c>
      <c r="B41" s="51">
        <f>+B42</f>
        <v>0.48898252427184469</v>
      </c>
      <c r="C41" s="3">
        <f t="shared" ref="C41:BI41" si="6">+B41*EXP(C43*(C2-B2))</f>
        <v>0.46513456515401325</v>
      </c>
      <c r="D41" s="3">
        <f t="shared" si="6"/>
        <v>0.44256008991679779</v>
      </c>
      <c r="E41" s="3">
        <f t="shared" si="6"/>
        <v>0.42118577521279577</v>
      </c>
      <c r="F41" s="3">
        <f t="shared" si="6"/>
        <v>0.40094280263881599</v>
      </c>
      <c r="G41" s="3">
        <f t="shared" si="6"/>
        <v>0.38176656563022343</v>
      </c>
      <c r="H41" s="3">
        <f t="shared" si="6"/>
        <v>0.36359639643184688</v>
      </c>
      <c r="I41" s="3">
        <f t="shared" si="6"/>
        <v>0.3463753117045314</v>
      </c>
      <c r="J41" s="3">
        <f t="shared" si="6"/>
        <v>0.33004977543436226</v>
      </c>
      <c r="K41" s="3">
        <f t="shared" si="6"/>
        <v>0.31456947791111545</v>
      </c>
      <c r="L41" s="3">
        <f t="shared" si="6"/>
        <v>0.29988712963428726</v>
      </c>
      <c r="M41" s="3">
        <f t="shared" si="6"/>
        <v>0.28595826908974353</v>
      </c>
      <c r="N41" s="3">
        <f t="shared" si="6"/>
        <v>0.27274108341817926</v>
      </c>
      <c r="O41" s="3">
        <f t="shared" si="6"/>
        <v>0.26019624106871514</v>
      </c>
      <c r="P41" s="3">
        <f t="shared" si="6"/>
        <v>0.24828673559755968</v>
      </c>
      <c r="Q41" s="3">
        <f t="shared" si="6"/>
        <v>0.23697773983317538</v>
      </c>
      <c r="R41" s="3">
        <f t="shared" si="6"/>
        <v>0.22623646968620664</v>
      </c>
      <c r="S41" s="3">
        <f t="shared" si="6"/>
        <v>0.21603205693493088</v>
      </c>
      <c r="T41" s="3">
        <f t="shared" si="6"/>
        <v>0.20633543036551905</v>
      </c>
      <c r="U41" s="3">
        <f t="shared" si="6"/>
        <v>0.19711920469125327</v>
      </c>
      <c r="V41" s="3">
        <f t="shared" si="6"/>
        <v>0.18835757671633377</v>
      </c>
      <c r="W41" s="3">
        <f t="shared" si="6"/>
        <v>0.1800262282482781</v>
      </c>
      <c r="X41" s="3">
        <f t="shared" si="6"/>
        <v>0.17210223529841748</v>
      </c>
      <c r="Y41" s="3">
        <f t="shared" si="6"/>
        <v>0.16456398314284804</v>
      </c>
      <c r="Z41" s="3">
        <f t="shared" si="6"/>
        <v>0.15739108684660658</v>
      </c>
      <c r="AA41" s="3">
        <f t="shared" si="6"/>
        <v>0.15056431688199842</v>
      </c>
      <c r="AB41" s="3">
        <f t="shared" si="6"/>
        <v>0.14406552949808246</v>
      </c>
      <c r="AC41" s="3">
        <f t="shared" si="6"/>
        <v>0.13787760152247575</v>
      </c>
      <c r="AD41" s="3">
        <f t="shared" si="6"/>
        <v>0.13198436929902402</v>
      </c>
      <c r="AE41" s="3">
        <f t="shared" si="6"/>
        <v>0.12637057148562994</v>
      </c>
      <c r="AF41" s="3">
        <f t="shared" si="6"/>
        <v>0.12102179545576312</v>
      </c>
      <c r="AG41" s="3">
        <f t="shared" si="6"/>
        <v>0.11592442706500916</v>
      </c>
      <c r="AH41" s="3">
        <f t="shared" si="6"/>
        <v>0.11106560356055512</v>
      </c>
      <c r="AI41" s="3">
        <f t="shared" si="6"/>
        <v>0.10643316942685391</v>
      </c>
      <c r="AJ41" s="3">
        <f t="shared" si="6"/>
        <v>0.10201563497494859</v>
      </c>
      <c r="AK41" s="3">
        <f t="shared" si="6"/>
        <v>9.7802137496154212E-2</v>
      </c>
      <c r="AL41" s="3">
        <f t="shared" si="6"/>
        <v>9.3782404813064046E-2</v>
      </c>
      <c r="AM41" s="3">
        <f t="shared" si="6"/>
        <v>8.9946721072241179E-2</v>
      </c>
      <c r="AN41" s="3">
        <f t="shared" si="6"/>
        <v>8.628589463353914E-2</v>
      </c>
      <c r="AO41" s="3">
        <f t="shared" si="6"/>
        <v>8.2791227920826896E-2</v>
      </c>
      <c r="AP41" s="3">
        <f t="shared" si="6"/>
        <v>7.9454489108030366E-2</v>
      </c>
      <c r="AQ41" s="3">
        <f t="shared" si="6"/>
        <v>7.6267885522894624E-2</v>
      </c>
      <c r="AR41" s="3">
        <f t="shared" si="6"/>
        <v>7.3224038658766005E-2</v>
      </c>
      <c r="AS41" s="3">
        <f t="shared" si="6"/>
        <v>7.031596069203537E-2</v>
      </c>
      <c r="AT41" s="3">
        <f t="shared" si="6"/>
        <v>6.7537032409712414E-2</v>
      </c>
      <c r="AU41" s="3">
        <f t="shared" si="6"/>
        <v>6.4880982457954123E-2</v>
      </c>
      <c r="AV41" s="3">
        <f t="shared" si="6"/>
        <v>6.2341867828282604E-2</v>
      </c>
      <c r="AW41" s="3">
        <f t="shared" si="6"/>
        <v>5.991405550372976E-2</v>
      </c>
      <c r="AX41" s="3">
        <f t="shared" si="6"/>
        <v>5.7592205192269555E-2</v>
      </c>
      <c r="AY41" s="3">
        <f t="shared" si="6"/>
        <v>5.5371253079668684E-2</v>
      </c>
      <c r="AZ41" s="3">
        <f t="shared" si="6"/>
        <v>5.3246396538329618E-2</v>
      </c>
      <c r="BA41" s="3">
        <f t="shared" si="6"/>
        <v>5.1213079732839228E-2</v>
      </c>
      <c r="BB41" s="3">
        <f t="shared" si="6"/>
        <v>4.9266980066793017E-2</v>
      </c>
      <c r="BC41" s="3">
        <f t="shared" si="6"/>
        <v>4.7403995419059923E-2</v>
      </c>
      <c r="BD41" s="3">
        <f t="shared" si="6"/>
        <v>4.5620232121003627E-2</v>
      </c>
      <c r="BE41" s="3">
        <f t="shared" si="6"/>
        <v>4.3911993629301163E-2</v>
      </c>
      <c r="BF41" s="3">
        <f t="shared" si="6"/>
        <v>4.22757698519136E-2</v>
      </c>
      <c r="BG41" s="3">
        <f t="shared" si="6"/>
        <v>4.0708227087482361E-2</v>
      </c>
      <c r="BH41" s="3">
        <f t="shared" si="6"/>
        <v>3.9206198540960864E-2</v>
      </c>
      <c r="BI41" s="3">
        <f t="shared" si="6"/>
        <v>3.776667538065856E-2</v>
      </c>
    </row>
    <row r="42" spans="1:124" ht="21" customHeight="1" x14ac:dyDescent="0.35">
      <c r="A42" s="50" t="s">
        <v>211</v>
      </c>
      <c r="B42" s="51">
        <f>+Base!B42</f>
        <v>0.48898252427184469</v>
      </c>
      <c r="C42" s="51"/>
    </row>
    <row r="43" spans="1:124" ht="21" customHeight="1" x14ac:dyDescent="0.35">
      <c r="A43" s="50" t="s">
        <v>212</v>
      </c>
      <c r="B43" s="3"/>
      <c r="C43" s="3">
        <f>+Parameters!B15</f>
        <v>-0.01</v>
      </c>
      <c r="D43" s="3">
        <f>+C43*(1+Parameters!$B$57)^5</f>
        <v>-9.9500999000499898E-3</v>
      </c>
      <c r="E43" s="3">
        <f>+D43*(1+Parameters!$B$57)^5</f>
        <v>-9.9004488020974814E-3</v>
      </c>
      <c r="F43" s="3">
        <f>+E43*(1+Parameters!$B$57)^5</f>
        <v>-9.8510454636200201E-3</v>
      </c>
      <c r="G43" s="3">
        <f>+F43*(1+Parameters!$B$57)^5</f>
        <v>-9.8018886482953479E-3</v>
      </c>
      <c r="H43" s="3">
        <f>+G43*(1+Parameters!$B$57)^5</f>
        <v>-9.7529771259704679E-3</v>
      </c>
      <c r="I43" s="3">
        <f>+H43*(1+Parameters!$B$57)^5</f>
        <v>-9.7043096726308585E-3</v>
      </c>
      <c r="J43" s="3">
        <f>+I43*(1+Parameters!$B$57)^5</f>
        <v>-9.6558850703698466E-3</v>
      </c>
      <c r="K43" s="3">
        <f>+J43*(1+Parameters!$B$57)^5</f>
        <v>-9.6077021073581199E-3</v>
      </c>
      <c r="L43" s="3">
        <f>+K43*(1+Parameters!$B$57)^5</f>
        <v>-9.559759577813411E-3</v>
      </c>
      <c r="M43" s="3">
        <f>+L43*(1+Parameters!$B$57)^5</f>
        <v>-9.5120562819703148E-3</v>
      </c>
      <c r="N43" s="3">
        <f>+M43*(1+Parameters!$B$57)^5</f>
        <v>-9.4645910260502709E-3</v>
      </c>
      <c r="O43" s="3">
        <f>+N43*(1+Parameters!$B$57)^5</f>
        <v>-9.4173626222316831E-3</v>
      </c>
      <c r="P43" s="3">
        <f>+O43*(1+Parameters!$B$57)^5</f>
        <v>-9.3703698886201982E-3</v>
      </c>
      <c r="Q43" s="3">
        <f>+P43*(1+Parameters!$B$57)^5</f>
        <v>-9.3236116492191271E-3</v>
      </c>
      <c r="R43" s="3">
        <f>+Q43*(1+Parameters!$B$57)^5</f>
        <v>-9.2770867339000158E-3</v>
      </c>
      <c r="S43" s="3">
        <f>+R43*(1+Parameters!$B$57)^5</f>
        <v>-9.2307939783733643E-3</v>
      </c>
      <c r="T43" s="3">
        <f>+S43*(1+Parameters!$B$57)^5</f>
        <v>-9.1847322241594854E-3</v>
      </c>
      <c r="U43" s="3">
        <f>+T43*(1+Parameters!$B$57)^5</f>
        <v>-9.1389003185595227E-3</v>
      </c>
      <c r="V43" s="3">
        <f>+U43*(1+Parameters!$B$57)^5</f>
        <v>-9.0932971146265931E-3</v>
      </c>
      <c r="W43" s="3">
        <f>+V43*(1+Parameters!$B$57)^5</f>
        <v>-9.0479214711370933E-3</v>
      </c>
      <c r="X43" s="3">
        <f>+W43*(1+Parameters!$B$57)^5</f>
        <v>-9.0027722525621353E-3</v>
      </c>
      <c r="Y43" s="3">
        <f>+X43*(1+Parameters!$B$57)^5</f>
        <v>-8.9578483290391319E-3</v>
      </c>
      <c r="Z43" s="3">
        <f>+Y43*(1+Parameters!$B$57)^5</f>
        <v>-8.9131485763435242E-3</v>
      </c>
      <c r="AA43" s="3">
        <f>+Z43*(1+Parameters!$B$57)^5</f>
        <v>-8.8686718758606408E-3</v>
      </c>
      <c r="AB43" s="3">
        <f>+AA43*(1+Parameters!$B$57)^5</f>
        <v>-8.8244171145577116E-3</v>
      </c>
      <c r="AC43" s="3">
        <f>+AB43*(1+Parameters!$B$57)^5</f>
        <v>-8.7803831849560116E-3</v>
      </c>
      <c r="AD43" s="3">
        <f>+AC43*(1+Parameters!$B$57)^5</f>
        <v>-8.7365689851031433E-3</v>
      </c>
      <c r="AE43" s="3">
        <f>+AD43*(1+Parameters!$B$57)^5</f>
        <v>-8.6929734185454636E-3</v>
      </c>
      <c r="AF43" s="3">
        <f>+AE43*(1+Parameters!$B$57)^5</f>
        <v>-8.6495953943006437E-3</v>
      </c>
      <c r="AG43" s="3">
        <f>+AF43*(1+Parameters!$B$57)^5</f>
        <v>-8.6064338268303682E-3</v>
      </c>
      <c r="AH43" s="3">
        <f>+AG43*(1+Parameters!$B$57)^5</f>
        <v>-8.5634876360131708E-3</v>
      </c>
      <c r="AI43" s="3">
        <f>+AH43*(1+Parameters!$B$57)^5</f>
        <v>-8.5207557471173971E-3</v>
      </c>
      <c r="AJ43" s="3">
        <f>+AI43*(1+Parameters!$B$57)^5</f>
        <v>-8.4782370907743199E-3</v>
      </c>
      <c r="AK43" s="3">
        <f>+AJ43*(1+Parameters!$B$57)^5</f>
        <v>-8.4359306029513671E-3</v>
      </c>
      <c r="AL43" s="3">
        <f>+AK43*(1+Parameters!$B$57)^5</f>
        <v>-8.3938352249255058E-3</v>
      </c>
      <c r="AM43" s="3">
        <f>+AL43*(1+Parameters!$B$57)^5</f>
        <v>-8.3519499032567359E-3</v>
      </c>
      <c r="AN43" s="3">
        <f>+AM43*(1+Parameters!$B$57)^5</f>
        <v>-8.3102735897617377E-3</v>
      </c>
      <c r="AO43" s="3">
        <f>+AN43*(1+Parameters!$B$57)^5</f>
        <v>-8.2688052414876343E-3</v>
      </c>
      <c r="AP43" s="3">
        <f>+AO43*(1+Parameters!$B$57)^5</f>
        <v>-8.2275438206858946E-3</v>
      </c>
      <c r="AQ43" s="3">
        <f>+AP43*(1+Parameters!$B$57)^5</f>
        <v>-8.1864882947863642E-3</v>
      </c>
      <c r="AR43" s="3">
        <f>+AQ43*(1+Parameters!$B$57)^5</f>
        <v>-8.1456376363714215E-3</v>
      </c>
      <c r="AS43" s="3">
        <f>+AR43*(1+Parameters!$B$57)^5</f>
        <v>-8.1049908231502713E-3</v>
      </c>
      <c r="AT43" s="3">
        <f>+AS43*(1+Parameters!$B$57)^5</f>
        <v>-8.0645468379333604E-3</v>
      </c>
      <c r="AU43" s="3">
        <f>+AT43*(1+Parameters!$B$57)^5</f>
        <v>-8.0243046686069193E-3</v>
      </c>
      <c r="AV43" s="3">
        <f>+AU43*(1+Parameters!$B$57)^5</f>
        <v>-7.9842633081076385E-3</v>
      </c>
      <c r="AW43" s="3">
        <f>+AV43*(1+Parameters!$B$57)^5</f>
        <v>-7.9444217543974613E-3</v>
      </c>
      <c r="AX43" s="3">
        <f>+AW43*(1+Parameters!$B$57)^5</f>
        <v>-7.9047790104385153E-3</v>
      </c>
      <c r="AY43" s="3">
        <f>+AX43*(1+Parameters!$B$57)^5</f>
        <v>-7.8653340841681532E-3</v>
      </c>
      <c r="AZ43" s="3">
        <f>+AY43*(1+Parameters!$B$57)^5</f>
        <v>-7.8260859884741324E-3</v>
      </c>
      <c r="BA43" s="3">
        <f>+AZ43*(1+Parameters!$B$57)^5</f>
        <v>-7.7870337411699089E-3</v>
      </c>
      <c r="BB43" s="3">
        <f>+BA43*(1+Parameters!$B$57)^5</f>
        <v>-7.748176364970061E-3</v>
      </c>
      <c r="BC43" s="3">
        <f>+BB43*(1+Parameters!$B$57)^5</f>
        <v>-7.70951288746583E-3</v>
      </c>
      <c r="BD43" s="3">
        <f>+BC43*(1+Parameters!$B$57)^5</f>
        <v>-7.6710423411007868E-3</v>
      </c>
      <c r="BE43" s="3">
        <f>+BD43*(1+Parameters!$B$57)^5</f>
        <v>-7.6327637631466178E-3</v>
      </c>
      <c r="BF43" s="3">
        <f>+BE43*(1+Parameters!$B$57)^5</f>
        <v>-7.5946761956790345E-3</v>
      </c>
      <c r="BG43" s="3">
        <f>+BF43*(1+Parameters!$B$57)^5</f>
        <v>-7.5567786855537996E-3</v>
      </c>
      <c r="BH43" s="3">
        <f>+BG43*(1+Parameters!$B$57)^5</f>
        <v>-7.5190702843828758E-3</v>
      </c>
      <c r="BI43" s="3">
        <f>+BH43*(1+Parameters!$B$57)^5</f>
        <v>-7.4815500485106903E-3</v>
      </c>
    </row>
    <row r="44" spans="1:124" ht="21" customHeight="1" x14ac:dyDescent="0.35">
      <c r="A44" s="50" t="s">
        <v>164</v>
      </c>
      <c r="B44" s="51">
        <f>+B45</f>
        <v>1.53972</v>
      </c>
      <c r="C44" s="3">
        <f>+B44*(1-Parameters!$C$55)</f>
        <v>1.231776</v>
      </c>
      <c r="D44" s="3">
        <f>+C44*(1-Parameters!$C$55)</f>
        <v>0.98542079999999999</v>
      </c>
      <c r="E44" s="3">
        <f>+D44*(1-Parameters!$C$55)</f>
        <v>0.78833664000000003</v>
      </c>
      <c r="F44" s="3">
        <f>+E44*(1-Parameters!$C$55)</f>
        <v>0.63066931200000009</v>
      </c>
      <c r="G44" s="3">
        <f>+F44*(1-Parameters!$C$55)</f>
        <v>0.50453544960000007</v>
      </c>
      <c r="H44" s="3">
        <f>+G44*(1-Parameters!$C$55)</f>
        <v>0.4036283596800001</v>
      </c>
      <c r="I44" s="3">
        <f>+H44*(1-Parameters!$C$55)</f>
        <v>0.32290268774400011</v>
      </c>
      <c r="J44" s="3">
        <f>+I44*(1-Parameters!$C$55)</f>
        <v>0.25832215019520011</v>
      </c>
      <c r="K44" s="3">
        <f>+J44*(1-Parameters!$C$55)</f>
        <v>0.2066577201561601</v>
      </c>
      <c r="L44" s="3">
        <f>+K44*(1-Parameters!$C$55)</f>
        <v>0.16532617612492809</v>
      </c>
      <c r="M44" s="3">
        <f>+L44*(1-Parameters!$C$55)</f>
        <v>0.13226094089994248</v>
      </c>
      <c r="N44" s="3">
        <f>+M44*(1-Parameters!$C$55)</f>
        <v>0.10580875271995399</v>
      </c>
      <c r="O44" s="3">
        <f>+N44*(1-Parameters!$C$55)</f>
        <v>8.4647002175963201E-2</v>
      </c>
      <c r="P44" s="3">
        <f>+O44*(1-Parameters!$C$55)</f>
        <v>6.7717601740770558E-2</v>
      </c>
      <c r="Q44" s="3">
        <f>+P44*(1-Parameters!$C$55)</f>
        <v>5.4174081392616452E-2</v>
      </c>
      <c r="R44" s="3">
        <f>+Q44*(1-Parameters!$C$55)</f>
        <v>4.3339265114093167E-2</v>
      </c>
      <c r="S44" s="3">
        <f>+R44*(1-Parameters!$C$55)</f>
        <v>3.4671412091274535E-2</v>
      </c>
      <c r="T44" s="3">
        <f>+S44*(1-Parameters!$C$55)</f>
        <v>2.7737129673019629E-2</v>
      </c>
      <c r="U44" s="3">
        <f>+T44*(1-Parameters!$C$55)</f>
        <v>2.2189703738415705E-2</v>
      </c>
      <c r="V44" s="3">
        <f>+U44*(1-Parameters!$C$55)</f>
        <v>1.7751762990732566E-2</v>
      </c>
      <c r="W44" s="3">
        <f>+V44*(1-Parameters!$C$55)</f>
        <v>1.4201410392586053E-2</v>
      </c>
      <c r="X44" s="3">
        <f>+W44*(1-Parameters!$C$55)</f>
        <v>1.1361128314068844E-2</v>
      </c>
      <c r="Y44" s="3">
        <f>+X44*(1-Parameters!$C$55)</f>
        <v>9.0889026512550753E-3</v>
      </c>
      <c r="Z44" s="3">
        <f>+Y44*(1-Parameters!$C$55)</f>
        <v>7.2711221210040606E-3</v>
      </c>
      <c r="AA44" s="3">
        <f>+Z44*(1-Parameters!$C$55)</f>
        <v>5.8168976968032485E-3</v>
      </c>
      <c r="AB44" s="3">
        <f>+AA44*(1-Parameters!$C$55)</f>
        <v>4.6535181574425986E-3</v>
      </c>
      <c r="AC44" s="3">
        <f>+AB44*(1-Parameters!$C$55)</f>
        <v>3.722814525954079E-3</v>
      </c>
      <c r="AD44" s="3">
        <f>+AC44*(1-Parameters!$C$55)</f>
        <v>2.9782516207632632E-3</v>
      </c>
      <c r="AE44" s="3">
        <f>+AD44*(1-Parameters!$C$55)</f>
        <v>2.3826012966106109E-3</v>
      </c>
      <c r="AF44" s="3">
        <f>+AE44*(1-Parameters!$C$55)</f>
        <v>1.9060810372884887E-3</v>
      </c>
      <c r="AG44" s="3">
        <f>+AF44*(1-Parameters!$C$55)</f>
        <v>1.524864829830791E-3</v>
      </c>
      <c r="AH44" s="3">
        <f>+AG44*(1-Parameters!$C$55)</f>
        <v>1.2198918638646329E-3</v>
      </c>
      <c r="AI44" s="3">
        <f>+AH44*(1-Parameters!$C$55)</f>
        <v>9.7591349109170638E-4</v>
      </c>
      <c r="AJ44" s="3">
        <f>+AI44*(1-Parameters!$C$55)</f>
        <v>7.8073079287336515E-4</v>
      </c>
      <c r="AK44" s="3">
        <f>+AJ44*(1-Parameters!$C$55)</f>
        <v>6.2458463429869221E-4</v>
      </c>
      <c r="AL44" s="3">
        <f>+AK44*(1-Parameters!$C$55)</f>
        <v>4.9966770743895374E-4</v>
      </c>
      <c r="AM44" s="3">
        <f>+AL44*(1-Parameters!$C$55)</f>
        <v>3.9973416595116303E-4</v>
      </c>
      <c r="AN44" s="3">
        <f>+AM44*(1-Parameters!$C$55)</f>
        <v>3.1978733276093044E-4</v>
      </c>
      <c r="AO44" s="3">
        <f>+AN44*(1-Parameters!$C$55)</f>
        <v>2.5582986620874439E-4</v>
      </c>
      <c r="AP44" s="3">
        <f>+AO44*(1-Parameters!$C$55)</f>
        <v>2.0466389296699552E-4</v>
      </c>
      <c r="AQ44" s="3">
        <f>+AP44*(1-Parameters!$C$55)</f>
        <v>1.6373111437359642E-4</v>
      </c>
      <c r="AR44" s="3">
        <f>+AQ44*(1-Parameters!$C$55)</f>
        <v>1.3098489149887714E-4</v>
      </c>
      <c r="AS44" s="3">
        <f>+AR44*(1-Parameters!$C$55)</f>
        <v>1.0478791319910172E-4</v>
      </c>
      <c r="AT44" s="3">
        <f>+AS44*(1-Parameters!$C$55)</f>
        <v>8.3830330559281379E-5</v>
      </c>
      <c r="AU44" s="3">
        <f>+AT44*(1-Parameters!$C$55)</f>
        <v>6.7064264447425106E-5</v>
      </c>
      <c r="AV44" s="3">
        <f>+AU44*(1-Parameters!$C$55)</f>
        <v>5.365141155794009E-5</v>
      </c>
      <c r="AW44" s="3">
        <f>+AV44*(1-Parameters!$C$55)</f>
        <v>4.2921129246352076E-5</v>
      </c>
      <c r="AX44" s="3">
        <f>+AW44*(1-Parameters!$C$55)</f>
        <v>3.4336903397081661E-5</v>
      </c>
      <c r="AY44" s="3">
        <f>+AX44*(1-Parameters!$C$55)</f>
        <v>2.7469522717665329E-5</v>
      </c>
      <c r="AZ44" s="3">
        <f>+AY44*(1-Parameters!$C$55)</f>
        <v>2.1975618174132264E-5</v>
      </c>
      <c r="BA44" s="3">
        <f>+AZ44*(1-Parameters!$C$55)</f>
        <v>1.7580494539305812E-5</v>
      </c>
      <c r="BB44" s="3">
        <f>+BA44*(1-Parameters!$C$55)</f>
        <v>1.4064395631444651E-5</v>
      </c>
      <c r="BC44" s="3">
        <f>+BB44*(1-Parameters!$C$55)</f>
        <v>1.1251516505155721E-5</v>
      </c>
      <c r="BD44" s="3">
        <f>+BC44*(1-Parameters!$C$55)</f>
        <v>9.0012132041245777E-6</v>
      </c>
      <c r="BE44" s="3">
        <f>+BD44*(1-Parameters!$C$55)</f>
        <v>7.2009705632996627E-6</v>
      </c>
      <c r="BF44" s="3">
        <f>+BE44*(1-Parameters!$C$55)</f>
        <v>5.7607764506397308E-6</v>
      </c>
      <c r="BG44" s="3">
        <f>+BF44*(1-Parameters!$C$55)</f>
        <v>4.6086211605117848E-6</v>
      </c>
      <c r="BH44" s="3">
        <f>+BG44*(1-Parameters!$C$55)</f>
        <v>3.6868969284094279E-6</v>
      </c>
      <c r="BI44" s="3">
        <f>+BH44*(1-Parameters!$C$55)</f>
        <v>2.9495175427275426E-6</v>
      </c>
    </row>
    <row r="45" spans="1:124" ht="22.25" customHeight="1" x14ac:dyDescent="0.35">
      <c r="A45" s="50" t="s">
        <v>213</v>
      </c>
      <c r="B45" s="51">
        <f>+Base!B45</f>
        <v>1.53972</v>
      </c>
    </row>
    <row r="46" spans="1:124" ht="21" customHeight="1" thickBot="1" x14ac:dyDescent="0.4">
      <c r="A46" s="55" t="s">
        <v>3</v>
      </c>
      <c r="B46" s="56"/>
    </row>
    <row r="47" spans="1:124" ht="21" customHeight="1" thickTop="1" x14ac:dyDescent="0.35">
      <c r="A47" s="50" t="str">
        <f>+IF(Parameters!B27=1,"Copenhagen",IF(Parameters!B27=2,"Copenhagen rich",IF(Parameters!B27=3,"Realistically optimistic","All immediate")))</f>
        <v>All immediate</v>
      </c>
      <c r="B47" s="57">
        <v>1</v>
      </c>
      <c r="C47" s="57">
        <f>+IF(Parameters!$B$27=1,Parameters!C45,IF(Parameters!$B$27=2,Parameters!C46,IF(Parameters!$B$27=3,Parameters!C47,Parameters!C48)))</f>
        <v>1</v>
      </c>
      <c r="D47" s="57">
        <f>+IF(Parameters!$B$27=1,Parameters!D45,IF(Parameters!$B$27=2,Parameters!D46,IF(Parameters!$B$27=3,Parameters!D47,Parameters!D48)))</f>
        <v>1</v>
      </c>
      <c r="E47" s="57">
        <f>+IF(Parameters!$B$27=1,Parameters!E45,IF(Parameters!$B$27=2,Parameters!E46,IF(Parameters!$B$27=3,Parameters!E47,Parameters!E48)))</f>
        <v>1</v>
      </c>
      <c r="F47" s="57">
        <f>+IF(Parameters!$B$27=1,Parameters!F45,IF(Parameters!$B$27=2,Parameters!F46,IF(Parameters!$B$27=3,Parameters!F47,Parameters!F48)))</f>
        <v>1</v>
      </c>
      <c r="G47" s="57">
        <f>+IF(Parameters!$B$27=1,Parameters!G45,IF(Parameters!$B$27=2,Parameters!G46,IF(Parameters!$B$27=3,Parameters!G47,Parameters!G48)))</f>
        <v>1</v>
      </c>
      <c r="H47" s="57">
        <f>+IF(Parameters!$B$27=1,Parameters!H45,IF(Parameters!$B$27=2,Parameters!H46,IF(Parameters!$B$27=3,Parameters!H47,Parameters!H48)))</f>
        <v>1</v>
      </c>
      <c r="I47" s="57">
        <f>+IF(Parameters!$B$27=1,Parameters!I45,IF(Parameters!$B$27=2,Parameters!I46,IF(Parameters!$B$27=3,Parameters!I47,Parameters!I48)))</f>
        <v>1</v>
      </c>
      <c r="J47" s="57">
        <f>+IF(Parameters!$B$27=1,Parameters!J45,IF(Parameters!$B$27=2,Parameters!J46,IF(Parameters!$B$27=3,Parameters!J47,Parameters!J48)))</f>
        <v>1</v>
      </c>
      <c r="K47" s="57">
        <f>+IF(Parameters!$B$27=1,Parameters!K45,IF(Parameters!$B$27=2,Parameters!K46,IF(Parameters!$B$27=3,Parameters!K47,Parameters!K48)))</f>
        <v>1</v>
      </c>
      <c r="L47" s="57">
        <f>+IF(Parameters!$B$27=1,Parameters!L45,IF(Parameters!$B$27=2,Parameters!L46,IF(Parameters!$B$27=3,Parameters!L47,Parameters!L48)))</f>
        <v>1</v>
      </c>
      <c r="M47" s="57">
        <f>+IF(Parameters!$B$27=1,Parameters!M45,IF(Parameters!$B$27=2,Parameters!M46,IF(Parameters!$B$27=3,Parameters!M47,Parameters!M48)))</f>
        <v>1</v>
      </c>
      <c r="N47" s="57">
        <f>+IF(Parameters!$B$27=1,Parameters!N45,IF(Parameters!$B$27=2,Parameters!N46,IF(Parameters!$B$27=3,Parameters!N47,Parameters!N48)))</f>
        <v>1</v>
      </c>
      <c r="O47" s="57">
        <f>+IF(Parameters!$B$27=1,Parameters!O45,IF(Parameters!$B$27=2,Parameters!O46,IF(Parameters!$B$27=3,Parameters!O47,Parameters!O48)))</f>
        <v>1</v>
      </c>
      <c r="P47" s="57">
        <f>+IF(Parameters!$B$27=1,Parameters!P45,IF(Parameters!$B$27=2,Parameters!P46,IF(Parameters!$B$27=3,Parameters!P47,Parameters!P48)))</f>
        <v>1</v>
      </c>
      <c r="Q47" s="57">
        <f>+IF(Parameters!$B$27=1,Parameters!Q45,IF(Parameters!$B$27=2,Parameters!Q46,IF(Parameters!$B$27=3,Parameters!Q47,Parameters!Q48)))</f>
        <v>1</v>
      </c>
      <c r="R47" s="57">
        <f>+IF(Parameters!$B$27=1,Parameters!R45,IF(Parameters!$B$27=2,Parameters!R46,IF(Parameters!$B$27=3,Parameters!R47,Parameters!R48)))</f>
        <v>1</v>
      </c>
      <c r="S47" s="57">
        <f>+IF(Parameters!$B$27=1,Parameters!S45,IF(Parameters!$B$27=2,Parameters!S46,IF(Parameters!$B$27=3,Parameters!S47,Parameters!S48)))</f>
        <v>1</v>
      </c>
      <c r="T47" s="57">
        <f>+IF(Parameters!$B$27=1,Parameters!T45,IF(Parameters!$B$27=2,Parameters!T46,IF(Parameters!$B$27=3,Parameters!T47,Parameters!T48)))</f>
        <v>1</v>
      </c>
      <c r="U47" s="57">
        <f>+IF(Parameters!$B$27=1,Parameters!U45,IF(Parameters!$B$27=2,Parameters!U46,IF(Parameters!$B$27=3,Parameters!U47,Parameters!U48)))</f>
        <v>1</v>
      </c>
      <c r="V47" s="57">
        <f>+IF(Parameters!$B$27=1,Parameters!V45,IF(Parameters!$B$27=2,Parameters!V46,IF(Parameters!$B$27=3,Parameters!V47,Parameters!V48)))</f>
        <v>1</v>
      </c>
      <c r="W47" s="57">
        <f>+IF(Parameters!$B$27=1,Parameters!W45,IF(Parameters!$B$27=2,Parameters!W46,IF(Parameters!$B$27=3,Parameters!W47,Parameters!W48)))</f>
        <v>1</v>
      </c>
      <c r="X47" s="57">
        <f>+IF(Parameters!$B$27=1,Parameters!X45,IF(Parameters!$B$27=2,Parameters!X46,IF(Parameters!$B$27=3,Parameters!X47,Parameters!X48)))</f>
        <v>1</v>
      </c>
      <c r="Y47" s="57">
        <f>+IF(Parameters!$B$27=1,Parameters!Y45,IF(Parameters!$B$27=2,Parameters!Y46,IF(Parameters!$B$27=3,Parameters!Y47,Parameters!Y48)))</f>
        <v>1</v>
      </c>
      <c r="Z47" s="57">
        <f>+IF(Parameters!$B$27=1,Parameters!Z45,IF(Parameters!$B$27=2,Parameters!Z46,IF(Parameters!$B$27=3,Parameters!Z47,Parameters!Z48)))</f>
        <v>1</v>
      </c>
      <c r="AA47" s="57">
        <f>+IF(Parameters!$B$27=1,Parameters!AA45,IF(Parameters!$B$27=2,Parameters!AA46,IF(Parameters!$B$27=3,Parameters!AA47,Parameters!AA48)))</f>
        <v>1</v>
      </c>
      <c r="AB47" s="57">
        <f>+IF(Parameters!$B$27=1,Parameters!AB45,IF(Parameters!$B$27=2,Parameters!AB46,IF(Parameters!$B$27=3,Parameters!AB47,Parameters!AB48)))</f>
        <v>1</v>
      </c>
      <c r="AC47" s="57">
        <f>+IF(Parameters!$B$27=1,Parameters!AC45,IF(Parameters!$B$27=2,Parameters!AC46,IF(Parameters!$B$27=3,Parameters!AC47,Parameters!AC48)))</f>
        <v>1</v>
      </c>
      <c r="AD47" s="57">
        <f>+IF(Parameters!$B$27=1,Parameters!AD45,IF(Parameters!$B$27=2,Parameters!AD46,IF(Parameters!$B$27=3,Parameters!AD47,Parameters!AD48)))</f>
        <v>1</v>
      </c>
      <c r="AE47" s="57">
        <f>+IF(Parameters!$B$27=1,Parameters!AE45,IF(Parameters!$B$27=2,Parameters!AE46,IF(Parameters!$B$27=3,Parameters!AE47,Parameters!AE48)))</f>
        <v>1</v>
      </c>
      <c r="AF47" s="57">
        <f>+IF(Parameters!$B$27=1,Parameters!AF45,IF(Parameters!$B$27=2,Parameters!AF46,IF(Parameters!$B$27=3,Parameters!AF47,Parameters!AF48)))</f>
        <v>1</v>
      </c>
      <c r="AG47" s="57">
        <f>+IF(Parameters!$B$27=1,Parameters!AG45,IF(Parameters!$B$27=2,Parameters!AG46,IF(Parameters!$B$27=3,Parameters!AG47,Parameters!AG48)))</f>
        <v>1</v>
      </c>
      <c r="AH47" s="57">
        <f>+IF(Parameters!$B$27=1,Parameters!AH45,IF(Parameters!$B$27=2,Parameters!AH46,IF(Parameters!$B$27=3,Parameters!AH47,Parameters!AH48)))</f>
        <v>1</v>
      </c>
      <c r="AI47" s="57">
        <f>+IF(Parameters!$B$27=1,Parameters!AI45,IF(Parameters!$B$27=2,Parameters!AI46,IF(Parameters!$B$27=3,Parameters!AI47,Parameters!AI48)))</f>
        <v>1</v>
      </c>
      <c r="AJ47" s="57">
        <f>+IF(Parameters!$B$27=1,Parameters!AJ45,IF(Parameters!$B$27=2,Parameters!AJ46,IF(Parameters!$B$27=3,Parameters!AJ47,Parameters!AJ48)))</f>
        <v>1</v>
      </c>
      <c r="AK47" s="57">
        <f>+IF(Parameters!$B$27=1,Parameters!AK45,IF(Parameters!$B$27=2,Parameters!AK46,IF(Parameters!$B$27=3,Parameters!AK47,Parameters!AK48)))</f>
        <v>1</v>
      </c>
      <c r="AL47" s="57">
        <f>+IF(Parameters!$B$27=1,Parameters!AL45,IF(Parameters!$B$27=2,Parameters!AL46,IF(Parameters!$B$27=3,Parameters!AL47,Parameters!AL48)))</f>
        <v>1</v>
      </c>
      <c r="AM47" s="57">
        <f>+IF(Parameters!$B$27=1,Parameters!AM45,IF(Parameters!$B$27=2,Parameters!AM46,IF(Parameters!$B$27=3,Parameters!AM47,Parameters!AM48)))</f>
        <v>1</v>
      </c>
      <c r="AN47" s="57">
        <f>+IF(Parameters!$B$27=1,Parameters!AN45,IF(Parameters!$B$27=2,Parameters!AN46,IF(Parameters!$B$27=3,Parameters!AN47,Parameters!AN48)))</f>
        <v>1</v>
      </c>
      <c r="AO47" s="57">
        <f>+IF(Parameters!$B$27=1,Parameters!AO45,IF(Parameters!$B$27=2,Parameters!AO46,IF(Parameters!$B$27=3,Parameters!AO47,Parameters!AO48)))</f>
        <v>1</v>
      </c>
      <c r="AP47" s="57">
        <f>+IF(Parameters!$B$27=1,Parameters!AP45,IF(Parameters!$B$27=2,Parameters!AP46,IF(Parameters!$B$27=3,Parameters!AP47,Parameters!AP48)))</f>
        <v>1</v>
      </c>
      <c r="AQ47" s="57">
        <f>+IF(Parameters!$B$27=1,Parameters!AQ45,IF(Parameters!$B$27=2,Parameters!AQ46,IF(Parameters!$B$27=3,Parameters!AQ47,Parameters!AQ48)))</f>
        <v>1</v>
      </c>
      <c r="AR47" s="57">
        <f>+IF(Parameters!$B$27=1,Parameters!AR45,IF(Parameters!$B$27=2,Parameters!AR46,IF(Parameters!$B$27=3,Parameters!AR47,Parameters!AR48)))</f>
        <v>1</v>
      </c>
      <c r="AS47" s="57">
        <f>+IF(Parameters!$B$27=1,Parameters!AS45,IF(Parameters!$B$27=2,Parameters!AS46,IF(Parameters!$B$27=3,Parameters!AS47,Parameters!AS48)))</f>
        <v>1</v>
      </c>
      <c r="AT47" s="57">
        <f>+IF(Parameters!$B$27=1,Parameters!AT45,IF(Parameters!$B$27=2,Parameters!AT46,IF(Parameters!$B$27=3,Parameters!AT47,Parameters!AT48)))</f>
        <v>1</v>
      </c>
      <c r="AU47" s="57">
        <f>+IF(Parameters!$B$27=1,Parameters!AU45,IF(Parameters!$B$27=2,Parameters!AU46,IF(Parameters!$B$27=3,Parameters!AU47,Parameters!AU48)))</f>
        <v>1</v>
      </c>
      <c r="AV47" s="57">
        <f>+IF(Parameters!$B$27=1,Parameters!AV45,IF(Parameters!$B$27=2,Parameters!AV46,IF(Parameters!$B$27=3,Parameters!AV47,Parameters!AV48)))</f>
        <v>1</v>
      </c>
      <c r="AW47" s="57">
        <f>+IF(Parameters!$B$27=1,Parameters!AW45,IF(Parameters!$B$27=2,Parameters!AW46,IF(Parameters!$B$27=3,Parameters!AW47,Parameters!AW48)))</f>
        <v>1</v>
      </c>
      <c r="AX47" s="57">
        <f>+IF(Parameters!$B$27=1,Parameters!AX45,IF(Parameters!$B$27=2,Parameters!AX46,IF(Parameters!$B$27=3,Parameters!AX47,Parameters!AX48)))</f>
        <v>1</v>
      </c>
      <c r="AY47" s="57">
        <f>+IF(Parameters!$B$27=1,Parameters!AY45,IF(Parameters!$B$27=2,Parameters!AY46,IF(Parameters!$B$27=3,Parameters!AY47,Parameters!AY48)))</f>
        <v>1</v>
      </c>
      <c r="AZ47" s="57">
        <f>+IF(Parameters!$B$27=1,Parameters!AZ45,IF(Parameters!$B$27=2,Parameters!AZ46,IF(Parameters!$B$27=3,Parameters!AZ47,Parameters!AZ48)))</f>
        <v>1</v>
      </c>
      <c r="BA47" s="57">
        <f>+IF(Parameters!$B$27=1,Parameters!BA45,IF(Parameters!$B$27=2,Parameters!BA46,IF(Parameters!$B$27=3,Parameters!BA47,Parameters!BA48)))</f>
        <v>1</v>
      </c>
      <c r="BB47" s="57">
        <f>+IF(Parameters!$B$27=1,Parameters!BB45,IF(Parameters!$B$27=2,Parameters!BB46,IF(Parameters!$B$27=3,Parameters!BB47,Parameters!BB48)))</f>
        <v>1</v>
      </c>
      <c r="BC47" s="57">
        <f>+IF(Parameters!$B$27=1,Parameters!BC45,IF(Parameters!$B$27=2,Parameters!BC46,IF(Parameters!$B$27=3,Parameters!BC47,Parameters!BC48)))</f>
        <v>1</v>
      </c>
      <c r="BD47" s="57">
        <f>+IF(Parameters!$B$27=1,Parameters!BD45,IF(Parameters!$B$27=2,Parameters!BD46,IF(Parameters!$B$27=3,Parameters!BD47,Parameters!BD48)))</f>
        <v>1</v>
      </c>
      <c r="BE47" s="57">
        <f>+IF(Parameters!$B$27=1,Parameters!BE45,IF(Parameters!$B$27=2,Parameters!BE46,IF(Parameters!$B$27=3,Parameters!BE47,Parameters!BE48)))</f>
        <v>1</v>
      </c>
      <c r="BF47" s="57">
        <f>+IF(Parameters!$B$27=1,Parameters!BF45,IF(Parameters!$B$27=2,Parameters!BF46,IF(Parameters!$B$27=3,Parameters!BF47,Parameters!BF48)))</f>
        <v>1</v>
      </c>
      <c r="BG47" s="57">
        <f>+IF(Parameters!$B$27=1,Parameters!BG45,IF(Parameters!$B$27=2,Parameters!BG46,IF(Parameters!$B$27=3,Parameters!BG47,Parameters!BG48)))</f>
        <v>1</v>
      </c>
      <c r="BH47" s="57">
        <f>+IF(Parameters!$B$27=1,Parameters!BH45,IF(Parameters!$B$27=2,Parameters!BH46,IF(Parameters!$B$27=3,Parameters!BH47,Parameters!BH48)))</f>
        <v>1</v>
      </c>
      <c r="BI47" s="57">
        <f>+IF(Parameters!$B$27=1,Parameters!BI45,IF(Parameters!$B$27=2,Parameters!BI46,IF(Parameters!$B$27=3,Parameters!BI47,Parameters!BI48)))</f>
        <v>1</v>
      </c>
      <c r="BJ47" s="57"/>
      <c r="BK47" s="57"/>
      <c r="BL47" s="57"/>
      <c r="BM47" s="57"/>
      <c r="BN47" s="57"/>
      <c r="BO47" s="57"/>
      <c r="BP47" s="57"/>
      <c r="BQ47" s="57"/>
      <c r="BR47" s="57"/>
      <c r="BS47" s="57"/>
      <c r="BT47" s="57"/>
      <c r="BU47" s="57"/>
      <c r="BV47" s="57"/>
      <c r="BW47" s="57"/>
      <c r="BX47" s="57"/>
      <c r="BY47" s="57"/>
      <c r="BZ47" s="57"/>
      <c r="CA47" s="57"/>
      <c r="CB47" s="57"/>
      <c r="CC47" s="57"/>
      <c r="CD47" s="57"/>
      <c r="CE47" s="57"/>
      <c r="CF47" s="57"/>
      <c r="CG47" s="57"/>
      <c r="CH47" s="57"/>
      <c r="CI47" s="57"/>
      <c r="CJ47" s="57"/>
      <c r="CK47" s="57"/>
      <c r="CL47" s="57"/>
      <c r="CM47" s="57"/>
      <c r="CN47" s="57"/>
      <c r="CO47" s="57"/>
      <c r="CP47" s="57"/>
      <c r="CQ47" s="57"/>
      <c r="CR47" s="57"/>
      <c r="CS47" s="57"/>
      <c r="CT47" s="57"/>
      <c r="CU47" s="57"/>
      <c r="CV47" s="57"/>
      <c r="CW47" s="57"/>
      <c r="CX47" s="57"/>
      <c r="CY47" s="57"/>
      <c r="CZ47" s="57"/>
      <c r="DA47" s="57"/>
      <c r="DB47" s="57"/>
      <c r="DC47" s="57"/>
      <c r="DD47" s="57"/>
      <c r="DE47" s="57"/>
      <c r="DF47" s="57"/>
      <c r="DG47" s="57"/>
      <c r="DH47" s="57"/>
      <c r="DI47" s="57"/>
      <c r="DJ47" s="57"/>
      <c r="DK47" s="57"/>
      <c r="DL47" s="57"/>
      <c r="DM47" s="57"/>
      <c r="DN47" s="57"/>
      <c r="DO47" s="57"/>
      <c r="DP47" s="57"/>
      <c r="DQ47" s="57"/>
      <c r="DR47" s="57"/>
      <c r="DS47" s="57"/>
      <c r="DT47" s="57"/>
    </row>
    <row r="48" spans="1:124" ht="21" customHeight="1" thickBot="1" x14ac:dyDescent="0.4">
      <c r="A48" s="54" t="s">
        <v>98</v>
      </c>
      <c r="C48" s="3" t="s">
        <v>131</v>
      </c>
      <c r="D48" s="3">
        <f>+B127</f>
        <v>6.4953419925451703</v>
      </c>
      <c r="E48" s="3">
        <v>7.5267760935020336</v>
      </c>
      <c r="F48" s="51"/>
    </row>
    <row r="49" spans="1:124" ht="21" customHeight="1" thickTop="1" x14ac:dyDescent="0.35">
      <c r="A49" s="50" t="s">
        <v>54</v>
      </c>
      <c r="B49" s="51">
        <f>+Base!B49</f>
        <v>1.6396699869977365E-2</v>
      </c>
      <c r="C49" s="51">
        <f>+B49/D130</f>
        <v>-4.0400093429229684E-9</v>
      </c>
    </row>
    <row r="50" spans="1:124" ht="21" customHeight="1" x14ac:dyDescent="0.35">
      <c r="A50" s="50" t="s">
        <v>55</v>
      </c>
      <c r="B50" s="51">
        <f>+Base!B50</f>
        <v>-3823.8684027386507</v>
      </c>
      <c r="C50" s="58"/>
      <c r="D50" s="58"/>
    </row>
    <row r="51" spans="1:124" ht="21" customHeight="1" thickBot="1" x14ac:dyDescent="0.4">
      <c r="A51" s="54" t="s">
        <v>253</v>
      </c>
      <c r="B51" s="51">
        <v>0</v>
      </c>
      <c r="C51" s="3" t="s">
        <v>146</v>
      </c>
      <c r="D51" s="3">
        <f>+D50-B130</f>
        <v>4027879.296109539</v>
      </c>
      <c r="F51" s="3">
        <v>-30700.394727082923</v>
      </c>
      <c r="G51" s="3">
        <f>+D51-F51</f>
        <v>4058579.6908366219</v>
      </c>
    </row>
    <row r="52" spans="1:124" ht="21" customHeight="1" thickTop="1" thickBot="1" x14ac:dyDescent="0.4">
      <c r="A52" s="54" t="s">
        <v>17</v>
      </c>
      <c r="C52" s="51"/>
      <c r="D52" s="51"/>
      <c r="E52" s="51"/>
      <c r="F52" s="51"/>
      <c r="G52" s="51"/>
      <c r="H52" s="51"/>
      <c r="I52" s="51"/>
      <c r="J52" s="51"/>
      <c r="K52" s="51"/>
      <c r="L52" s="51"/>
      <c r="M52" s="51"/>
      <c r="N52" s="51"/>
      <c r="O52" s="51"/>
      <c r="P52" s="51"/>
      <c r="Q52" s="51"/>
      <c r="R52" s="51"/>
      <c r="S52" s="51"/>
      <c r="T52" s="51"/>
      <c r="U52" s="51"/>
      <c r="V52" s="51"/>
      <c r="W52" s="51"/>
      <c r="X52" s="51"/>
      <c r="Y52" s="51"/>
      <c r="Z52" s="51"/>
      <c r="AA52" s="51"/>
      <c r="AB52" s="51"/>
      <c r="AC52" s="51"/>
      <c r="AD52" s="51"/>
      <c r="AE52" s="51"/>
      <c r="AF52" s="51"/>
      <c r="AG52" s="51"/>
      <c r="AH52" s="51"/>
      <c r="AI52" s="51"/>
      <c r="AJ52" s="51"/>
      <c r="AK52" s="51"/>
      <c r="AL52" s="51"/>
      <c r="AM52" s="51"/>
      <c r="AN52" s="51"/>
      <c r="AO52" s="51"/>
      <c r="AP52" s="51"/>
      <c r="AQ52" s="51"/>
      <c r="AR52" s="51"/>
      <c r="AS52" s="51"/>
      <c r="AT52" s="51"/>
      <c r="AU52" s="51"/>
      <c r="AV52" s="51"/>
      <c r="AW52" s="51"/>
      <c r="AX52" s="51"/>
      <c r="AY52" s="51"/>
      <c r="AZ52" s="51"/>
      <c r="BA52" s="51"/>
      <c r="BB52" s="51"/>
      <c r="BC52" s="51"/>
      <c r="BD52" s="51"/>
      <c r="BE52" s="51"/>
      <c r="BF52" s="51"/>
      <c r="BG52" s="51"/>
      <c r="BH52" s="51"/>
      <c r="BI52" s="51"/>
      <c r="BJ52" s="51"/>
      <c r="BK52" s="51"/>
      <c r="BL52" s="51"/>
      <c r="BM52" s="51"/>
      <c r="BN52" s="51"/>
      <c r="BO52" s="51"/>
      <c r="BP52" s="51"/>
      <c r="BQ52" s="51"/>
      <c r="BR52" s="51"/>
      <c r="BS52" s="51"/>
      <c r="BT52" s="51"/>
      <c r="BU52" s="51"/>
      <c r="BV52" s="51"/>
      <c r="BW52" s="51"/>
      <c r="BX52" s="51"/>
      <c r="BY52" s="51"/>
      <c r="BZ52" s="51"/>
      <c r="CA52" s="51"/>
      <c r="CB52" s="51"/>
      <c r="CC52" s="51"/>
      <c r="CD52" s="51"/>
      <c r="CE52" s="51"/>
      <c r="CF52" s="51"/>
      <c r="CG52" s="51"/>
      <c r="CH52" s="51"/>
      <c r="CI52" s="51"/>
      <c r="CJ52" s="51"/>
      <c r="CK52" s="51"/>
      <c r="CL52" s="51"/>
      <c r="CM52" s="51"/>
      <c r="CN52" s="51"/>
      <c r="CO52" s="51"/>
      <c r="CP52" s="51"/>
      <c r="CQ52" s="51"/>
      <c r="CR52" s="51"/>
      <c r="CS52" s="51"/>
      <c r="CT52" s="51"/>
      <c r="CU52" s="51"/>
      <c r="CV52" s="51"/>
      <c r="CW52" s="51"/>
      <c r="CX52" s="51"/>
      <c r="CY52" s="51"/>
      <c r="CZ52" s="51"/>
      <c r="DA52" s="51"/>
      <c r="DB52" s="51"/>
      <c r="DC52" s="51"/>
      <c r="DD52" s="51"/>
      <c r="DE52" s="51"/>
      <c r="DF52" s="51"/>
      <c r="DG52" s="51"/>
      <c r="DH52" s="51"/>
      <c r="DI52" s="51"/>
      <c r="DJ52" s="51"/>
      <c r="DK52" s="51"/>
      <c r="DL52" s="51"/>
      <c r="DM52" s="51"/>
      <c r="DN52" s="51"/>
      <c r="DO52" s="51"/>
      <c r="DP52" s="51"/>
      <c r="DQ52" s="51"/>
      <c r="DR52" s="51"/>
      <c r="DS52" s="51"/>
      <c r="DT52" s="51"/>
    </row>
    <row r="53" spans="1:124" ht="21" customHeight="1" thickTop="1" x14ac:dyDescent="0.35">
      <c r="A53" s="50" t="s">
        <v>18</v>
      </c>
      <c r="B53" s="51">
        <f>+Base!B53</f>
        <v>6838</v>
      </c>
      <c r="C53" s="51">
        <f>+Base!C53</f>
        <v>7244.0131682715773</v>
      </c>
      <c r="D53" s="51">
        <f>+Base!D53</f>
        <v>7614.8328217481658</v>
      </c>
      <c r="E53" s="51">
        <f>+Base!E53</f>
        <v>7951.0707590505608</v>
      </c>
      <c r="F53" s="51">
        <f>+Base!F53</f>
        <v>8254.0505790007173</v>
      </c>
      <c r="G53" s="51">
        <f>+Base!G53</f>
        <v>8525.5874386257801</v>
      </c>
      <c r="H53" s="51">
        <f>+Base!H53</f>
        <v>8767.8063434235337</v>
      </c>
      <c r="I53" s="51">
        <f>+Base!I53</f>
        <v>8982.9978140746662</v>
      </c>
      <c r="J53" s="51">
        <f>+Base!J53</f>
        <v>9173.5073444878253</v>
      </c>
      <c r="K53" s="51">
        <f>+Base!K53</f>
        <v>9341.6539239806625</v>
      </c>
      <c r="L53" s="51">
        <f>+Base!L53</f>
        <v>9489.6726076231553</v>
      </c>
      <c r="M53" s="51">
        <f>+Base!M53</f>
        <v>9619.6763483350842</v>
      </c>
      <c r="N53" s="51">
        <f>+Base!N53</f>
        <v>9733.6328118544734</v>
      </c>
      <c r="O53" s="51">
        <f>+Base!O53</f>
        <v>9833.3525197035178</v>
      </c>
      <c r="P53" s="51">
        <f>+Base!P53</f>
        <v>9920.4853046792614</v>
      </c>
      <c r="Q53" s="51">
        <f>+Base!Q53</f>
        <v>9996.5226603527044</v>
      </c>
      <c r="R53" s="51">
        <f>+Base!R53</f>
        <v>10062.804091979313</v>
      </c>
      <c r="S53" s="51">
        <f>+Base!S53</f>
        <v>10120.526021146155</v>
      </c>
      <c r="T53" s="51">
        <f>+Base!T53</f>
        <v>10170.75216151042</v>
      </c>
      <c r="U53" s="51">
        <f>+Base!U53</f>
        <v>10214.424575159541</v>
      </c>
      <c r="V53" s="51">
        <f>+Base!V53</f>
        <v>10252.374848116402</v>
      </c>
      <c r="W53" s="51">
        <f>+Base!W53</f>
        <v>10285.334999620252</v>
      </c>
      <c r="X53" s="51">
        <f>+Base!X53</f>
        <v>10313.947872827168</v>
      </c>
      <c r="Y53" s="51">
        <f>+Base!Y53</f>
        <v>10338.776853219713</v>
      </c>
      <c r="Z53" s="51">
        <f>+Base!Z53</f>
        <v>10360.314832745784</v>
      </c>
      <c r="AA53" s="51">
        <f>+Base!AA53</f>
        <v>10378.992388692368</v>
      </c>
      <c r="AB53" s="51">
        <f>+Base!AB53</f>
        <v>10395.185181534063</v>
      </c>
      <c r="AC53" s="51">
        <f>+Base!AC53</f>
        <v>10409.220599442217</v>
      </c>
      <c r="AD53" s="51">
        <f>+Base!AD53</f>
        <v>10421.383691897539</v>
      </c>
      <c r="AE53" s="51">
        <f>+Base!AE53</f>
        <v>10431.922443305928</v>
      </c>
      <c r="AF53" s="51">
        <f>+Base!AF53</f>
        <v>10441.052441493106</v>
      </c>
      <c r="AG53" s="51">
        <f>+Base!AG53</f>
        <v>10448.960996817566</v>
      </c>
      <c r="AH53" s="51">
        <f>+Base!AH53</f>
        <v>10455.810766410352</v>
      </c>
      <c r="AI53" s="51">
        <f>+Base!AI53</f>
        <v>10461.742935471591</v>
      </c>
      <c r="AJ53" s="51">
        <f>+Base!AJ53</f>
        <v>10466.880004167821</v>
      </c>
      <c r="AK53" s="51">
        <f>+Base!AK53</f>
        <v>10471.3282248657</v>
      </c>
      <c r="AL53" s="51">
        <f>+Base!AL53</f>
        <v>10475.179730475338</v>
      </c>
      <c r="AM53" s="51">
        <f>+Base!AM53</f>
        <v>10478.514390742053</v>
      </c>
      <c r="AN53" s="51">
        <f>+Base!AN53</f>
        <v>10481.401429538373</v>
      </c>
      <c r="AO53" s="51">
        <f>+Base!AO53</f>
        <v>10483.900832641932</v>
      </c>
      <c r="AP53" s="51">
        <f>+Base!AP53</f>
        <v>10486.064572180732</v>
      </c>
      <c r="AQ53" s="51">
        <f>+Base!AQ53</f>
        <v>10487.937670903442</v>
      </c>
      <c r="AR53" s="51">
        <f>+Base!AR53</f>
        <v>10489.559126691636</v>
      </c>
      <c r="AS53" s="51">
        <f>+Base!AS53</f>
        <v>10490.962715265843</v>
      </c>
      <c r="AT53" s="51">
        <f>+Base!AT53</f>
        <v>10492.177686833749</v>
      </c>
      <c r="AU53" s="51">
        <f>+Base!AU53</f>
        <v>10493.229370469204</v>
      </c>
      <c r="AV53" s="51">
        <f>+Base!AV53</f>
        <v>10494.139698275025</v>
      </c>
      <c r="AW53" s="51">
        <f>+Base!AW53</f>
        <v>10494.927659850739</v>
      </c>
      <c r="AX53" s="51">
        <f>+Base!AX53</f>
        <v>10495.609696238218</v>
      </c>
      <c r="AY53" s="51">
        <f>+Base!AY53</f>
        <v>10496.200041334723</v>
      </c>
      <c r="AZ53" s="51">
        <f>+Base!AZ53</f>
        <v>10496.711017725867</v>
      </c>
      <c r="BA53" s="51">
        <f>+Base!BA53</f>
        <v>10497.153292984229</v>
      </c>
      <c r="BB53" s="51">
        <f>+Base!BB53</f>
        <v>10497.536101687356</v>
      </c>
      <c r="BC53" s="51">
        <f>+Base!BC53</f>
        <v>10497.867437718181</v>
      </c>
      <c r="BD53" s="51">
        <f>+Base!BD53</f>
        <v>10498.154220809072</v>
      </c>
      <c r="BE53" s="51">
        <f>+Base!BE53</f>
        <v>10498.402440766844</v>
      </c>
      <c r="BF53" s="51">
        <f>+Base!BF53</f>
        <v>10498.617282360547</v>
      </c>
      <c r="BG53" s="51">
        <f>+Base!BG53</f>
        <v>10498.803233457693</v>
      </c>
      <c r="BH53" s="51">
        <f>+Base!BH53</f>
        <v>10498.964178650702</v>
      </c>
      <c r="BI53" s="51">
        <f>+Base!BI53</f>
        <v>10499.103480316548</v>
      </c>
      <c r="BJ53" s="51"/>
      <c r="BK53" s="51"/>
      <c r="BL53" s="51"/>
      <c r="BM53" s="51"/>
      <c r="BN53" s="51"/>
      <c r="BO53" s="51"/>
      <c r="BP53" s="51"/>
      <c r="BQ53" s="51"/>
      <c r="BR53" s="51"/>
      <c r="BS53" s="51"/>
      <c r="BT53" s="51"/>
      <c r="BU53" s="51"/>
      <c r="BV53" s="51"/>
      <c r="BW53" s="51"/>
      <c r="BX53" s="51"/>
      <c r="BY53" s="51"/>
      <c r="BZ53" s="51"/>
      <c r="CA53" s="51"/>
      <c r="CB53" s="51"/>
      <c r="CC53" s="51"/>
      <c r="CD53" s="51"/>
      <c r="CE53" s="51"/>
      <c r="CF53" s="51"/>
      <c r="CG53" s="51"/>
      <c r="CH53" s="51"/>
      <c r="CI53" s="51"/>
      <c r="CJ53" s="51"/>
      <c r="CK53" s="51"/>
      <c r="CL53" s="51"/>
      <c r="CM53" s="51"/>
      <c r="CN53" s="51"/>
      <c r="CO53" s="51"/>
      <c r="CP53" s="51"/>
      <c r="CQ53" s="51"/>
      <c r="CR53" s="51"/>
      <c r="CS53" s="51"/>
      <c r="CT53" s="51"/>
      <c r="CU53" s="51"/>
      <c r="CV53" s="51"/>
      <c r="CW53" s="51"/>
      <c r="CX53" s="51"/>
      <c r="CY53" s="51"/>
      <c r="CZ53" s="51"/>
      <c r="DA53" s="51"/>
      <c r="DB53" s="51"/>
      <c r="DC53" s="51"/>
      <c r="DD53" s="51"/>
      <c r="DE53" s="51"/>
      <c r="DF53" s="51"/>
      <c r="DG53" s="51"/>
      <c r="DH53" s="51"/>
      <c r="DI53" s="51"/>
      <c r="DJ53" s="51"/>
      <c r="DK53" s="51"/>
      <c r="DL53" s="51"/>
      <c r="DM53" s="51"/>
      <c r="DN53" s="51"/>
      <c r="DO53" s="51"/>
      <c r="DP53" s="51"/>
      <c r="DQ53" s="51"/>
      <c r="DR53" s="51"/>
      <c r="DS53" s="51"/>
      <c r="DT53" s="51"/>
    </row>
    <row r="54" spans="1:124" ht="21" customHeight="1" x14ac:dyDescent="0.35">
      <c r="A54" s="50" t="s">
        <v>160</v>
      </c>
      <c r="C54" s="51">
        <f t="shared" ref="C54:BI54" si="7">+C53/B53-1</f>
        <v>5.9376011739043166E-2</v>
      </c>
      <c r="D54" s="51">
        <f t="shared" si="7"/>
        <v>5.1189809414035947E-2</v>
      </c>
      <c r="E54" s="51">
        <f t="shared" si="7"/>
        <v>4.4155655832927909E-2</v>
      </c>
      <c r="F54" s="51">
        <f t="shared" si="7"/>
        <v>3.8105536868135559E-2</v>
      </c>
      <c r="G54" s="51">
        <f t="shared" si="7"/>
        <v>3.2897406797564921E-2</v>
      </c>
      <c r="H54" s="51">
        <f t="shared" si="7"/>
        <v>2.841081703066739E-2</v>
      </c>
      <c r="I54" s="51">
        <f t="shared" si="7"/>
        <v>2.4543364921893129E-2</v>
      </c>
      <c r="J54" s="51">
        <f t="shared" si="7"/>
        <v>2.1207789911143804E-2</v>
      </c>
      <c r="K54" s="51">
        <f t="shared" si="7"/>
        <v>1.8329584659227738E-2</v>
      </c>
      <c r="L54" s="51">
        <f t="shared" si="7"/>
        <v>1.5845018970625624E-2</v>
      </c>
      <c r="M54" s="51">
        <f t="shared" si="7"/>
        <v>1.3699496925478227E-2</v>
      </c>
      <c r="N54" s="51">
        <f t="shared" si="7"/>
        <v>1.1846184777215774E-2</v>
      </c>
      <c r="O54" s="51">
        <f t="shared" si="7"/>
        <v>1.0244860246587217E-2</v>
      </c>
      <c r="P54" s="51">
        <f t="shared" si="7"/>
        <v>8.8609438948874519E-3</v>
      </c>
      <c r="Q54" s="51">
        <f t="shared" si="7"/>
        <v>7.6646810451479475E-3</v>
      </c>
      <c r="R54" s="51">
        <f t="shared" si="7"/>
        <v>6.6304487949082613E-3</v>
      </c>
      <c r="S54" s="51">
        <f t="shared" si="7"/>
        <v>5.736167437946138E-3</v>
      </c>
      <c r="T54" s="51">
        <f t="shared" si="7"/>
        <v>4.9627993900041023E-3</v>
      </c>
      <c r="U54" s="51">
        <f t="shared" si="7"/>
        <v>4.2939217233501914E-3</v>
      </c>
      <c r="V54" s="51">
        <f t="shared" si="7"/>
        <v>3.7153608289548501E-3</v>
      </c>
      <c r="W54" s="51">
        <f t="shared" si="7"/>
        <v>3.2148796734550178E-3</v>
      </c>
      <c r="X54" s="51">
        <f t="shared" si="7"/>
        <v>2.7819097003618509E-3</v>
      </c>
      <c r="Y54" s="51">
        <f t="shared" si="7"/>
        <v>2.4073207174102329E-3</v>
      </c>
      <c r="Z54" s="51">
        <f t="shared" si="7"/>
        <v>2.0832231734804196E-3</v>
      </c>
      <c r="AA54" s="51">
        <f t="shared" si="7"/>
        <v>1.8027981048944763E-3</v>
      </c>
      <c r="AB54" s="51">
        <f t="shared" si="7"/>
        <v>1.56015075792304E-3</v>
      </c>
      <c r="AC54" s="51">
        <f t="shared" si="7"/>
        <v>1.3501845001362422E-3</v>
      </c>
      <c r="AD54" s="51">
        <f t="shared" si="7"/>
        <v>1.1684921401295956E-3</v>
      </c>
      <c r="AE54" s="51">
        <f t="shared" si="7"/>
        <v>1.0112622008708883E-3</v>
      </c>
      <c r="AF54" s="51">
        <f t="shared" si="7"/>
        <v>8.7519805067537426E-4</v>
      </c>
      <c r="AG54" s="51">
        <f t="shared" si="7"/>
        <v>7.5744809910460731E-4</v>
      </c>
      <c r="AH54" s="51">
        <f t="shared" si="7"/>
        <v>6.5554552216928741E-4</v>
      </c>
      <c r="AI54" s="51">
        <f t="shared" si="7"/>
        <v>5.6735619970260665E-4</v>
      </c>
      <c r="AJ54" s="51">
        <f t="shared" si="7"/>
        <v>4.9103373385439575E-4</v>
      </c>
      <c r="AK54" s="51">
        <f t="shared" si="7"/>
        <v>4.249805764571235E-4</v>
      </c>
      <c r="AL54" s="51">
        <f t="shared" si="7"/>
        <v>3.6781442878397463E-4</v>
      </c>
      <c r="AM54" s="51">
        <f t="shared" si="7"/>
        <v>3.1833919345691797E-4</v>
      </c>
      <c r="AN54" s="51">
        <f t="shared" si="7"/>
        <v>2.7551985793627942E-4</v>
      </c>
      <c r="AO54" s="51">
        <f t="shared" si="7"/>
        <v>2.3846077457867487E-4</v>
      </c>
      <c r="AP54" s="51">
        <f t="shared" si="7"/>
        <v>2.0638687577667625E-4</v>
      </c>
      <c r="AQ54" s="51">
        <f t="shared" si="7"/>
        <v>1.7862742593433012E-4</v>
      </c>
      <c r="AR54" s="51">
        <f t="shared" si="7"/>
        <v>1.546019664755427E-4</v>
      </c>
      <c r="AS54" s="51">
        <f t="shared" si="7"/>
        <v>1.3380815697350279E-4</v>
      </c>
      <c r="AT54" s="51">
        <f t="shared" si="7"/>
        <v>1.1581125592385888E-4</v>
      </c>
      <c r="AU54" s="51">
        <f t="shared" si="7"/>
        <v>1.0023501953981828E-4</v>
      </c>
      <c r="AV54" s="51">
        <f t="shared" si="7"/>
        <v>8.6753827032826081E-5</v>
      </c>
      <c r="AW54" s="51">
        <f t="shared" si="7"/>
        <v>7.5085866814150748E-5</v>
      </c>
      <c r="AX54" s="51">
        <f t="shared" si="7"/>
        <v>6.498724046366533E-5</v>
      </c>
      <c r="AY54" s="51">
        <f t="shared" si="7"/>
        <v>5.6246860696163026E-5</v>
      </c>
      <c r="AZ54" s="51">
        <f t="shared" si="7"/>
        <v>4.8682036273284268E-5</v>
      </c>
      <c r="BA54" s="51">
        <f t="shared" si="7"/>
        <v>4.2134651283998181E-5</v>
      </c>
      <c r="BB54" s="51">
        <f t="shared" si="7"/>
        <v>3.6467858708144618E-5</v>
      </c>
      <c r="BC54" s="51">
        <f t="shared" si="7"/>
        <v>3.1563218989338893E-5</v>
      </c>
      <c r="BD54" s="51">
        <f t="shared" si="7"/>
        <v>2.7318223686068066E-5</v>
      </c>
      <c r="BE54" s="51">
        <f t="shared" si="7"/>
        <v>2.3644152348234471E-5</v>
      </c>
      <c r="BF54" s="51">
        <f t="shared" si="7"/>
        <v>2.0464217762139469E-5</v>
      </c>
      <c r="BG54" s="51">
        <f t="shared" si="7"/>
        <v>1.7711960741628729E-5</v>
      </c>
      <c r="BH54" s="51">
        <f t="shared" si="7"/>
        <v>1.5329860883150914E-5</v>
      </c>
      <c r="BI54" s="51">
        <f t="shared" si="7"/>
        <v>1.3268134215538296E-5</v>
      </c>
      <c r="BJ54" s="51"/>
      <c r="BK54" s="51"/>
      <c r="BL54" s="51"/>
      <c r="BM54" s="51"/>
      <c r="BN54" s="51"/>
      <c r="BO54" s="51"/>
      <c r="BP54" s="51"/>
      <c r="BQ54" s="51"/>
      <c r="BR54" s="51"/>
      <c r="BS54" s="51"/>
      <c r="BT54" s="51"/>
      <c r="BU54" s="51"/>
      <c r="BV54" s="51"/>
      <c r="BW54" s="51"/>
      <c r="BX54" s="51"/>
      <c r="BY54" s="51"/>
      <c r="BZ54" s="51"/>
      <c r="CA54" s="51"/>
      <c r="CB54" s="51"/>
      <c r="CC54" s="51"/>
      <c r="CD54" s="51"/>
      <c r="CE54" s="51"/>
      <c r="CF54" s="51"/>
      <c r="CG54" s="51"/>
      <c r="CH54" s="51"/>
      <c r="CI54" s="51"/>
      <c r="CJ54" s="51"/>
      <c r="CK54" s="51"/>
      <c r="CL54" s="51"/>
      <c r="CM54" s="51"/>
      <c r="CN54" s="51"/>
      <c r="CO54" s="51"/>
      <c r="CP54" s="51"/>
      <c r="CQ54" s="51"/>
      <c r="CR54" s="51"/>
      <c r="CS54" s="51"/>
      <c r="CT54" s="51"/>
      <c r="CU54" s="51"/>
      <c r="CV54" s="51"/>
      <c r="CW54" s="51"/>
      <c r="CX54" s="51"/>
      <c r="CY54" s="51"/>
      <c r="CZ54" s="51"/>
      <c r="DA54" s="51"/>
      <c r="DB54" s="51"/>
      <c r="DC54" s="51"/>
      <c r="DD54" s="51"/>
      <c r="DE54" s="51"/>
      <c r="DF54" s="51"/>
      <c r="DG54" s="51"/>
      <c r="DH54" s="51"/>
      <c r="DI54" s="51"/>
      <c r="DJ54" s="51"/>
      <c r="DK54" s="51"/>
      <c r="DL54" s="51"/>
      <c r="DM54" s="51"/>
      <c r="DN54" s="51"/>
      <c r="DO54" s="51"/>
      <c r="DP54" s="51"/>
      <c r="DQ54" s="51"/>
      <c r="DR54" s="51"/>
      <c r="DS54" s="51"/>
      <c r="DT54" s="51"/>
    </row>
    <row r="55" spans="1:124" s="59" customFormat="1" ht="38.4" customHeight="1" thickBot="1" x14ac:dyDescent="0.3">
      <c r="A55" s="53" t="s">
        <v>203</v>
      </c>
    </row>
    <row r="56" spans="1:124" s="23" customFormat="1" ht="21" customHeight="1" thickTop="1" thickBot="1" x14ac:dyDescent="0.35">
      <c r="A56" s="54" t="s">
        <v>8</v>
      </c>
      <c r="B56" s="60"/>
      <c r="C56" s="60"/>
      <c r="D56" s="60"/>
      <c r="E56" s="60"/>
      <c r="F56" s="60"/>
      <c r="G56" s="60"/>
      <c r="H56" s="60"/>
      <c r="I56" s="60"/>
      <c r="J56" s="60"/>
      <c r="K56" s="60"/>
      <c r="L56" s="60"/>
      <c r="M56" s="60"/>
      <c r="N56" s="60"/>
      <c r="O56" s="60"/>
      <c r="P56" s="60"/>
      <c r="Q56" s="60"/>
      <c r="R56" s="60"/>
      <c r="S56" s="60"/>
      <c r="T56" s="60"/>
      <c r="U56" s="60"/>
      <c r="V56" s="60"/>
      <c r="W56" s="60"/>
      <c r="X56" s="60"/>
      <c r="Y56" s="60"/>
      <c r="Z56" s="60"/>
      <c r="AA56" s="60"/>
      <c r="AB56" s="60"/>
      <c r="AC56" s="60"/>
      <c r="AD56" s="60"/>
      <c r="AE56" s="60"/>
      <c r="AF56" s="60"/>
      <c r="AG56" s="60"/>
      <c r="AH56" s="60"/>
      <c r="AI56" s="60"/>
      <c r="AJ56" s="60"/>
      <c r="AK56" s="60"/>
      <c r="AL56" s="60"/>
      <c r="AM56" s="60"/>
      <c r="AN56" s="60"/>
      <c r="AO56" s="60"/>
      <c r="AP56" s="60"/>
      <c r="AQ56" s="60"/>
      <c r="AR56" s="60"/>
      <c r="AS56" s="60"/>
      <c r="AT56" s="60"/>
      <c r="AU56" s="60"/>
      <c r="AV56" s="60"/>
      <c r="AW56" s="60"/>
      <c r="AX56" s="60"/>
      <c r="AY56" s="60"/>
      <c r="AZ56" s="60"/>
      <c r="BA56" s="60"/>
      <c r="BB56" s="60"/>
      <c r="BC56" s="60"/>
      <c r="BD56" s="60"/>
      <c r="BE56" s="60"/>
      <c r="BF56" s="60"/>
      <c r="BG56" s="60"/>
      <c r="BH56" s="60"/>
      <c r="BI56" s="60"/>
    </row>
    <row r="57" spans="1:124" s="23" customFormat="1" ht="21" customHeight="1" thickTop="1" x14ac:dyDescent="0.35">
      <c r="A57" s="50" t="s">
        <v>28</v>
      </c>
      <c r="B57" s="51">
        <f>+Base!B57</f>
        <v>6000</v>
      </c>
      <c r="C57" s="60"/>
      <c r="D57" s="60"/>
      <c r="E57" s="60"/>
      <c r="F57" s="60"/>
      <c r="G57" s="60"/>
      <c r="H57" s="60"/>
      <c r="I57" s="60"/>
      <c r="J57" s="60"/>
      <c r="K57" s="60"/>
      <c r="L57" s="60"/>
      <c r="M57" s="60"/>
      <c r="N57" s="60"/>
      <c r="O57" s="60"/>
      <c r="P57" s="60"/>
      <c r="Q57" s="60"/>
      <c r="R57" s="60"/>
      <c r="S57" s="60"/>
      <c r="T57" s="60"/>
      <c r="U57" s="60"/>
      <c r="V57" s="60"/>
      <c r="W57" s="60"/>
      <c r="X57" s="60"/>
      <c r="Y57" s="60"/>
      <c r="Z57" s="60"/>
      <c r="AA57" s="60"/>
      <c r="AB57" s="60"/>
      <c r="AC57" s="60"/>
      <c r="AD57" s="60"/>
      <c r="AE57" s="60"/>
      <c r="AF57" s="60"/>
      <c r="AG57" s="60"/>
      <c r="AH57" s="60"/>
      <c r="AI57" s="60"/>
      <c r="AJ57" s="60"/>
      <c r="AK57" s="60"/>
      <c r="AL57" s="60"/>
      <c r="AM57" s="60"/>
      <c r="AN57" s="60"/>
      <c r="AO57" s="60"/>
      <c r="AP57" s="60"/>
      <c r="AQ57" s="60"/>
      <c r="AR57" s="60"/>
      <c r="AS57" s="60"/>
      <c r="AT57" s="60"/>
      <c r="AU57" s="60"/>
      <c r="AV57" s="60"/>
      <c r="AW57" s="60"/>
      <c r="AX57" s="60"/>
      <c r="AY57" s="60"/>
      <c r="AZ57" s="60"/>
      <c r="BA57" s="60"/>
      <c r="BB57" s="60"/>
      <c r="BC57" s="60"/>
      <c r="BD57" s="60"/>
      <c r="BE57" s="60"/>
      <c r="BF57" s="60"/>
      <c r="BG57" s="60"/>
      <c r="BH57" s="60"/>
      <c r="BI57" s="60"/>
    </row>
    <row r="58" spans="1:124" s="23" customFormat="1" ht="21" customHeight="1" thickBot="1" x14ac:dyDescent="0.35">
      <c r="A58" s="54" t="s">
        <v>216</v>
      </c>
      <c r="B58" s="60"/>
      <c r="C58" s="60"/>
      <c r="D58" s="60"/>
      <c r="E58" s="60"/>
      <c r="F58" s="60"/>
      <c r="G58" s="60"/>
      <c r="H58" s="60"/>
      <c r="I58" s="60"/>
      <c r="J58" s="60"/>
      <c r="K58" s="60"/>
      <c r="L58" s="60"/>
      <c r="M58" s="60"/>
      <c r="N58" s="60"/>
      <c r="O58" s="60"/>
      <c r="P58" s="60"/>
      <c r="Q58" s="60"/>
      <c r="R58" s="60"/>
      <c r="S58" s="60"/>
      <c r="T58" s="60"/>
      <c r="U58" s="60"/>
      <c r="V58" s="60"/>
      <c r="W58" s="60"/>
      <c r="X58" s="60"/>
      <c r="Y58" s="60"/>
      <c r="Z58" s="60"/>
      <c r="AA58" s="60"/>
      <c r="AB58" s="60"/>
      <c r="AC58" s="60"/>
      <c r="AD58" s="60"/>
      <c r="AE58" s="60"/>
      <c r="AF58" s="60"/>
      <c r="AG58" s="60"/>
      <c r="AH58" s="60"/>
      <c r="AI58" s="60"/>
      <c r="AJ58" s="60"/>
      <c r="AK58" s="60"/>
      <c r="AL58" s="60"/>
      <c r="AM58" s="60"/>
      <c r="AN58" s="60"/>
      <c r="AO58" s="60"/>
      <c r="AP58" s="60"/>
      <c r="AQ58" s="60"/>
      <c r="AR58" s="60"/>
      <c r="AS58" s="60"/>
      <c r="AT58" s="60"/>
      <c r="AU58" s="60"/>
      <c r="AV58" s="60"/>
      <c r="AW58" s="60"/>
      <c r="AX58" s="60"/>
      <c r="AY58" s="60"/>
      <c r="AZ58" s="60"/>
      <c r="BA58" s="60"/>
      <c r="BB58" s="60"/>
      <c r="BC58" s="60"/>
      <c r="BD58" s="60"/>
      <c r="BE58" s="60"/>
      <c r="BF58" s="60"/>
      <c r="BG58" s="60"/>
      <c r="BH58" s="60"/>
      <c r="BI58" s="60"/>
    </row>
    <row r="59" spans="1:124" s="23" customFormat="1" ht="21" customHeight="1" thickTop="1" x14ac:dyDescent="0.3">
      <c r="A59" s="50" t="s">
        <v>46</v>
      </c>
      <c r="D59" s="60"/>
      <c r="E59" s="60"/>
      <c r="F59" s="60"/>
      <c r="G59" s="60"/>
      <c r="H59" s="60"/>
      <c r="I59" s="60"/>
      <c r="J59" s="60"/>
      <c r="K59" s="60"/>
      <c r="L59" s="60"/>
      <c r="M59" s="60"/>
      <c r="N59" s="60"/>
      <c r="O59" s="60"/>
      <c r="P59" s="60"/>
      <c r="Q59" s="60"/>
      <c r="R59" s="60"/>
      <c r="S59" s="60"/>
      <c r="T59" s="60"/>
      <c r="U59" s="60"/>
      <c r="V59" s="60"/>
      <c r="W59" s="60"/>
      <c r="X59" s="60"/>
      <c r="Y59" s="60"/>
      <c r="Z59" s="60"/>
      <c r="AA59" s="60"/>
      <c r="AB59" s="60"/>
      <c r="AC59" s="60"/>
      <c r="AD59" s="60"/>
      <c r="AE59" s="60"/>
      <c r="AF59" s="60"/>
      <c r="AG59" s="60"/>
      <c r="AH59" s="60"/>
      <c r="AI59" s="60"/>
      <c r="AJ59" s="60"/>
      <c r="AK59" s="60"/>
      <c r="AL59" s="60"/>
      <c r="AM59" s="60"/>
      <c r="AN59" s="60"/>
      <c r="AO59" s="60"/>
      <c r="AP59" s="60"/>
      <c r="AQ59" s="60"/>
      <c r="AR59" s="60"/>
      <c r="AS59" s="60"/>
      <c r="AT59" s="60"/>
      <c r="AU59" s="60"/>
      <c r="AV59" s="60"/>
      <c r="AW59" s="60"/>
      <c r="AX59" s="60"/>
      <c r="AY59" s="60"/>
      <c r="AZ59" s="60"/>
      <c r="BA59" s="60"/>
      <c r="BB59" s="60"/>
      <c r="BC59" s="60"/>
      <c r="BD59" s="60"/>
      <c r="BE59" s="60"/>
      <c r="BF59" s="60"/>
      <c r="BG59" s="60"/>
      <c r="BH59" s="60"/>
      <c r="BI59" s="60"/>
    </row>
    <row r="60" spans="1:124" s="23" customFormat="1" ht="21" customHeight="1" x14ac:dyDescent="0.35">
      <c r="A60" s="50" t="s">
        <v>271</v>
      </c>
      <c r="B60" s="51">
        <f>+Base!B60</f>
        <v>818.98500000000001</v>
      </c>
      <c r="C60" s="60"/>
      <c r="D60" s="60"/>
      <c r="E60" s="60"/>
      <c r="F60" s="60"/>
      <c r="G60" s="60"/>
      <c r="H60" s="60"/>
      <c r="I60" s="60"/>
      <c r="J60" s="60"/>
      <c r="K60" s="60"/>
      <c r="L60" s="60"/>
      <c r="M60" s="60"/>
      <c r="N60" s="60"/>
      <c r="O60" s="60"/>
      <c r="P60" s="60"/>
      <c r="Q60" s="60"/>
      <c r="R60" s="60"/>
      <c r="S60" s="60"/>
      <c r="T60" s="60"/>
      <c r="U60" s="60"/>
      <c r="V60" s="60"/>
      <c r="W60" s="60"/>
      <c r="X60" s="60"/>
      <c r="Y60" s="60"/>
      <c r="Z60" s="60"/>
      <c r="AA60" s="60"/>
      <c r="AB60" s="60"/>
      <c r="AC60" s="60"/>
      <c r="AD60" s="60"/>
      <c r="AE60" s="60"/>
      <c r="AF60" s="60"/>
      <c r="AG60" s="60"/>
      <c r="AH60" s="60"/>
      <c r="AI60" s="60"/>
      <c r="AJ60" s="60"/>
      <c r="AK60" s="60"/>
      <c r="AL60" s="60"/>
      <c r="AM60" s="60"/>
      <c r="AN60" s="60"/>
      <c r="AO60" s="60"/>
      <c r="AP60" s="60"/>
      <c r="AQ60" s="60"/>
      <c r="AR60" s="60"/>
      <c r="AS60" s="60"/>
      <c r="AT60" s="60"/>
      <c r="AU60" s="60"/>
      <c r="AV60" s="60"/>
      <c r="AW60" s="60"/>
      <c r="AX60" s="60"/>
      <c r="AY60" s="60"/>
      <c r="AZ60" s="60"/>
      <c r="BA60" s="60"/>
      <c r="BB60" s="60"/>
      <c r="BC60" s="60"/>
      <c r="BD60" s="60"/>
      <c r="BE60" s="60"/>
      <c r="BF60" s="60"/>
      <c r="BG60" s="60"/>
      <c r="BH60" s="60"/>
      <c r="BI60" s="60"/>
    </row>
    <row r="61" spans="1:124" s="23" customFormat="1" ht="21" customHeight="1" x14ac:dyDescent="0.35">
      <c r="A61" s="50" t="s">
        <v>272</v>
      </c>
      <c r="B61" s="51">
        <f>+Base!B61</f>
        <v>839.64599999999996</v>
      </c>
      <c r="C61" s="60"/>
      <c r="D61" s="60"/>
      <c r="E61" s="60"/>
      <c r="F61" s="60"/>
      <c r="G61" s="60"/>
      <c r="H61" s="60"/>
      <c r="I61" s="60"/>
      <c r="J61" s="60"/>
      <c r="K61" s="60"/>
      <c r="L61" s="60"/>
      <c r="M61" s="60"/>
      <c r="N61" s="60"/>
      <c r="O61" s="60"/>
      <c r="P61" s="60"/>
      <c r="Q61" s="60"/>
      <c r="R61" s="60"/>
      <c r="S61" s="60"/>
      <c r="T61" s="60"/>
      <c r="U61" s="60"/>
      <c r="V61" s="60"/>
      <c r="W61" s="60"/>
      <c r="X61" s="60"/>
      <c r="Y61" s="60"/>
      <c r="Z61" s="60"/>
      <c r="AA61" s="60"/>
      <c r="AB61" s="60"/>
      <c r="AC61" s="60"/>
      <c r="AD61" s="60"/>
      <c r="AE61" s="60"/>
      <c r="AF61" s="60"/>
      <c r="AG61" s="60"/>
      <c r="AH61" s="60"/>
      <c r="AI61" s="60"/>
      <c r="AJ61" s="60"/>
      <c r="AK61" s="60"/>
      <c r="AL61" s="60"/>
      <c r="AM61" s="60"/>
      <c r="AN61" s="60"/>
      <c r="AO61" s="60"/>
      <c r="AP61" s="60"/>
      <c r="AQ61" s="60"/>
      <c r="AR61" s="60"/>
      <c r="AS61" s="60"/>
      <c r="AT61" s="60"/>
      <c r="AU61" s="60"/>
      <c r="AV61" s="60"/>
      <c r="AW61" s="60"/>
      <c r="AX61" s="60"/>
      <c r="AY61" s="60"/>
      <c r="AZ61" s="60"/>
      <c r="BA61" s="60"/>
      <c r="BB61" s="60"/>
      <c r="BC61" s="60"/>
      <c r="BD61" s="60"/>
      <c r="BE61" s="60"/>
      <c r="BF61" s="60"/>
      <c r="BG61" s="60"/>
      <c r="BH61" s="60"/>
      <c r="BI61" s="60"/>
    </row>
    <row r="62" spans="1:124" s="23" customFormat="1" ht="21" customHeight="1" x14ac:dyDescent="0.35">
      <c r="A62" s="50" t="s">
        <v>214</v>
      </c>
      <c r="B62" s="51">
        <f>+Base!B62</f>
        <v>1527</v>
      </c>
      <c r="C62" s="60"/>
      <c r="D62" s="60"/>
      <c r="E62" s="60"/>
      <c r="F62" s="60"/>
      <c r="G62" s="60"/>
      <c r="H62" s="60"/>
      <c r="I62" s="60"/>
      <c r="J62" s="60"/>
      <c r="K62" s="60"/>
      <c r="L62" s="60"/>
      <c r="M62" s="60"/>
      <c r="N62" s="60"/>
      <c r="O62" s="60"/>
      <c r="P62" s="60"/>
      <c r="Q62" s="60"/>
      <c r="R62" s="60"/>
      <c r="S62" s="60"/>
      <c r="T62" s="60"/>
      <c r="U62" s="60"/>
      <c r="V62" s="60"/>
      <c r="W62" s="60"/>
      <c r="X62" s="60"/>
      <c r="Y62" s="60"/>
      <c r="Z62" s="60"/>
      <c r="AA62" s="60"/>
      <c r="AB62" s="60"/>
      <c r="AC62" s="60"/>
      <c r="AD62" s="60"/>
      <c r="AE62" s="60"/>
      <c r="AF62" s="60"/>
      <c r="AG62" s="60"/>
      <c r="AH62" s="60"/>
      <c r="AI62" s="60"/>
      <c r="AJ62" s="60"/>
      <c r="AK62" s="60"/>
      <c r="AL62" s="60"/>
      <c r="AM62" s="60"/>
      <c r="AN62" s="60"/>
      <c r="AO62" s="60"/>
      <c r="AP62" s="60"/>
      <c r="AQ62" s="60"/>
      <c r="AR62" s="60"/>
      <c r="AS62" s="60"/>
      <c r="AT62" s="60"/>
      <c r="AU62" s="60"/>
      <c r="AV62" s="60"/>
      <c r="AW62" s="60"/>
      <c r="AX62" s="60"/>
      <c r="AY62" s="60"/>
      <c r="AZ62" s="60"/>
      <c r="BA62" s="60"/>
      <c r="BB62" s="60"/>
      <c r="BC62" s="60"/>
      <c r="BD62" s="60"/>
      <c r="BE62" s="60"/>
      <c r="BF62" s="60"/>
      <c r="BG62" s="60"/>
      <c r="BH62" s="60"/>
      <c r="BI62" s="60"/>
    </row>
    <row r="63" spans="1:124" s="23" customFormat="1" ht="21" customHeight="1" x14ac:dyDescent="0.35">
      <c r="A63" s="50" t="s">
        <v>215</v>
      </c>
      <c r="B63" s="51">
        <f>+Base!B63</f>
        <v>10010</v>
      </c>
      <c r="C63" s="60"/>
      <c r="D63" s="60"/>
      <c r="E63" s="60"/>
      <c r="F63" s="60"/>
      <c r="G63" s="60"/>
      <c r="H63" s="60"/>
      <c r="I63" s="60"/>
      <c r="J63" s="60"/>
      <c r="K63" s="60"/>
      <c r="L63" s="60"/>
      <c r="M63" s="60"/>
      <c r="N63" s="60"/>
      <c r="O63" s="60"/>
      <c r="P63" s="60"/>
      <c r="Q63" s="60"/>
      <c r="R63" s="60"/>
      <c r="S63" s="60"/>
      <c r="T63" s="60"/>
      <c r="U63" s="60"/>
      <c r="V63" s="60"/>
      <c r="W63" s="60"/>
      <c r="X63" s="60"/>
      <c r="Y63" s="60"/>
      <c r="Z63" s="60"/>
      <c r="AA63" s="60"/>
      <c r="AB63" s="60"/>
      <c r="AC63" s="60"/>
      <c r="AD63" s="60"/>
      <c r="AE63" s="60"/>
      <c r="AF63" s="60"/>
      <c r="AG63" s="60"/>
      <c r="AH63" s="60"/>
      <c r="AI63" s="60"/>
      <c r="AJ63" s="60"/>
      <c r="AK63" s="60"/>
      <c r="AL63" s="60"/>
      <c r="AM63" s="60"/>
      <c r="AN63" s="60"/>
      <c r="AO63" s="60"/>
      <c r="AP63" s="60"/>
      <c r="AQ63" s="60"/>
      <c r="AR63" s="60"/>
      <c r="AS63" s="60"/>
      <c r="AT63" s="60"/>
      <c r="AU63" s="60"/>
      <c r="AV63" s="60"/>
      <c r="AW63" s="60"/>
      <c r="AX63" s="60"/>
      <c r="AY63" s="60"/>
      <c r="AZ63" s="60"/>
      <c r="BA63" s="60"/>
      <c r="BB63" s="60"/>
      <c r="BC63" s="60"/>
      <c r="BD63" s="60"/>
      <c r="BE63" s="60"/>
      <c r="BF63" s="60"/>
      <c r="BG63" s="60"/>
      <c r="BH63" s="60"/>
      <c r="BI63" s="60"/>
    </row>
    <row r="64" spans="1:124" s="23" customFormat="1" ht="21" customHeight="1" thickBot="1" x14ac:dyDescent="0.35">
      <c r="A64" s="54" t="s">
        <v>217</v>
      </c>
      <c r="B64" s="60"/>
      <c r="C64" s="60"/>
      <c r="D64" s="60"/>
      <c r="E64" s="60"/>
      <c r="F64" s="60"/>
      <c r="G64" s="60"/>
      <c r="H64" s="60"/>
      <c r="I64" s="60"/>
      <c r="J64" s="60"/>
      <c r="K64" s="60"/>
      <c r="L64" s="60"/>
      <c r="M64" s="60"/>
      <c r="N64" s="60"/>
      <c r="O64" s="60"/>
      <c r="P64" s="60"/>
      <c r="Q64" s="60"/>
      <c r="R64" s="60"/>
      <c r="S64" s="60"/>
      <c r="T64" s="60"/>
      <c r="U64" s="60"/>
      <c r="V64" s="60"/>
      <c r="W64" s="60"/>
      <c r="X64" s="60"/>
      <c r="Y64" s="60"/>
      <c r="Z64" s="60"/>
      <c r="AA64" s="60"/>
      <c r="AB64" s="60"/>
      <c r="AC64" s="60"/>
      <c r="AD64" s="60"/>
      <c r="AE64" s="60"/>
      <c r="AF64" s="60"/>
      <c r="AG64" s="60"/>
      <c r="AH64" s="60"/>
      <c r="AI64" s="60"/>
      <c r="AJ64" s="60"/>
      <c r="AK64" s="60"/>
      <c r="AL64" s="60"/>
      <c r="AM64" s="60"/>
      <c r="AN64" s="60"/>
      <c r="AO64" s="60"/>
      <c r="AP64" s="60"/>
      <c r="AQ64" s="60"/>
      <c r="AR64" s="60"/>
      <c r="AS64" s="60"/>
      <c r="AT64" s="60"/>
      <c r="AU64" s="60"/>
      <c r="AV64" s="60"/>
      <c r="AW64" s="60"/>
      <c r="AX64" s="60"/>
      <c r="AY64" s="60"/>
      <c r="AZ64" s="60"/>
      <c r="BA64" s="60"/>
      <c r="BB64" s="60"/>
      <c r="BC64" s="60"/>
      <c r="BD64" s="60"/>
      <c r="BE64" s="60"/>
      <c r="BF64" s="60"/>
      <c r="BG64" s="60"/>
      <c r="BH64" s="60"/>
      <c r="BI64" s="60"/>
    </row>
    <row r="65" spans="1:124" s="23" customFormat="1" ht="21" customHeight="1" thickTop="1" x14ac:dyDescent="0.35">
      <c r="A65" s="50" t="s">
        <v>218</v>
      </c>
      <c r="B65" s="51">
        <f>+Base!B65</f>
        <v>91.2</v>
      </c>
      <c r="C65" s="60"/>
      <c r="D65" s="60"/>
      <c r="E65" s="60"/>
      <c r="F65" s="60"/>
      <c r="G65" s="60"/>
      <c r="H65" s="60"/>
      <c r="I65" s="60"/>
      <c r="J65" s="60"/>
      <c r="K65" s="60"/>
      <c r="L65" s="60"/>
      <c r="M65" s="60"/>
      <c r="N65" s="60"/>
      <c r="O65" s="60"/>
      <c r="P65" s="60"/>
      <c r="Q65" s="60"/>
      <c r="R65" s="60"/>
      <c r="S65" s="60"/>
      <c r="T65" s="60"/>
      <c r="U65" s="60"/>
      <c r="V65" s="60"/>
      <c r="W65" s="60"/>
      <c r="X65" s="60"/>
      <c r="Y65" s="60"/>
      <c r="Z65" s="60"/>
      <c r="AA65" s="60"/>
      <c r="AB65" s="60"/>
      <c r="AC65" s="60"/>
      <c r="AD65" s="60"/>
      <c r="AE65" s="60"/>
      <c r="AF65" s="60"/>
      <c r="AG65" s="60"/>
      <c r="AH65" s="60"/>
      <c r="AI65" s="60"/>
      <c r="AJ65" s="60"/>
      <c r="AK65" s="60"/>
      <c r="AL65" s="60"/>
      <c r="AM65" s="60"/>
      <c r="AN65" s="60"/>
      <c r="AO65" s="60"/>
      <c r="AP65" s="60"/>
      <c r="AQ65" s="60"/>
      <c r="AR65" s="60"/>
      <c r="AS65" s="60"/>
      <c r="AT65" s="60"/>
      <c r="AU65" s="60"/>
      <c r="AV65" s="60"/>
      <c r="AW65" s="60"/>
      <c r="AX65" s="60"/>
      <c r="AY65" s="60"/>
      <c r="AZ65" s="60"/>
      <c r="BA65" s="60"/>
      <c r="BB65" s="60"/>
      <c r="BC65" s="60"/>
      <c r="BD65" s="60"/>
      <c r="BE65" s="60"/>
      <c r="BF65" s="60"/>
      <c r="BG65" s="60"/>
      <c r="BH65" s="60"/>
      <c r="BI65" s="60"/>
    </row>
    <row r="66" spans="1:124" s="23" customFormat="1" ht="21" customHeight="1" x14ac:dyDescent="0.35">
      <c r="A66" s="50" t="s">
        <v>219</v>
      </c>
      <c r="B66" s="51">
        <f>+Base!B66</f>
        <v>3.8328888888888892</v>
      </c>
      <c r="C66" s="60"/>
      <c r="D66" s="60"/>
      <c r="E66" s="60"/>
      <c r="F66" s="60"/>
      <c r="G66" s="60"/>
      <c r="H66" s="60"/>
      <c r="I66" s="60"/>
      <c r="J66" s="60"/>
      <c r="K66" s="60"/>
      <c r="L66" s="60"/>
      <c r="M66" s="60"/>
      <c r="N66" s="60"/>
      <c r="O66" s="60"/>
      <c r="P66" s="60"/>
      <c r="Q66" s="60"/>
      <c r="R66" s="60"/>
      <c r="S66" s="60"/>
      <c r="T66" s="60"/>
      <c r="U66" s="60"/>
      <c r="V66" s="60"/>
      <c r="W66" s="60"/>
      <c r="X66" s="60"/>
      <c r="Y66" s="60"/>
      <c r="Z66" s="60"/>
      <c r="AA66" s="60"/>
      <c r="AB66" s="60"/>
      <c r="AC66" s="60"/>
      <c r="AD66" s="60"/>
      <c r="AE66" s="60"/>
      <c r="AF66" s="60"/>
      <c r="AG66" s="60"/>
      <c r="AH66" s="60"/>
      <c r="AI66" s="60"/>
      <c r="AJ66" s="60"/>
      <c r="AK66" s="60"/>
      <c r="AL66" s="60"/>
      <c r="AM66" s="60"/>
      <c r="AN66" s="60"/>
      <c r="AO66" s="60"/>
      <c r="AP66" s="60"/>
      <c r="AQ66" s="60"/>
      <c r="AR66" s="60"/>
      <c r="AS66" s="60"/>
      <c r="AT66" s="60"/>
      <c r="AU66" s="60"/>
      <c r="AV66" s="60"/>
      <c r="AW66" s="60"/>
      <c r="AX66" s="60"/>
      <c r="AY66" s="60"/>
      <c r="AZ66" s="60"/>
      <c r="BA66" s="60"/>
      <c r="BB66" s="60"/>
      <c r="BC66" s="60"/>
      <c r="BD66" s="60"/>
      <c r="BE66" s="60"/>
      <c r="BF66" s="60"/>
      <c r="BG66" s="60"/>
      <c r="BH66" s="60"/>
      <c r="BI66" s="60"/>
    </row>
    <row r="67" spans="1:124" s="23" customFormat="1" ht="21" customHeight="1" x14ac:dyDescent="0.35">
      <c r="A67" s="50" t="s">
        <v>220</v>
      </c>
      <c r="B67" s="51">
        <f>+Base!B67</f>
        <v>8.8000000000000007</v>
      </c>
      <c r="C67" s="60"/>
      <c r="D67" s="60"/>
      <c r="E67" s="60"/>
      <c r="F67" s="60"/>
      <c r="G67" s="60"/>
      <c r="H67" s="60"/>
      <c r="I67" s="60"/>
      <c r="J67" s="60"/>
      <c r="K67" s="60"/>
      <c r="L67" s="60"/>
      <c r="M67" s="60"/>
      <c r="N67" s="60"/>
      <c r="O67" s="60"/>
      <c r="P67" s="60"/>
      <c r="Q67" s="60"/>
      <c r="R67" s="60"/>
      <c r="S67" s="60"/>
      <c r="T67" s="60"/>
      <c r="U67" s="60"/>
      <c r="V67" s="60"/>
      <c r="W67" s="60"/>
      <c r="X67" s="60"/>
      <c r="Y67" s="60"/>
      <c r="Z67" s="60"/>
      <c r="AA67" s="60"/>
      <c r="AB67" s="60"/>
      <c r="AC67" s="60"/>
      <c r="AD67" s="60"/>
      <c r="AE67" s="60"/>
      <c r="AF67" s="60"/>
      <c r="AG67" s="60"/>
      <c r="AH67" s="60"/>
      <c r="AI67" s="60"/>
      <c r="AJ67" s="60"/>
      <c r="AK67" s="60"/>
      <c r="AL67" s="60"/>
      <c r="AM67" s="60"/>
      <c r="AN67" s="60"/>
      <c r="AO67" s="60"/>
      <c r="AP67" s="60"/>
      <c r="AQ67" s="60"/>
      <c r="AR67" s="60"/>
      <c r="AS67" s="60"/>
      <c r="AT67" s="60"/>
      <c r="AU67" s="60"/>
      <c r="AV67" s="60"/>
      <c r="AW67" s="60"/>
      <c r="AX67" s="60"/>
      <c r="AY67" s="60"/>
      <c r="AZ67" s="60"/>
      <c r="BA67" s="60"/>
      <c r="BB67" s="60"/>
      <c r="BC67" s="60"/>
      <c r="BD67" s="60"/>
      <c r="BE67" s="60"/>
      <c r="BF67" s="60"/>
      <c r="BG67" s="60"/>
      <c r="BH67" s="60"/>
      <c r="BI67" s="60"/>
    </row>
    <row r="68" spans="1:124" s="23" customFormat="1" ht="21" customHeight="1" x14ac:dyDescent="0.35">
      <c r="A68" s="50" t="s">
        <v>224</v>
      </c>
      <c r="B68" s="51">
        <f>+Base!B68</f>
        <v>95.917111111111112</v>
      </c>
      <c r="C68" s="60"/>
      <c r="D68" s="60"/>
      <c r="E68" s="60"/>
      <c r="F68" s="60"/>
      <c r="G68" s="60"/>
      <c r="H68" s="60"/>
      <c r="I68" s="60"/>
      <c r="J68" s="60"/>
      <c r="K68" s="60"/>
      <c r="L68" s="60"/>
      <c r="M68" s="60"/>
      <c r="N68" s="60"/>
      <c r="O68" s="60"/>
      <c r="P68" s="60"/>
      <c r="Q68" s="60"/>
      <c r="R68" s="60"/>
      <c r="S68" s="60"/>
      <c r="T68" s="60"/>
      <c r="U68" s="60"/>
      <c r="V68" s="60"/>
      <c r="W68" s="60"/>
      <c r="X68" s="60"/>
      <c r="Y68" s="60"/>
      <c r="Z68" s="60"/>
      <c r="AA68" s="60"/>
      <c r="AB68" s="60"/>
      <c r="AC68" s="60"/>
      <c r="AD68" s="60"/>
      <c r="AE68" s="60"/>
      <c r="AF68" s="60"/>
      <c r="AG68" s="60"/>
      <c r="AH68" s="60"/>
      <c r="AI68" s="60"/>
      <c r="AJ68" s="60"/>
      <c r="AK68" s="60"/>
      <c r="AL68" s="60"/>
      <c r="AM68" s="60"/>
      <c r="AN68" s="60"/>
      <c r="AO68" s="60"/>
      <c r="AP68" s="60"/>
      <c r="AQ68" s="60"/>
      <c r="AR68" s="60"/>
      <c r="AS68" s="60"/>
      <c r="AT68" s="60"/>
      <c r="AU68" s="60"/>
      <c r="AV68" s="60"/>
      <c r="AW68" s="60"/>
      <c r="AX68" s="60"/>
      <c r="AY68" s="60"/>
      <c r="AZ68" s="60"/>
      <c r="BA68" s="60"/>
      <c r="BB68" s="60"/>
      <c r="BC68" s="60"/>
      <c r="BD68" s="60"/>
      <c r="BE68" s="60"/>
      <c r="BF68" s="60"/>
      <c r="BG68" s="60"/>
      <c r="BH68" s="60"/>
      <c r="BI68" s="60"/>
    </row>
    <row r="69" spans="1:124" s="23" customFormat="1" ht="21" customHeight="1" x14ac:dyDescent="0.35">
      <c r="A69" s="50" t="s">
        <v>221</v>
      </c>
      <c r="B69" s="51">
        <f>+Base!B69</f>
        <v>3.3750000000000002E-2</v>
      </c>
      <c r="C69" s="60"/>
      <c r="D69" s="60"/>
      <c r="E69" s="60"/>
      <c r="F69" s="60"/>
      <c r="G69" s="60"/>
      <c r="H69" s="60"/>
      <c r="I69" s="60"/>
      <c r="J69" s="60"/>
      <c r="K69" s="60"/>
      <c r="L69" s="60"/>
      <c r="M69" s="60"/>
      <c r="N69" s="60"/>
      <c r="O69" s="60"/>
      <c r="P69" s="60"/>
      <c r="Q69" s="60"/>
      <c r="R69" s="60"/>
      <c r="S69" s="60"/>
      <c r="T69" s="60"/>
      <c r="U69" s="60"/>
      <c r="V69" s="60"/>
      <c r="W69" s="60"/>
      <c r="X69" s="60"/>
      <c r="Y69" s="60"/>
      <c r="Z69" s="60"/>
      <c r="AA69" s="60"/>
      <c r="AB69" s="60"/>
      <c r="AC69" s="60"/>
      <c r="AD69" s="60"/>
      <c r="AE69" s="60"/>
      <c r="AF69" s="60"/>
      <c r="AG69" s="60"/>
      <c r="AH69" s="60"/>
      <c r="AI69" s="60"/>
      <c r="AJ69" s="60"/>
      <c r="AK69" s="60"/>
      <c r="AL69" s="60"/>
      <c r="AM69" s="60"/>
      <c r="AN69" s="60"/>
      <c r="AO69" s="60"/>
      <c r="AP69" s="60"/>
      <c r="AQ69" s="60"/>
      <c r="AR69" s="60"/>
      <c r="AS69" s="60"/>
      <c r="AT69" s="60"/>
      <c r="AU69" s="60"/>
      <c r="AV69" s="60"/>
      <c r="AW69" s="60"/>
      <c r="AX69" s="60"/>
      <c r="AY69" s="60"/>
      <c r="AZ69" s="60"/>
      <c r="BA69" s="60"/>
      <c r="BB69" s="60"/>
      <c r="BC69" s="60"/>
      <c r="BD69" s="60"/>
      <c r="BE69" s="60"/>
      <c r="BF69" s="60"/>
      <c r="BG69" s="60"/>
      <c r="BH69" s="60"/>
      <c r="BI69" s="60"/>
    </row>
    <row r="70" spans="1:124" s="23" customFormat="1" ht="21" customHeight="1" x14ac:dyDescent="0.35">
      <c r="A70" s="50" t="s">
        <v>222</v>
      </c>
      <c r="B70" s="51">
        <f>+Base!B70</f>
        <v>0.25</v>
      </c>
      <c r="C70" s="60"/>
      <c r="D70" s="60"/>
      <c r="E70" s="60"/>
      <c r="F70" s="60"/>
      <c r="G70" s="60"/>
      <c r="H70" s="60"/>
      <c r="I70" s="60"/>
      <c r="J70" s="60"/>
      <c r="K70" s="60"/>
      <c r="L70" s="60"/>
      <c r="M70" s="60"/>
      <c r="N70" s="60"/>
      <c r="O70" s="60"/>
      <c r="P70" s="60"/>
      <c r="Q70" s="60"/>
      <c r="R70" s="60"/>
      <c r="S70" s="60"/>
      <c r="T70" s="60"/>
      <c r="U70" s="60"/>
      <c r="V70" s="60"/>
      <c r="W70" s="60"/>
      <c r="X70" s="60"/>
      <c r="Y70" s="60"/>
      <c r="Z70" s="60"/>
      <c r="AA70" s="60"/>
      <c r="AB70" s="60"/>
      <c r="AC70" s="60"/>
      <c r="AD70" s="60"/>
      <c r="AE70" s="60"/>
      <c r="AF70" s="60"/>
      <c r="AG70" s="60"/>
      <c r="AH70" s="60"/>
      <c r="AI70" s="60"/>
      <c r="AJ70" s="60"/>
      <c r="AK70" s="60"/>
      <c r="AL70" s="60"/>
      <c r="AM70" s="60"/>
      <c r="AN70" s="60"/>
      <c r="AO70" s="60"/>
      <c r="AP70" s="60"/>
      <c r="AQ70" s="60"/>
      <c r="AR70" s="60"/>
      <c r="AS70" s="60"/>
      <c r="AT70" s="60"/>
      <c r="AU70" s="60"/>
      <c r="AV70" s="60"/>
      <c r="AW70" s="60"/>
      <c r="AX70" s="60"/>
      <c r="AY70" s="60"/>
      <c r="AZ70" s="60"/>
      <c r="BA70" s="60"/>
      <c r="BB70" s="60"/>
      <c r="BC70" s="60"/>
      <c r="BD70" s="60"/>
      <c r="BE70" s="60"/>
      <c r="BF70" s="60"/>
      <c r="BG70" s="60"/>
      <c r="BH70" s="60"/>
      <c r="BI70" s="60"/>
    </row>
    <row r="71" spans="1:124" s="23" customFormat="1" ht="21" customHeight="1" x14ac:dyDescent="0.35">
      <c r="A71" s="50" t="s">
        <v>223</v>
      </c>
      <c r="B71" s="51">
        <f>+Base!B71</f>
        <v>99.966250000000002</v>
      </c>
      <c r="C71" s="60"/>
      <c r="D71" s="60"/>
      <c r="E71" s="60"/>
      <c r="F71" s="60"/>
      <c r="G71" s="60"/>
      <c r="H71" s="60"/>
      <c r="I71" s="60"/>
      <c r="J71" s="60"/>
      <c r="K71" s="60"/>
      <c r="L71" s="60"/>
      <c r="M71" s="60"/>
      <c r="N71" s="60"/>
      <c r="O71" s="60"/>
      <c r="P71" s="60"/>
      <c r="Q71" s="60"/>
      <c r="R71" s="60"/>
      <c r="S71" s="60"/>
      <c r="T71" s="60"/>
      <c r="U71" s="60"/>
      <c r="V71" s="60"/>
      <c r="W71" s="60"/>
      <c r="X71" s="60"/>
      <c r="Y71" s="60"/>
      <c r="Z71" s="60"/>
      <c r="AA71" s="60"/>
      <c r="AB71" s="60"/>
      <c r="AC71" s="60"/>
      <c r="AD71" s="60"/>
      <c r="AE71" s="60"/>
      <c r="AF71" s="60"/>
      <c r="AG71" s="60"/>
      <c r="AH71" s="60"/>
      <c r="AI71" s="60"/>
      <c r="AJ71" s="60"/>
      <c r="AK71" s="60"/>
      <c r="AL71" s="60"/>
      <c r="AM71" s="60"/>
      <c r="AN71" s="60"/>
      <c r="AO71" s="60"/>
      <c r="AP71" s="60"/>
      <c r="AQ71" s="60"/>
      <c r="AR71" s="60"/>
      <c r="AS71" s="60"/>
      <c r="AT71" s="60"/>
      <c r="AU71" s="60"/>
      <c r="AV71" s="60"/>
      <c r="AW71" s="60"/>
      <c r="AX71" s="60"/>
      <c r="AY71" s="60"/>
      <c r="AZ71" s="60"/>
      <c r="BA71" s="60"/>
      <c r="BB71" s="60"/>
      <c r="BC71" s="60"/>
      <c r="BD71" s="60"/>
      <c r="BE71" s="60"/>
      <c r="BF71" s="60"/>
      <c r="BG71" s="60"/>
      <c r="BH71" s="60"/>
      <c r="BI71" s="60"/>
    </row>
    <row r="72" spans="1:124" s="23" customFormat="1" ht="21" customHeight="1" thickBot="1" x14ac:dyDescent="0.35">
      <c r="A72" s="54" t="s">
        <v>225</v>
      </c>
      <c r="B72" s="60"/>
      <c r="C72" s="60"/>
      <c r="D72" s="60"/>
      <c r="E72" s="60"/>
      <c r="F72" s="60"/>
      <c r="G72" s="60"/>
      <c r="H72" s="60"/>
      <c r="I72" s="60"/>
      <c r="J72" s="60"/>
      <c r="K72" s="60"/>
      <c r="L72" s="60"/>
      <c r="M72" s="60"/>
      <c r="N72" s="60"/>
      <c r="O72" s="60"/>
      <c r="P72" s="60"/>
      <c r="Q72" s="60"/>
      <c r="R72" s="60"/>
      <c r="S72" s="60"/>
      <c r="T72" s="60"/>
      <c r="U72" s="60"/>
      <c r="V72" s="60"/>
      <c r="W72" s="60"/>
      <c r="X72" s="60"/>
      <c r="Y72" s="60"/>
      <c r="Z72" s="60"/>
      <c r="AA72" s="60"/>
      <c r="AB72" s="60"/>
      <c r="AC72" s="60"/>
      <c r="AD72" s="60"/>
      <c r="AE72" s="60"/>
      <c r="AF72" s="60"/>
      <c r="AG72" s="60"/>
      <c r="AH72" s="60"/>
      <c r="AI72" s="60"/>
      <c r="AJ72" s="60"/>
      <c r="AK72" s="60"/>
      <c r="AL72" s="60"/>
      <c r="AM72" s="60"/>
      <c r="AN72" s="60"/>
      <c r="AO72" s="60"/>
      <c r="AP72" s="60"/>
      <c r="AQ72" s="60"/>
      <c r="AR72" s="60"/>
      <c r="AS72" s="60"/>
      <c r="AT72" s="60"/>
      <c r="AU72" s="60"/>
      <c r="AV72" s="60"/>
      <c r="AW72" s="60"/>
      <c r="AX72" s="60"/>
      <c r="AY72" s="60"/>
      <c r="AZ72" s="60"/>
      <c r="BA72" s="60"/>
      <c r="BB72" s="60"/>
      <c r="BC72" s="60"/>
      <c r="BD72" s="60"/>
      <c r="BE72" s="60"/>
      <c r="BF72" s="60"/>
      <c r="BG72" s="60"/>
      <c r="BH72" s="60"/>
      <c r="BI72" s="60"/>
    </row>
    <row r="73" spans="1:124" s="23" customFormat="1" ht="21" customHeight="1" thickTop="1" x14ac:dyDescent="0.35">
      <c r="A73" s="50" t="s">
        <v>42</v>
      </c>
      <c r="B73" s="51">
        <f>+Base!B73</f>
        <v>7.9999999999999932E-3</v>
      </c>
      <c r="C73" s="51">
        <f>+Base!C73</f>
        <v>4.1999999999999982E-2</v>
      </c>
      <c r="D73" s="51">
        <f>+Base!D73</f>
        <v>7.5999999999999984E-2</v>
      </c>
      <c r="E73" s="51">
        <f>+Base!E73</f>
        <v>0.10999999999999999</v>
      </c>
      <c r="F73" s="51">
        <f>+Base!F73</f>
        <v>0.14399999999999996</v>
      </c>
      <c r="G73" s="51">
        <f>+Base!G73</f>
        <v>0.17799999999999996</v>
      </c>
      <c r="H73" s="51">
        <f>+Base!H73</f>
        <v>0.21199999999999997</v>
      </c>
      <c r="I73" s="51">
        <f>+Base!I73</f>
        <v>0.24599999999999994</v>
      </c>
      <c r="J73" s="51">
        <f>+Base!J73</f>
        <v>0.27999999999999997</v>
      </c>
      <c r="K73" s="51">
        <f>+Base!K73</f>
        <v>0.31399999999999995</v>
      </c>
      <c r="L73" s="51">
        <f>+Base!L73</f>
        <v>0.34799999999999992</v>
      </c>
      <c r="M73" s="51">
        <f>+Base!M73</f>
        <v>0.38199999999999995</v>
      </c>
      <c r="N73" s="51">
        <f>+Base!N73</f>
        <v>0.41599999999999993</v>
      </c>
      <c r="O73" s="51">
        <f>+Base!O73</f>
        <v>0.4499999999999999</v>
      </c>
      <c r="P73" s="51">
        <f>+Base!P73</f>
        <v>0.48399999999999993</v>
      </c>
      <c r="Q73" s="51">
        <f>+Base!Q73</f>
        <v>0.51800000000000002</v>
      </c>
      <c r="R73" s="51">
        <f>+Base!R73</f>
        <v>0.55199999999999982</v>
      </c>
      <c r="S73" s="51">
        <f>+Base!S73</f>
        <v>0.58599999999999985</v>
      </c>
      <c r="T73" s="51">
        <f>+Base!T73</f>
        <v>0.62</v>
      </c>
      <c r="U73" s="51">
        <f>+Base!U73</f>
        <v>0.62</v>
      </c>
      <c r="V73" s="51">
        <f>+Base!V73</f>
        <v>0.62</v>
      </c>
      <c r="W73" s="51">
        <f>+Base!W73</f>
        <v>0.62</v>
      </c>
      <c r="X73" s="51">
        <f>+Base!X73</f>
        <v>0.62</v>
      </c>
      <c r="Y73" s="51">
        <f>+Base!Y73</f>
        <v>0.62</v>
      </c>
      <c r="Z73" s="51">
        <f>+Base!Z73</f>
        <v>0.62</v>
      </c>
      <c r="AA73" s="51">
        <f>+Base!AA73</f>
        <v>0.62</v>
      </c>
      <c r="AB73" s="51">
        <f>+Base!AB73</f>
        <v>0.62</v>
      </c>
      <c r="AC73" s="51">
        <f>+Base!AC73</f>
        <v>0.62</v>
      </c>
      <c r="AD73" s="51">
        <f>+Base!AD73</f>
        <v>0.62</v>
      </c>
      <c r="AE73" s="51">
        <f>+Base!AE73</f>
        <v>0.62</v>
      </c>
      <c r="AF73" s="51">
        <f>+Base!AF73</f>
        <v>0.62</v>
      </c>
      <c r="AG73" s="51">
        <f>+Base!AG73</f>
        <v>0.62</v>
      </c>
      <c r="AH73" s="51">
        <f>+Base!AH73</f>
        <v>0.62</v>
      </c>
      <c r="AI73" s="51">
        <f>+Base!AI73</f>
        <v>0.62</v>
      </c>
      <c r="AJ73" s="51">
        <f>+Base!AJ73</f>
        <v>0.62</v>
      </c>
      <c r="AK73" s="51">
        <f>+Base!AK73</f>
        <v>0.62</v>
      </c>
      <c r="AL73" s="51">
        <f>+Base!AL73</f>
        <v>0.62</v>
      </c>
      <c r="AM73" s="51">
        <f>+Base!AM73</f>
        <v>0.62</v>
      </c>
      <c r="AN73" s="51">
        <f>+Base!AN73</f>
        <v>0.62</v>
      </c>
      <c r="AO73" s="51">
        <f>+Base!AO73</f>
        <v>0.62</v>
      </c>
      <c r="AP73" s="51">
        <f>+Base!AP73</f>
        <v>0.62</v>
      </c>
      <c r="AQ73" s="51">
        <f>+Base!AQ73</f>
        <v>0.62</v>
      </c>
      <c r="AR73" s="51">
        <f>+Base!AR73</f>
        <v>0.62</v>
      </c>
      <c r="AS73" s="51">
        <f>+Base!AS73</f>
        <v>0.62</v>
      </c>
      <c r="AT73" s="51">
        <f>+Base!AT73</f>
        <v>0.62</v>
      </c>
      <c r="AU73" s="51">
        <f>+Base!AU73</f>
        <v>0.62</v>
      </c>
      <c r="AV73" s="51">
        <f>+Base!AV73</f>
        <v>0.62</v>
      </c>
      <c r="AW73" s="51">
        <f>+Base!AW73</f>
        <v>0.62</v>
      </c>
      <c r="AX73" s="51">
        <f>+Base!AX73</f>
        <v>0.62</v>
      </c>
      <c r="AY73" s="51">
        <f>+Base!AY73</f>
        <v>0.62</v>
      </c>
      <c r="AZ73" s="51">
        <f>+Base!AZ73</f>
        <v>0.62</v>
      </c>
      <c r="BA73" s="51">
        <f>+Base!BA73</f>
        <v>0.62</v>
      </c>
      <c r="BB73" s="51">
        <f>+Base!BB73</f>
        <v>0.62</v>
      </c>
      <c r="BC73" s="51">
        <f>+Base!BC73</f>
        <v>0.62</v>
      </c>
      <c r="BD73" s="51">
        <f>+Base!BD73</f>
        <v>0.62</v>
      </c>
      <c r="BE73" s="51">
        <f>+Base!BE73</f>
        <v>0.62</v>
      </c>
      <c r="BF73" s="51">
        <f>+Base!BF73</f>
        <v>0.62</v>
      </c>
      <c r="BG73" s="51">
        <f>+Base!BG73</f>
        <v>0.62</v>
      </c>
      <c r="BH73" s="51">
        <f>+Base!BH73</f>
        <v>0.62</v>
      </c>
      <c r="BI73" s="51">
        <f>+Base!BI73</f>
        <v>0.62</v>
      </c>
      <c r="BJ73" s="60"/>
      <c r="BK73" s="60"/>
      <c r="BL73" s="60"/>
      <c r="BM73" s="60"/>
      <c r="BN73" s="60"/>
      <c r="BO73" s="60"/>
      <c r="BP73" s="60"/>
      <c r="BQ73" s="60"/>
      <c r="BR73" s="60"/>
      <c r="BS73" s="60"/>
      <c r="BT73" s="60"/>
      <c r="BU73" s="60"/>
      <c r="BV73" s="60"/>
      <c r="BW73" s="60"/>
      <c r="BX73" s="60"/>
      <c r="BY73" s="60"/>
      <c r="BZ73" s="60"/>
      <c r="CA73" s="60"/>
      <c r="CB73" s="60"/>
      <c r="CC73" s="60"/>
      <c r="CD73" s="60"/>
      <c r="CE73" s="60"/>
      <c r="CF73" s="60"/>
      <c r="CG73" s="60"/>
      <c r="CH73" s="60"/>
      <c r="CI73" s="60"/>
      <c r="CJ73" s="60"/>
      <c r="CK73" s="60"/>
      <c r="CL73" s="60"/>
      <c r="CM73" s="60"/>
      <c r="CN73" s="60"/>
      <c r="CO73" s="60"/>
      <c r="CP73" s="60"/>
      <c r="CQ73" s="60"/>
      <c r="CR73" s="60"/>
      <c r="CS73" s="60"/>
      <c r="CT73" s="60"/>
      <c r="CU73" s="60"/>
      <c r="CV73" s="60"/>
      <c r="CW73" s="60"/>
      <c r="CX73" s="60"/>
      <c r="CY73" s="60"/>
      <c r="CZ73" s="60"/>
      <c r="DA73" s="60"/>
      <c r="DB73" s="60"/>
      <c r="DC73" s="60"/>
      <c r="DD73" s="60"/>
      <c r="DE73" s="60"/>
      <c r="DF73" s="60"/>
      <c r="DG73" s="60"/>
      <c r="DH73" s="60"/>
      <c r="DI73" s="60"/>
      <c r="DJ73" s="60"/>
      <c r="DK73" s="60"/>
      <c r="DL73" s="60"/>
      <c r="DM73" s="60"/>
      <c r="DN73" s="60"/>
      <c r="DO73" s="60"/>
      <c r="DP73" s="60"/>
      <c r="DQ73" s="60"/>
      <c r="DR73" s="60"/>
      <c r="DS73" s="60"/>
      <c r="DT73" s="60"/>
    </row>
    <row r="74" spans="1:124" s="23" customFormat="1" ht="21" customHeight="1" x14ac:dyDescent="0.35">
      <c r="A74" s="50" t="s">
        <v>186</v>
      </c>
      <c r="B74" s="51">
        <f>+Base!B74</f>
        <v>-0.06</v>
      </c>
      <c r="C74" s="60"/>
      <c r="D74" s="60"/>
      <c r="E74" s="60"/>
      <c r="F74" s="60"/>
      <c r="G74" s="60"/>
      <c r="H74" s="60"/>
      <c r="I74" s="60"/>
      <c r="J74" s="60"/>
      <c r="K74" s="60"/>
      <c r="L74" s="60"/>
      <c r="M74" s="60"/>
      <c r="N74" s="60"/>
      <c r="O74" s="60"/>
      <c r="P74" s="60"/>
      <c r="Q74" s="60"/>
      <c r="R74" s="60"/>
      <c r="S74" s="60"/>
      <c r="T74" s="60"/>
      <c r="U74" s="60"/>
      <c r="V74" s="60"/>
      <c r="W74" s="60"/>
      <c r="X74" s="60"/>
      <c r="Y74" s="60"/>
      <c r="Z74" s="60"/>
      <c r="AA74" s="60"/>
      <c r="AB74" s="60"/>
      <c r="AC74" s="60"/>
      <c r="AD74" s="60"/>
      <c r="AE74" s="60"/>
      <c r="AF74" s="60"/>
      <c r="AG74" s="60"/>
      <c r="AH74" s="60"/>
      <c r="AI74" s="60"/>
      <c r="AJ74" s="60"/>
      <c r="AK74" s="60"/>
      <c r="AL74" s="60"/>
      <c r="AM74" s="60"/>
      <c r="AN74" s="60"/>
      <c r="AO74" s="60"/>
      <c r="AP74" s="60"/>
      <c r="AQ74" s="60"/>
      <c r="AR74" s="60"/>
      <c r="AS74" s="60"/>
      <c r="AT74" s="60"/>
      <c r="AU74" s="60"/>
      <c r="AV74" s="60"/>
      <c r="AW74" s="60"/>
      <c r="AX74" s="60"/>
      <c r="AY74" s="60"/>
      <c r="AZ74" s="60"/>
      <c r="BA74" s="60"/>
      <c r="BB74" s="60"/>
      <c r="BC74" s="60"/>
      <c r="BD74" s="60"/>
      <c r="BE74" s="60"/>
      <c r="BF74" s="60"/>
      <c r="BG74" s="60"/>
      <c r="BH74" s="60"/>
      <c r="BI74" s="60"/>
    </row>
    <row r="75" spans="1:124" s="23" customFormat="1" ht="21" customHeight="1" x14ac:dyDescent="0.35">
      <c r="A75" s="50" t="s">
        <v>187</v>
      </c>
      <c r="B75" s="51">
        <f>+Base!B75</f>
        <v>0.62</v>
      </c>
      <c r="C75" s="60"/>
      <c r="D75" s="60"/>
      <c r="E75" s="60"/>
      <c r="F75" s="60"/>
      <c r="G75" s="60"/>
      <c r="H75" s="60"/>
      <c r="I75" s="60"/>
      <c r="J75" s="60"/>
      <c r="K75" s="60"/>
      <c r="L75" s="60"/>
      <c r="M75" s="60"/>
      <c r="N75" s="60"/>
      <c r="O75" s="60"/>
      <c r="P75" s="60"/>
      <c r="Q75" s="60"/>
      <c r="R75" s="60"/>
      <c r="S75" s="60"/>
      <c r="T75" s="60"/>
      <c r="U75" s="60"/>
      <c r="V75" s="60"/>
      <c r="W75" s="60"/>
      <c r="X75" s="60"/>
      <c r="Y75" s="60"/>
      <c r="Z75" s="60"/>
      <c r="AA75" s="60"/>
      <c r="AB75" s="60"/>
      <c r="AC75" s="60"/>
      <c r="AD75" s="60"/>
      <c r="AE75" s="60"/>
      <c r="AF75" s="60"/>
      <c r="AG75" s="60"/>
      <c r="AH75" s="60"/>
      <c r="AI75" s="60"/>
      <c r="AJ75" s="60"/>
      <c r="AK75" s="60"/>
      <c r="AL75" s="60"/>
      <c r="AM75" s="60"/>
      <c r="AN75" s="60"/>
      <c r="AO75" s="60"/>
      <c r="AP75" s="60"/>
      <c r="AQ75" s="60"/>
      <c r="AR75" s="60"/>
      <c r="AS75" s="60"/>
      <c r="AT75" s="60"/>
      <c r="AU75" s="60"/>
      <c r="AV75" s="60"/>
      <c r="AW75" s="60"/>
      <c r="AX75" s="60"/>
      <c r="AY75" s="60"/>
      <c r="AZ75" s="60"/>
      <c r="BA75" s="60"/>
      <c r="BB75" s="60"/>
      <c r="BC75" s="60"/>
      <c r="BD75" s="60"/>
      <c r="BE75" s="60"/>
      <c r="BF75" s="60"/>
      <c r="BG75" s="60"/>
      <c r="BH75" s="60"/>
      <c r="BI75" s="60"/>
    </row>
    <row r="76" spans="1:124" s="23" customFormat="1" ht="21" customHeight="1" x14ac:dyDescent="0.35">
      <c r="A76" s="50" t="s">
        <v>188</v>
      </c>
      <c r="B76" s="51">
        <f>+Base!B76</f>
        <v>0.83</v>
      </c>
      <c r="C76" s="60"/>
      <c r="D76" s="60"/>
      <c r="E76" s="60"/>
      <c r="F76" s="60"/>
      <c r="G76" s="60"/>
      <c r="H76" s="60"/>
      <c r="I76" s="60"/>
      <c r="J76" s="60"/>
      <c r="K76" s="60"/>
      <c r="L76" s="60"/>
      <c r="M76" s="60"/>
      <c r="N76" s="60"/>
      <c r="O76" s="60"/>
      <c r="P76" s="60"/>
      <c r="Q76" s="60"/>
      <c r="R76" s="60"/>
      <c r="S76" s="60"/>
      <c r="T76" s="60"/>
      <c r="U76" s="60"/>
      <c r="V76" s="60"/>
      <c r="W76" s="60"/>
      <c r="X76" s="60"/>
      <c r="Y76" s="60"/>
      <c r="Z76" s="60"/>
      <c r="AA76" s="60"/>
      <c r="AB76" s="60"/>
      <c r="AC76" s="60"/>
      <c r="AD76" s="60"/>
      <c r="AE76" s="60"/>
      <c r="AF76" s="60"/>
      <c r="AG76" s="60"/>
      <c r="AH76" s="60"/>
      <c r="AI76" s="60"/>
      <c r="AJ76" s="60"/>
      <c r="AK76" s="60"/>
      <c r="AL76" s="60"/>
      <c r="AM76" s="60"/>
      <c r="AN76" s="60"/>
      <c r="AO76" s="60"/>
      <c r="AP76" s="60"/>
      <c r="AQ76" s="60"/>
      <c r="AR76" s="60"/>
      <c r="AS76" s="60"/>
      <c r="AT76" s="60"/>
      <c r="AU76" s="60"/>
      <c r="AV76" s="60"/>
      <c r="AW76" s="60"/>
      <c r="AX76" s="60"/>
      <c r="AY76" s="60"/>
      <c r="AZ76" s="60"/>
      <c r="BA76" s="60"/>
      <c r="BB76" s="60"/>
      <c r="BC76" s="60"/>
      <c r="BD76" s="60"/>
      <c r="BE76" s="60"/>
      <c r="BF76" s="60"/>
      <c r="BG76" s="60"/>
      <c r="BH76" s="60"/>
      <c r="BI76" s="60"/>
    </row>
    <row r="77" spans="1:124" s="23" customFormat="1" ht="21" customHeight="1" x14ac:dyDescent="0.35">
      <c r="A77" s="50" t="s">
        <v>5</v>
      </c>
      <c r="B77" s="51">
        <f>+Base!B77</f>
        <v>6.7999999999999996E-3</v>
      </c>
      <c r="C77" s="60"/>
      <c r="D77" s="60"/>
      <c r="E77" s="60"/>
      <c r="F77" s="60"/>
      <c r="G77" s="60"/>
      <c r="H77" s="60"/>
      <c r="I77" s="60"/>
      <c r="J77" s="60"/>
      <c r="K77" s="60"/>
      <c r="L77" s="60"/>
      <c r="M77" s="60"/>
      <c r="N77" s="60"/>
      <c r="O77" s="60"/>
      <c r="P77" s="60"/>
      <c r="Q77" s="60"/>
      <c r="R77" s="60"/>
      <c r="S77" s="60"/>
      <c r="T77" s="60"/>
      <c r="U77" s="60"/>
      <c r="V77" s="60"/>
      <c r="W77" s="60"/>
      <c r="X77" s="60"/>
      <c r="Y77" s="60"/>
      <c r="Z77" s="60"/>
      <c r="AA77" s="60"/>
      <c r="AB77" s="60"/>
      <c r="AC77" s="60"/>
      <c r="AD77" s="60"/>
      <c r="AE77" s="60"/>
      <c r="AF77" s="60"/>
      <c r="AG77" s="60"/>
      <c r="AH77" s="60"/>
      <c r="AI77" s="60"/>
      <c r="AJ77" s="60"/>
      <c r="AK77" s="60"/>
      <c r="AL77" s="60"/>
      <c r="AM77" s="60"/>
      <c r="AN77" s="60"/>
      <c r="AO77" s="60"/>
      <c r="AP77" s="60"/>
      <c r="AQ77" s="60"/>
      <c r="AR77" s="60"/>
      <c r="AS77" s="60"/>
      <c r="AT77" s="60"/>
      <c r="AU77" s="60"/>
      <c r="AV77" s="60"/>
      <c r="AW77" s="60"/>
      <c r="AX77" s="60"/>
      <c r="AY77" s="60"/>
      <c r="AZ77" s="60"/>
      <c r="BA77" s="60"/>
      <c r="BB77" s="60"/>
      <c r="BC77" s="60"/>
      <c r="BD77" s="60"/>
      <c r="BE77" s="60"/>
      <c r="BF77" s="60"/>
      <c r="BG77" s="60"/>
      <c r="BH77" s="60"/>
      <c r="BI77" s="60"/>
    </row>
    <row r="78" spans="1:124" s="23" customFormat="1" ht="21" customHeight="1" thickBot="1" x14ac:dyDescent="0.35">
      <c r="A78" s="54" t="s">
        <v>227</v>
      </c>
      <c r="B78" s="60"/>
      <c r="C78" s="60"/>
      <c r="D78" s="60"/>
      <c r="E78" s="60"/>
      <c r="F78" s="60"/>
      <c r="G78" s="60"/>
      <c r="H78" s="60"/>
      <c r="I78" s="60"/>
      <c r="J78" s="60"/>
      <c r="K78" s="60"/>
      <c r="L78" s="60"/>
      <c r="M78" s="60"/>
      <c r="N78" s="60"/>
      <c r="O78" s="60"/>
      <c r="P78" s="60"/>
      <c r="Q78" s="60"/>
      <c r="R78" s="60"/>
      <c r="S78" s="60"/>
      <c r="T78" s="60"/>
      <c r="U78" s="60"/>
      <c r="V78" s="60"/>
      <c r="W78" s="60"/>
      <c r="X78" s="60"/>
      <c r="Y78" s="60"/>
      <c r="Z78" s="60"/>
      <c r="AA78" s="60"/>
      <c r="AB78" s="60"/>
      <c r="AC78" s="60"/>
      <c r="AD78" s="60"/>
      <c r="AE78" s="60"/>
      <c r="AF78" s="60"/>
      <c r="AG78" s="60"/>
      <c r="AH78" s="60"/>
      <c r="AI78" s="60"/>
      <c r="AJ78" s="60"/>
      <c r="AK78" s="60"/>
      <c r="AL78" s="60"/>
      <c r="AM78" s="60"/>
      <c r="AN78" s="60"/>
      <c r="AO78" s="60"/>
      <c r="AP78" s="60"/>
      <c r="AQ78" s="60"/>
      <c r="AR78" s="60"/>
      <c r="AS78" s="60"/>
      <c r="AT78" s="60"/>
      <c r="AU78" s="60"/>
      <c r="AV78" s="60"/>
      <c r="AW78" s="60"/>
      <c r="AX78" s="60"/>
      <c r="AY78" s="60"/>
      <c r="AZ78" s="60"/>
      <c r="BA78" s="60"/>
      <c r="BB78" s="60"/>
      <c r="BC78" s="60"/>
      <c r="BD78" s="60"/>
      <c r="BE78" s="60"/>
      <c r="BF78" s="60"/>
      <c r="BG78" s="60"/>
      <c r="BH78" s="60"/>
      <c r="BI78" s="60"/>
    </row>
    <row r="79" spans="1:124" s="23" customFormat="1" ht="21" customHeight="1" thickTop="1" x14ac:dyDescent="0.35">
      <c r="A79" s="50" t="s">
        <v>72</v>
      </c>
      <c r="B79" s="51">
        <f>+Base!B79</f>
        <v>3.2</v>
      </c>
      <c r="C79" s="60"/>
      <c r="D79" s="60"/>
      <c r="E79" s="60"/>
      <c r="F79" s="60"/>
      <c r="G79" s="60"/>
      <c r="H79" s="60"/>
      <c r="I79" s="60"/>
      <c r="J79" s="60"/>
      <c r="K79" s="60"/>
      <c r="L79" s="60"/>
      <c r="M79" s="60"/>
      <c r="N79" s="60"/>
      <c r="O79" s="60"/>
      <c r="P79" s="60"/>
      <c r="Q79" s="60"/>
      <c r="R79" s="60"/>
      <c r="S79" s="60"/>
      <c r="T79" s="60"/>
      <c r="U79" s="60"/>
      <c r="V79" s="60"/>
      <c r="W79" s="60"/>
      <c r="X79" s="60"/>
      <c r="Y79" s="60"/>
      <c r="Z79" s="60"/>
      <c r="AA79" s="60"/>
      <c r="AB79" s="60"/>
      <c r="AC79" s="60"/>
      <c r="AD79" s="60"/>
      <c r="AE79" s="60"/>
      <c r="AF79" s="60"/>
      <c r="AG79" s="60"/>
      <c r="AH79" s="60"/>
      <c r="AI79" s="60"/>
      <c r="AJ79" s="60"/>
      <c r="AK79" s="60"/>
      <c r="AL79" s="60"/>
      <c r="AM79" s="60"/>
      <c r="AN79" s="60"/>
      <c r="AO79" s="60"/>
      <c r="AP79" s="60"/>
      <c r="AQ79" s="60"/>
      <c r="AR79" s="60"/>
      <c r="AS79" s="60"/>
      <c r="AT79" s="60"/>
      <c r="AU79" s="60"/>
      <c r="AV79" s="60"/>
      <c r="AW79" s="60"/>
      <c r="AX79" s="60"/>
      <c r="AY79" s="60"/>
      <c r="AZ79" s="60"/>
      <c r="BA79" s="60"/>
      <c r="BB79" s="60"/>
      <c r="BC79" s="60"/>
      <c r="BD79" s="60"/>
      <c r="BE79" s="60"/>
      <c r="BF79" s="60"/>
      <c r="BG79" s="60"/>
      <c r="BH79" s="60"/>
      <c r="BI79" s="60"/>
    </row>
    <row r="80" spans="1:124" s="23" customFormat="1" ht="21" customHeight="1" x14ac:dyDescent="0.35">
      <c r="A80" s="50" t="s">
        <v>226</v>
      </c>
      <c r="B80" s="51">
        <f>+Base!B80</f>
        <v>3.8</v>
      </c>
      <c r="C80" s="60"/>
      <c r="D80" s="60"/>
      <c r="E80" s="60"/>
      <c r="F80" s="60"/>
      <c r="G80" s="60"/>
      <c r="H80" s="60"/>
      <c r="I80" s="60"/>
      <c r="J80" s="60"/>
      <c r="K80" s="60"/>
      <c r="L80" s="60"/>
      <c r="M80" s="60"/>
      <c r="N80" s="60"/>
      <c r="O80" s="60"/>
      <c r="P80" s="60"/>
      <c r="Q80" s="60"/>
      <c r="R80" s="60"/>
      <c r="S80" s="60"/>
      <c r="T80" s="60"/>
      <c r="U80" s="60"/>
      <c r="V80" s="60"/>
      <c r="W80" s="60"/>
      <c r="X80" s="60"/>
      <c r="Y80" s="60"/>
      <c r="Z80" s="60"/>
      <c r="AA80" s="60"/>
      <c r="AB80" s="60"/>
      <c r="AC80" s="60"/>
      <c r="AD80" s="60"/>
      <c r="AE80" s="60"/>
      <c r="AF80" s="60"/>
      <c r="AG80" s="60"/>
      <c r="AH80" s="60"/>
      <c r="AI80" s="60"/>
      <c r="AJ80" s="60"/>
      <c r="AK80" s="60"/>
      <c r="AL80" s="60"/>
      <c r="AM80" s="60"/>
      <c r="AN80" s="60"/>
      <c r="AO80" s="60"/>
      <c r="AP80" s="60"/>
      <c r="AQ80" s="60"/>
      <c r="AR80" s="60"/>
      <c r="AS80" s="60"/>
      <c r="AT80" s="60"/>
      <c r="AU80" s="60"/>
      <c r="AV80" s="60"/>
      <c r="AW80" s="60"/>
      <c r="AX80" s="60"/>
      <c r="AY80" s="60"/>
      <c r="AZ80" s="60"/>
      <c r="BA80" s="60"/>
      <c r="BB80" s="60"/>
      <c r="BC80" s="60"/>
      <c r="BD80" s="60"/>
      <c r="BE80" s="60"/>
      <c r="BF80" s="60"/>
      <c r="BG80" s="60"/>
      <c r="BH80" s="60"/>
      <c r="BI80" s="60"/>
    </row>
    <row r="81" spans="1:61" s="23" customFormat="1" ht="21" customHeight="1" thickBot="1" x14ac:dyDescent="0.35">
      <c r="A81" s="54" t="s">
        <v>228</v>
      </c>
      <c r="B81" s="60"/>
      <c r="C81" s="60"/>
      <c r="D81" s="60"/>
      <c r="E81" s="60"/>
      <c r="F81" s="60"/>
      <c r="G81" s="60"/>
      <c r="H81" s="60"/>
      <c r="I81" s="60"/>
      <c r="J81" s="60"/>
      <c r="K81" s="60"/>
      <c r="L81" s="60"/>
      <c r="M81" s="60"/>
      <c r="N81" s="60"/>
      <c r="O81" s="60"/>
      <c r="P81" s="60"/>
      <c r="Q81" s="60"/>
      <c r="R81" s="60"/>
      <c r="S81" s="60"/>
      <c r="T81" s="60"/>
      <c r="U81" s="60"/>
      <c r="V81" s="60"/>
      <c r="W81" s="60"/>
      <c r="X81" s="60"/>
      <c r="Y81" s="60"/>
      <c r="Z81" s="60"/>
      <c r="AA81" s="60"/>
      <c r="AB81" s="60"/>
      <c r="AC81" s="60"/>
      <c r="AD81" s="60"/>
      <c r="AE81" s="60"/>
      <c r="AF81" s="60"/>
      <c r="AG81" s="60"/>
      <c r="AH81" s="60"/>
      <c r="AI81" s="60"/>
      <c r="AJ81" s="60"/>
      <c r="AK81" s="60"/>
      <c r="AL81" s="60"/>
      <c r="AM81" s="60"/>
      <c r="AN81" s="60"/>
      <c r="AO81" s="60"/>
      <c r="AP81" s="60"/>
      <c r="AQ81" s="60"/>
      <c r="AR81" s="60"/>
      <c r="AS81" s="60"/>
      <c r="AT81" s="60"/>
      <c r="AU81" s="60"/>
      <c r="AV81" s="60"/>
      <c r="AW81" s="60"/>
      <c r="AX81" s="60"/>
      <c r="AY81" s="60"/>
      <c r="AZ81" s="60"/>
      <c r="BA81" s="60"/>
      <c r="BB81" s="60"/>
      <c r="BC81" s="60"/>
      <c r="BD81" s="60"/>
      <c r="BE81" s="60"/>
      <c r="BF81" s="60"/>
      <c r="BG81" s="60"/>
      <c r="BH81" s="60"/>
      <c r="BI81" s="60"/>
    </row>
    <row r="82" spans="1:61" s="23" customFormat="1" ht="21" customHeight="1" thickTop="1" x14ac:dyDescent="0.35">
      <c r="A82" s="50" t="s">
        <v>39</v>
      </c>
      <c r="B82" s="51">
        <f>+Base!B82</f>
        <v>0.104</v>
      </c>
      <c r="C82" s="60"/>
      <c r="D82" s="60"/>
      <c r="E82" s="60"/>
      <c r="F82" s="60"/>
      <c r="G82" s="60"/>
      <c r="H82" s="60"/>
      <c r="I82" s="60"/>
      <c r="J82" s="60"/>
      <c r="K82" s="60"/>
      <c r="L82" s="60"/>
      <c r="M82" s="60"/>
      <c r="N82" s="60"/>
      <c r="O82" s="60"/>
      <c r="P82" s="60"/>
      <c r="Q82" s="60"/>
      <c r="R82" s="60"/>
      <c r="S82" s="60"/>
      <c r="T82" s="60"/>
      <c r="U82" s="60"/>
      <c r="V82" s="60"/>
      <c r="W82" s="60"/>
      <c r="X82" s="60"/>
      <c r="Y82" s="60"/>
      <c r="Z82" s="60"/>
      <c r="AA82" s="60"/>
      <c r="AB82" s="60"/>
      <c r="AC82" s="60"/>
      <c r="AD82" s="60"/>
      <c r="AE82" s="60"/>
      <c r="AF82" s="60"/>
      <c r="AG82" s="60"/>
      <c r="AH82" s="60"/>
      <c r="AI82" s="60"/>
      <c r="AJ82" s="60"/>
      <c r="AK82" s="60"/>
      <c r="AL82" s="60"/>
      <c r="AM82" s="60"/>
      <c r="AN82" s="60"/>
      <c r="AO82" s="60"/>
      <c r="AP82" s="60"/>
      <c r="AQ82" s="60"/>
      <c r="AR82" s="60"/>
      <c r="AS82" s="60"/>
      <c r="AT82" s="60"/>
      <c r="AU82" s="60"/>
      <c r="AV82" s="60"/>
      <c r="AW82" s="60"/>
      <c r="AX82" s="60"/>
      <c r="AY82" s="60"/>
      <c r="AZ82" s="60"/>
      <c r="BA82" s="60"/>
      <c r="BB82" s="60"/>
      <c r="BC82" s="60"/>
      <c r="BD82" s="60"/>
      <c r="BE82" s="60"/>
      <c r="BF82" s="60"/>
      <c r="BG82" s="60"/>
      <c r="BH82" s="60"/>
      <c r="BI82" s="60"/>
    </row>
    <row r="83" spans="1:61" s="23" customFormat="1" ht="21" customHeight="1" x14ac:dyDescent="0.35">
      <c r="A83" s="50" t="s">
        <v>73</v>
      </c>
      <c r="B83" s="51">
        <f>+Base!B83</f>
        <v>8.7999999999999995E-2</v>
      </c>
      <c r="C83" s="60"/>
      <c r="D83" s="60"/>
      <c r="E83" s="60"/>
      <c r="F83" s="60"/>
      <c r="G83" s="60"/>
      <c r="H83" s="60"/>
      <c r="I83" s="60"/>
      <c r="J83" s="60"/>
      <c r="K83" s="60"/>
      <c r="L83" s="60"/>
      <c r="M83" s="60"/>
      <c r="N83" s="60"/>
      <c r="O83" s="60"/>
      <c r="P83" s="60"/>
      <c r="Q83" s="60"/>
      <c r="R83" s="60"/>
      <c r="S83" s="60"/>
      <c r="T83" s="60"/>
      <c r="U83" s="60"/>
      <c r="V83" s="60"/>
      <c r="W83" s="60"/>
      <c r="X83" s="60"/>
      <c r="Y83" s="60"/>
      <c r="Z83" s="60"/>
      <c r="AA83" s="60"/>
      <c r="AB83" s="60"/>
      <c r="AC83" s="60"/>
      <c r="AD83" s="60"/>
      <c r="AE83" s="60"/>
      <c r="AF83" s="60"/>
      <c r="AG83" s="60"/>
      <c r="AH83" s="60"/>
      <c r="AI83" s="60"/>
      <c r="AJ83" s="60"/>
      <c r="AK83" s="60"/>
      <c r="AL83" s="60"/>
      <c r="AM83" s="60"/>
      <c r="AN83" s="60"/>
      <c r="AO83" s="60"/>
      <c r="AP83" s="60"/>
      <c r="AQ83" s="60"/>
      <c r="AR83" s="60"/>
      <c r="AS83" s="60"/>
      <c r="AT83" s="60"/>
      <c r="AU83" s="60"/>
      <c r="AV83" s="60"/>
      <c r="AW83" s="60"/>
      <c r="AX83" s="60"/>
      <c r="AY83" s="60"/>
      <c r="AZ83" s="60"/>
      <c r="BA83" s="60"/>
      <c r="BB83" s="60"/>
      <c r="BC83" s="60"/>
      <c r="BD83" s="60"/>
      <c r="BE83" s="60"/>
      <c r="BF83" s="60"/>
      <c r="BG83" s="60"/>
      <c r="BH83" s="60"/>
      <c r="BI83" s="60"/>
    </row>
    <row r="84" spans="1:61" s="23" customFormat="1" ht="21" customHeight="1" x14ac:dyDescent="0.35">
      <c r="A84" s="50" t="s">
        <v>16</v>
      </c>
      <c r="B84" s="51">
        <f>+Base!B84</f>
        <v>2.5000000000000001E-2</v>
      </c>
      <c r="C84" s="60"/>
      <c r="D84" s="60"/>
      <c r="E84" s="60"/>
      <c r="F84" s="60"/>
      <c r="G84" s="60"/>
      <c r="H84" s="60"/>
      <c r="I84" s="60"/>
      <c r="J84" s="60"/>
      <c r="K84" s="60"/>
      <c r="L84" s="60"/>
      <c r="M84" s="60"/>
      <c r="N84" s="60"/>
      <c r="O84" s="60"/>
      <c r="P84" s="60"/>
      <c r="Q84" s="60"/>
      <c r="R84" s="60"/>
      <c r="S84" s="60"/>
      <c r="T84" s="60"/>
      <c r="U84" s="60"/>
      <c r="V84" s="60"/>
      <c r="W84" s="60"/>
      <c r="X84" s="60"/>
      <c r="Y84" s="60"/>
      <c r="Z84" s="60"/>
      <c r="AA84" s="60"/>
      <c r="AB84" s="60"/>
      <c r="AC84" s="60"/>
      <c r="AD84" s="60"/>
      <c r="AE84" s="60"/>
      <c r="AF84" s="60"/>
      <c r="AG84" s="60"/>
      <c r="AH84" s="60"/>
      <c r="AI84" s="60"/>
      <c r="AJ84" s="60"/>
      <c r="AK84" s="60"/>
      <c r="AL84" s="60"/>
      <c r="AM84" s="60"/>
      <c r="AN84" s="60"/>
      <c r="AO84" s="60"/>
      <c r="AP84" s="60"/>
      <c r="AQ84" s="60"/>
      <c r="AR84" s="60"/>
      <c r="AS84" s="60"/>
      <c r="AT84" s="60"/>
      <c r="AU84" s="60"/>
      <c r="AV84" s="60"/>
      <c r="AW84" s="60"/>
      <c r="AX84" s="60"/>
      <c r="AY84" s="60"/>
      <c r="AZ84" s="60"/>
      <c r="BA84" s="60"/>
      <c r="BB84" s="60"/>
      <c r="BC84" s="60"/>
      <c r="BD84" s="60"/>
      <c r="BE84" s="60"/>
      <c r="BF84" s="60"/>
      <c r="BG84" s="60"/>
      <c r="BH84" s="60"/>
      <c r="BI84" s="60"/>
    </row>
    <row r="85" spans="1:61" s="59" customFormat="1" ht="13" thickBot="1" x14ac:dyDescent="0.3">
      <c r="A85" s="53" t="s">
        <v>204</v>
      </c>
      <c r="B85" s="61"/>
    </row>
    <row r="86" spans="1:61" s="23" customFormat="1" ht="14" thickTop="1" thickBot="1" x14ac:dyDescent="0.35">
      <c r="A86" s="62" t="s">
        <v>153</v>
      </c>
    </row>
    <row r="87" spans="1:61" s="23" customFormat="1" ht="13.5" thickTop="1" x14ac:dyDescent="0.3">
      <c r="A87" s="50" t="s">
        <v>140</v>
      </c>
      <c r="B87" s="23">
        <f>+Base!B60</f>
        <v>818.98500000000001</v>
      </c>
      <c r="C87" s="23">
        <f>Base!$B65*B87/100+Base!$B66*B89/100+B113*5/3.666</f>
        <v>850.3976955953309</v>
      </c>
      <c r="D87" s="23">
        <f>Base!$B65*C87/100+Base!$B66*C89/100+C113*5/3.666</f>
        <v>857.87515354773302</v>
      </c>
      <c r="E87" s="23">
        <f>Base!$B65*D87/100+Base!$B66*D89/100+D113*5/3.666</f>
        <v>864.77171352799201</v>
      </c>
      <c r="F87" s="23">
        <f>Base!$B65*E87/100+Base!$B66*E89/100+E113*5/3.666</f>
        <v>870.44881305439128</v>
      </c>
      <c r="G87" s="23">
        <f>Base!$B65*F87/100+Base!$B66*F89/100+F113*5/3.666</f>
        <v>874.25551992741021</v>
      </c>
      <c r="H87" s="23">
        <f>Base!$B65*G87/100+Base!$B66*G89/100+G113*5/3.666</f>
        <v>875.52920744432913</v>
      </c>
      <c r="I87" s="23">
        <f>Base!$B65*H87/100+Base!$B66*H89/100+H113*5/3.666</f>
        <v>873.59891865944917</v>
      </c>
      <c r="J87" s="23">
        <f>Base!$B65*I87/100+Base!$B66*I89/100+I113*5/3.666</f>
        <v>867.78717009749789</v>
      </c>
      <c r="K87" s="23">
        <f>Base!$B65*J87/100+Base!$B66*J89/100+J113*5/3.666</f>
        <v>857.40582273757684</v>
      </c>
      <c r="L87" s="23">
        <f>Base!$B65*K87/100+Base!$B66*K89/100+K113*5/3.666</f>
        <v>845.74737622598047</v>
      </c>
      <c r="M87" s="23">
        <f>Base!$B65*L87/100+Base!$B66*L89/100+L113*5/3.666</f>
        <v>835.48693913469936</v>
      </c>
      <c r="N87" s="23">
        <f>Base!$B65*M87/100+Base!$B66*M89/100+M113*5/3.666</f>
        <v>826.4559548894357</v>
      </c>
      <c r="O87" s="23">
        <f>Base!$B65*N87/100+Base!$B66*N89/100+N113*5/3.666</f>
        <v>818.50548012703484</v>
      </c>
      <c r="P87" s="23">
        <f>Base!$B65*O87/100+Base!$B66*O89/100+O113*5/3.666</f>
        <v>811.50405388990885</v>
      </c>
      <c r="Q87" s="23">
        <f>Base!$B65*P87/100+Base!$B66*P89/100+P113*5/3.666</f>
        <v>805.33576523917361</v>
      </c>
      <c r="R87" s="23">
        <f>Base!$B65*Q87/100+Base!$B66*Q89/100+Q113*5/3.666</f>
        <v>799.89850854882138</v>
      </c>
      <c r="S87" s="23">
        <f>Base!$B65*R87/100+Base!$B66*R89/100+R113*5/3.666</f>
        <v>795.10241421173953</v>
      </c>
      <c r="T87" s="23">
        <f>Base!$B65*S87/100+Base!$B66*S89/100+S113*5/3.666</f>
        <v>790.86844173078441</v>
      </c>
      <c r="U87" s="23">
        <f>Base!$B65*T87/100+Base!$B66*T89/100+T113*5/3.666</f>
        <v>787.12712197021381</v>
      </c>
      <c r="V87" s="23">
        <f>Base!$B65*U87/100+Base!$B66*U89/100+U113*5/3.666</f>
        <v>783.81743554075365</v>
      </c>
      <c r="W87" s="23">
        <f>Base!$B65*V87/100+Base!$B66*V89/100+V113*5/3.666</f>
        <v>780.88581476095555</v>
      </c>
      <c r="X87" s="23">
        <f>Base!$B65*W87/100+Base!$B66*W89/100+W113*5/3.666</f>
        <v>778.2852572844929</v>
      </c>
      <c r="Y87" s="23">
        <f>Base!$B65*X87/100+Base!$B66*X89/100+X113*5/3.666</f>
        <v>775.97454023761441</v>
      </c>
      <c r="Z87" s="23">
        <f>Base!$B65*Y87/100+Base!$B66*Y89/100+Y113*5/3.666</f>
        <v>773.91752452147296</v>
      </c>
      <c r="AA87" s="23">
        <f>Base!$B65*Z87/100+Base!$B66*Z89/100+Z113*5/3.666</f>
        <v>772.08253976303024</v>
      </c>
      <c r="AB87" s="23">
        <f>Base!$B65*AA87/100+Base!$B66*AA89/100+AA113*5/3.666</f>
        <v>770.44184121901901</v>
      </c>
      <c r="AC87" s="23">
        <f>Base!$B65*AB87/100+Base!$B66*AB89/100+AB113*5/3.666</f>
        <v>768.97113073167236</v>
      </c>
      <c r="AD87" s="23">
        <f>Base!$B65*AC87/100+Base!$B66*AC89/100+AC113*5/3.666</f>
        <v>767.64913459038348</v>
      </c>
      <c r="AE87" s="23">
        <f>Base!$B65*AD87/100+Base!$B66*AD89/100+AD113*5/3.666</f>
        <v>766.4572318626748</v>
      </c>
      <c r="AF87" s="23">
        <f>Base!$B65*AE87/100+Base!$B66*AE89/100+AE113*5/3.666</f>
        <v>765.3791274167221</v>
      </c>
      <c r="AG87" s="23">
        <f>Base!$B65*AF87/100+Base!$B66*AF89/100+AF113*5/3.666</f>
        <v>764.40056446465132</v>
      </c>
      <c r="AH87" s="23">
        <f>Base!$B65*AG87/100+Base!$B66*AG89/100+AG113*5/3.666</f>
        <v>763.509072011135</v>
      </c>
      <c r="AI87" s="23">
        <f>Base!$B65*AH87/100+Base!$B66*AH89/100+AH113*5/3.666</f>
        <v>762.69374309690943</v>
      </c>
      <c r="AJ87" s="23">
        <f>Base!$B65*AI87/100+Base!$B66*AI89/100+AI113*5/3.666</f>
        <v>761.94504018405439</v>
      </c>
      <c r="AK87" s="23">
        <f>Base!$B65*AJ87/100+Base!$B66*AJ89/100+AJ113*5/3.666</f>
        <v>761.25462444201401</v>
      </c>
      <c r="AL87" s="23">
        <f>Base!$B65*AK87/100+Base!$B66*AK89/100+AK113*5/3.666</f>
        <v>760.6152060635319</v>
      </c>
      <c r="AM87" s="23">
        <f>Base!$B65*AL87/100+Base!$B66*AL89/100+AL113*5/3.666</f>
        <v>760.02041307116508</v>
      </c>
      <c r="AN87" s="23">
        <f>Base!$B65*AM87/100+Base!$B66*AM89/100+AM113*5/3.666</f>
        <v>759.46467637107992</v>
      </c>
      <c r="AO87" s="23">
        <f>Base!$B65*AN87/100+Base!$B66*AN89/100+AN113*5/3.666</f>
        <v>758.94312907457754</v>
      </c>
      <c r="AP87" s="23">
        <f>Base!$B65*AO87/100+Base!$B66*AO89/100+AO113*5/3.666</f>
        <v>758.45151834231183</v>
      </c>
      <c r="AQ87" s="23">
        <f>Base!$B65*AP87/100+Base!$B66*AP89/100+AP113*5/3.666</f>
        <v>757.98612821427184</v>
      </c>
      <c r="AR87" s="23">
        <f>Base!$B65*AQ87/100+Base!$B66*AQ89/100+AQ113*5/3.666</f>
        <v>757.54371207300426</v>
      </c>
      <c r="AS87" s="23">
        <f>Base!$B65*AR87/100+Base!$B66*AR89/100+AR113*5/3.666</f>
        <v>757.12143355070748</v>
      </c>
      <c r="AT87" s="23">
        <f>Base!$B65*AS87/100+Base!$B66*AS89/100+AS113*5/3.666</f>
        <v>756.7168148349889</v>
      </c>
      <c r="AU87" s="23">
        <f>Base!$B65*AT87/100+Base!$B66*AT89/100+AT113*5/3.666</f>
        <v>756.32769145532654</v>
      </c>
      <c r="AV87" s="23">
        <f>Base!$B65*AU87/100+Base!$B66*AU89/100+AU113*5/3.666</f>
        <v>755.95217274446281</v>
      </c>
      <c r="AW87" s="23">
        <f>Base!$B65*AV87/100+Base!$B66*AV89/100+AV113*5/3.666</f>
        <v>755.58860726778767</v>
      </c>
      <c r="AX87" s="23">
        <f>Base!$B65*AW87/100+Base!$B66*AW89/100+AW113*5/3.666</f>
        <v>755.23555260075625</v>
      </c>
      <c r="AY87" s="23">
        <f>Base!$B65*AX87/100+Base!$B66*AX89/100+AX113*5/3.666</f>
        <v>754.89174891087998</v>
      </c>
      <c r="AZ87" s="23">
        <f>Base!$B65*AY87/100+Base!$B66*AY89/100+AY113*5/3.666</f>
        <v>754.55609586807554</v>
      </c>
      <c r="BA87" s="23">
        <f>Base!$B65*AZ87/100+Base!$B66*AZ89/100+AZ113*5/3.666</f>
        <v>754.22763246621059</v>
      </c>
      <c r="BB87" s="23">
        <f>Base!$B65*BA87/100+Base!$B66*BA89/100+BA113*5/3.666</f>
        <v>753.90551939053307</v>
      </c>
      <c r="BC87" s="23">
        <f>Base!$B65*BB87/100+Base!$B66*BB89/100+BB113*5/3.666</f>
        <v>753.58902361116145</v>
      </c>
      <c r="BD87" s="23">
        <f>Base!$B65*BC87/100+Base!$B66*BC89/100+BC113*5/3.666</f>
        <v>753.27750492271139</v>
      </c>
      <c r="BE87" s="23">
        <f>Base!$B65*BD87/100+Base!$B66*BD89/100+BD113*5/3.666</f>
        <v>752.97040418511074</v>
      </c>
      <c r="BF87" s="23">
        <f>Base!$B65*BE87/100+Base!$B66*BE89/100+BE113*5/3.666</f>
        <v>752.66723305130768</v>
      </c>
      <c r="BG87" s="23">
        <f>Base!$B65*BF87/100+Base!$B66*BF89/100+BF113*5/3.666</f>
        <v>752.36756499442561</v>
      </c>
      <c r="BH87" s="23">
        <f>Base!$B65*BG87/100+Base!$B66*BG89/100+BG113*5/3.666</f>
        <v>779.76975459963944</v>
      </c>
      <c r="BI87" s="23">
        <f>Base!$B65*BH87/100+Base!$B66*BH89/100+BH113*5/3.666</f>
        <v>860.96167801787328</v>
      </c>
    </row>
    <row r="88" spans="1:61" s="23" customFormat="1" ht="13" x14ac:dyDescent="0.3">
      <c r="A88" s="50" t="s">
        <v>60</v>
      </c>
      <c r="B88" s="23">
        <f t="shared" ref="B88:BI88" si="8">+B87/2.13</f>
        <v>384.5</v>
      </c>
      <c r="C88" s="23">
        <f t="shared" si="8"/>
        <v>399.24774441095349</v>
      </c>
      <c r="D88" s="23">
        <f t="shared" si="8"/>
        <v>402.75828805057893</v>
      </c>
      <c r="E88" s="23">
        <f t="shared" si="8"/>
        <v>405.99610963755498</v>
      </c>
      <c r="F88" s="23">
        <f t="shared" si="8"/>
        <v>408.66141457952642</v>
      </c>
      <c r="G88" s="23">
        <f t="shared" si="8"/>
        <v>410.44860090488743</v>
      </c>
      <c r="H88" s="23">
        <f t="shared" si="8"/>
        <v>411.04657626494327</v>
      </c>
      <c r="I88" s="23">
        <f t="shared" si="8"/>
        <v>410.14033739880244</v>
      </c>
      <c r="J88" s="23">
        <f t="shared" si="8"/>
        <v>407.4118169471821</v>
      </c>
      <c r="K88" s="23">
        <f t="shared" si="8"/>
        <v>402.53794494721922</v>
      </c>
      <c r="L88" s="23">
        <f t="shared" si="8"/>
        <v>397.06449588074202</v>
      </c>
      <c r="M88" s="23">
        <f t="shared" si="8"/>
        <v>392.24738926511708</v>
      </c>
      <c r="N88" s="23">
        <f t="shared" si="8"/>
        <v>388.00749055842056</v>
      </c>
      <c r="O88" s="23">
        <f t="shared" si="8"/>
        <v>384.2748732990774</v>
      </c>
      <c r="P88" s="23">
        <f t="shared" si="8"/>
        <v>380.98781872765676</v>
      </c>
      <c r="Q88" s="23">
        <f t="shared" si="8"/>
        <v>378.09190856299233</v>
      </c>
      <c r="R88" s="23">
        <f t="shared" si="8"/>
        <v>375.53920589146543</v>
      </c>
      <c r="S88" s="23">
        <f t="shared" si="8"/>
        <v>373.28751840926742</v>
      </c>
      <c r="T88" s="23">
        <f t="shared" si="8"/>
        <v>371.29973790177672</v>
      </c>
      <c r="U88" s="23">
        <f t="shared" si="8"/>
        <v>369.54324975127412</v>
      </c>
      <c r="V88" s="23">
        <f t="shared" si="8"/>
        <v>367.98940635716133</v>
      </c>
      <c r="W88" s="23">
        <f t="shared" si="8"/>
        <v>366.61305857321861</v>
      </c>
      <c r="X88" s="23">
        <f t="shared" si="8"/>
        <v>365.3921395701845</v>
      </c>
      <c r="Y88" s="23">
        <f t="shared" si="8"/>
        <v>364.30729588620397</v>
      </c>
      <c r="Z88" s="23">
        <f t="shared" si="8"/>
        <v>363.34156080820327</v>
      </c>
      <c r="AA88" s="23">
        <f t="shared" si="8"/>
        <v>362.48006561644615</v>
      </c>
      <c r="AB88" s="23">
        <f t="shared" si="8"/>
        <v>361.70978460986811</v>
      </c>
      <c r="AC88" s="23">
        <f t="shared" si="8"/>
        <v>361.01931020266312</v>
      </c>
      <c r="AD88" s="23">
        <f t="shared" si="8"/>
        <v>360.39865473726928</v>
      </c>
      <c r="AE88" s="23">
        <f t="shared" si="8"/>
        <v>359.83907599186614</v>
      </c>
      <c r="AF88" s="23">
        <f t="shared" si="8"/>
        <v>359.33292366982261</v>
      </c>
      <c r="AG88" s="23">
        <f t="shared" si="8"/>
        <v>358.87350444349829</v>
      </c>
      <c r="AH88" s="23">
        <f t="shared" si="8"/>
        <v>358.45496338550942</v>
      </c>
      <c r="AI88" s="23">
        <f t="shared" si="8"/>
        <v>358.07217985770399</v>
      </c>
      <c r="AJ88" s="23">
        <f t="shared" si="8"/>
        <v>357.72067614274857</v>
      </c>
      <c r="AK88" s="23">
        <f t="shared" si="8"/>
        <v>357.39653729672023</v>
      </c>
      <c r="AL88" s="23">
        <f t="shared" si="8"/>
        <v>357.09634087489763</v>
      </c>
      <c r="AM88" s="23">
        <f t="shared" si="8"/>
        <v>356.8170953385752</v>
      </c>
      <c r="AN88" s="23">
        <f t="shared" si="8"/>
        <v>356.55618608970889</v>
      </c>
      <c r="AO88" s="23">
        <f t="shared" si="8"/>
        <v>356.31132820402701</v>
      </c>
      <c r="AP88" s="23">
        <f t="shared" si="8"/>
        <v>356.08052504333892</v>
      </c>
      <c r="AQ88" s="23">
        <f t="shared" si="8"/>
        <v>355.86203202547978</v>
      </c>
      <c r="AR88" s="23">
        <f t="shared" si="8"/>
        <v>355.65432491690342</v>
      </c>
      <c r="AS88" s="23">
        <f t="shared" si="8"/>
        <v>355.45607208953402</v>
      </c>
      <c r="AT88" s="23">
        <f t="shared" si="8"/>
        <v>355.26611025116853</v>
      </c>
      <c r="AU88" s="23">
        <f t="shared" si="8"/>
        <v>355.08342321846317</v>
      </c>
      <c r="AV88" s="23">
        <f t="shared" si="8"/>
        <v>354.9071233542079</v>
      </c>
      <c r="AW88" s="23">
        <f t="shared" si="8"/>
        <v>354.73643533698953</v>
      </c>
      <c r="AX88" s="23">
        <f t="shared" si="8"/>
        <v>354.57068197218604</v>
      </c>
      <c r="AY88" s="23">
        <f t="shared" si="8"/>
        <v>354.40927178914558</v>
      </c>
      <c r="AZ88" s="23">
        <f t="shared" si="8"/>
        <v>354.25168820097446</v>
      </c>
      <c r="BA88" s="23">
        <f t="shared" si="8"/>
        <v>354.09748003108479</v>
      </c>
      <c r="BB88" s="23">
        <f t="shared" si="8"/>
        <v>353.94625323499207</v>
      </c>
      <c r="BC88" s="23">
        <f t="shared" si="8"/>
        <v>353.79766366721196</v>
      </c>
      <c r="BD88" s="23">
        <f t="shared" si="8"/>
        <v>353.65141076183636</v>
      </c>
      <c r="BE88" s="23">
        <f t="shared" si="8"/>
        <v>353.50723201178909</v>
      </c>
      <c r="BF88" s="23">
        <f t="shared" si="8"/>
        <v>353.36489814615385</v>
      </c>
      <c r="BG88" s="23">
        <f t="shared" si="8"/>
        <v>353.22420891757071</v>
      </c>
      <c r="BH88" s="23">
        <f t="shared" si="8"/>
        <v>366.08908666649739</v>
      </c>
      <c r="BI88" s="23">
        <f t="shared" si="8"/>
        <v>404.20736057177152</v>
      </c>
    </row>
    <row r="89" spans="1:61" s="23" customFormat="1" ht="26" x14ac:dyDescent="0.3">
      <c r="A89" s="50" t="s">
        <v>1</v>
      </c>
      <c r="B89" s="23">
        <f>Base!B62</f>
        <v>1527</v>
      </c>
      <c r="C89" s="23">
        <f>B87* Base!$B67/100+B89* Base!$B68/100+B90* Base!$B69/100</f>
        <v>1540.1033416666669</v>
      </c>
      <c r="D89" s="23">
        <f>C87* Base!$B67/100+C89* Base!$B68/100+C90* Base!$B69/100</f>
        <v>1555.4361538694288</v>
      </c>
      <c r="E89" s="23">
        <f>D87* Base!$B67/100+D89* Base!$B68/100+D90* Base!$B69/100</f>
        <v>1570.8011198968345</v>
      </c>
      <c r="F89" s="23">
        <f>E87* Base!$B67/100+E89* Base!$B68/100+E90* Base!$B69/100</f>
        <v>1586.1458208057277</v>
      </c>
      <c r="G89" s="23">
        <f>F87* Base!$B67/100+F89* Base!$B68/100+F90* Base!$B69/100</f>
        <v>1601.3637843845497</v>
      </c>
      <c r="H89" s="23">
        <f>G87* Base!$B67/100+G89* Base!$B68/100+G90* Base!$B69/100</f>
        <v>1616.2956035088246</v>
      </c>
      <c r="I89" s="23">
        <f>H87* Base!$B67/100+H89* Base!$B68/100+H90* Base!$B69/100</f>
        <v>1630.7300682087268</v>
      </c>
      <c r="J89" s="23">
        <f>I87* Base!$B67/100+I89* Base!$B68/100+I90* Base!$B69/100</f>
        <v>1644.4055475258544</v>
      </c>
      <c r="K89" s="23">
        <f>J87* Base!$B67/100+J89* Base!$B68/100+J90* Base!$B69/100</f>
        <v>1657.0114736334415</v>
      </c>
      <c r="L89" s="23">
        <f>K87* Base!$B67/100+K89* Base!$B68/100+K90* Base!$B69/100</f>
        <v>1668.189401965695</v>
      </c>
      <c r="M89" s="23">
        <f>L87* Base!$B67/100+L89* Base!$B68/100+L90* Base!$B69/100</f>
        <v>1677.8852619127429</v>
      </c>
      <c r="N89" s="23">
        <f>M87* Base!$B67/100+M89* Base!$B68/100+M90* Base!$B69/100</f>
        <v>1686.2825988535358</v>
      </c>
      <c r="O89" s="23">
        <f>N87* Base!$B67/100+N89* Base!$B68/100+N90* Base!$B69/100</f>
        <v>1693.542629980954</v>
      </c>
      <c r="P89" s="23">
        <f>O87* Base!$B67/100+O89* Base!$B68/100+O90* Base!$B69/100</f>
        <v>1699.8068820547053</v>
      </c>
      <c r="Q89" s="23">
        <f>P87* Base!$B67/100+P89* Base!$B68/100+P90* Base!$B69/100</f>
        <v>1705.1995339279219</v>
      </c>
      <c r="R89" s="23">
        <f>Q87* Base!$B67/100+Q89* Base!$B68/100+Q90* Base!$B69/100</f>
        <v>1709.8294933642931</v>
      </c>
      <c r="S89" s="23">
        <f>R87* Base!$B67/100+R89* Base!$B68/100+R90* Base!$B69/100</f>
        <v>1713.7922355122726</v>
      </c>
      <c r="T89" s="23">
        <f>S87* Base!$B67/100+S89* Base!$B68/100+S90* Base!$B69/100</f>
        <v>1717.1714282056362</v>
      </c>
      <c r="U89" s="23">
        <f>T87* Base!$B67/100+T89* Base!$B68/100+T90* Base!$B69/100</f>
        <v>1720.0403670854737</v>
      </c>
      <c r="V89" s="23">
        <f>U87* Base!$B67/100+U89* Base!$B68/100+U90* Base!$B69/100</f>
        <v>1722.4632414358796</v>
      </c>
      <c r="W89" s="23">
        <f>V87* Base!$B67/100+V89* Base!$B68/100+V90* Base!$B69/100</f>
        <v>1724.4962496260891</v>
      </c>
      <c r="X89" s="23">
        <f>W87* Base!$B67/100+W89* Base!$B68/100+W90* Base!$B69/100</f>
        <v>1726.1885811752484</v>
      </c>
      <c r="Y89" s="23">
        <f>X87* Base!$B67/100+X89* Base!$B68/100+X90* Base!$B69/100</f>
        <v>1727.5832807130105</v>
      </c>
      <c r="Z89" s="23">
        <f>Y87* Base!$B67/100+Y89* Base!$B68/100+Y90* Base!$B69/100</f>
        <v>1728.7180075037479</v>
      </c>
      <c r="AA89" s="23">
        <f>Z87* Base!$B67/100+Z89* Base!$B68/100+Z90* Base!$B69/100</f>
        <v>1729.6257027336403</v>
      </c>
      <c r="AB89" s="23">
        <f>AA87* Base!$B67/100+AA89* Base!$B68/100+AA90* Base!$B69/100</f>
        <v>1730.3351754242967</v>
      </c>
      <c r="AC89" s="23">
        <f>AB87* Base!$B67/100+AB89* Base!$B68/100+AB90* Base!$B69/100</f>
        <v>1730.8716166277311</v>
      </c>
      <c r="AD89" s="23">
        <f>AC87* Base!$B67/100+AC89* Base!$B68/100+AC90* Base!$B69/100</f>
        <v>1731.2570504679368</v>
      </c>
      <c r="AE89" s="23">
        <f>AD87* Base!$B67/100+AD89* Base!$B68/100+AD90* Base!$B69/100</f>
        <v>1731.5107296157023</v>
      </c>
      <c r="AF89" s="23">
        <f>AE87* Base!$B67/100+AE89* Base!$B68/100+AE90* Base!$B69/100</f>
        <v>1731.6494819070724</v>
      </c>
      <c r="AG89" s="23">
        <f>AF87* Base!$B67/100+AF89* Base!$B68/100+AF90* Base!$B69/100</f>
        <v>1731.6880140334008</v>
      </c>
      <c r="AH89" s="23">
        <f>AG87* Base!$B67/100+AG89* Base!$B68/100+AG90* Base!$B69/100</f>
        <v>1731.6391775338363</v>
      </c>
      <c r="AI89" s="23">
        <f>AH87* Base!$B67/100+AH89* Base!$B68/100+AH90* Base!$B69/100</f>
        <v>1731.5142017013104</v>
      </c>
      <c r="AJ89" s="23">
        <f>AI87* Base!$B67/100+AI89* Base!$B68/100+AI90* Base!$B69/100</f>
        <v>1731.3228974630943</v>
      </c>
      <c r="AK89" s="23">
        <f>AJ87* Base!$B67/100+AJ89* Base!$B68/100+AJ90* Base!$B69/100</f>
        <v>1731.0738358096701</v>
      </c>
      <c r="AL89" s="23">
        <f>AK87* Base!$B67/100+AK89* Base!$B68/100+AK90* Base!$B69/100</f>
        <v>1730.7745039145207</v>
      </c>
      <c r="AM89" s="23">
        <f>AL87* Base!$B67/100+AL89* Base!$B68/100+AL90* Base!$B69/100</f>
        <v>1730.4314417064732</v>
      </c>
      <c r="AN89" s="23">
        <f>AM87* Base!$B67/100+AM89* Base!$B68/100+AM90* Base!$B69/100</f>
        <v>1730.050361320004</v>
      </c>
      <c r="AO89" s="23">
        <f>AN87* Base!$B67/100+AN89* Base!$B68/100+AN90* Base!$B69/100</f>
        <v>1729.6362515524531</v>
      </c>
      <c r="AP89" s="23">
        <f>AO87* Base!$B67/100+AO89* Base!$B68/100+AO90* Base!$B69/100</f>
        <v>1729.1934691959582</v>
      </c>
      <c r="AQ89" s="23">
        <f>AP87* Base!$B67/100+AP89* Base!$B68/100+AP90* Base!$B69/100</f>
        <v>1728.7258188820877</v>
      </c>
      <c r="AR89" s="23">
        <f>AQ87* Base!$B67/100+AQ89* Base!$B68/100+AQ90* Base!$B69/100</f>
        <v>1728.2366228750116</v>
      </c>
      <c r="AS89" s="23">
        <f>AR87* Base!$B67/100+AR89* Base!$B68/100+AR90* Base!$B69/100</f>
        <v>1727.7287820713893</v>
      </c>
      <c r="AT89" s="23">
        <f>AS87* Base!$B67/100+AS89* Base!$B68/100+AS90* Base!$B69/100</f>
        <v>1727.2048293091154</v>
      </c>
      <c r="AU89" s="23">
        <f>AT87* Base!$B67/100+AT89* Base!$B68/100+AT90* Base!$B69/100</f>
        <v>1726.6669759500808</v>
      </c>
      <c r="AV89" s="23">
        <f>AU87* Base!$B67/100+AU89* Base!$B68/100+AU90* Base!$B69/100</f>
        <v>1726.1171525819079</v>
      </c>
      <c r="AW89" s="23">
        <f>AV87* Base!$B67/100+AV89* Base!$B68/100+AV90* Base!$B69/100</f>
        <v>1725.5570445782087</v>
      </c>
      <c r="AX89" s="23">
        <f>AW87* Base!$B67/100+AW89* Base!$B68/100+AW90* Base!$B69/100</f>
        <v>1724.9881231645068</v>
      </c>
      <c r="AY89" s="23">
        <f>AX87* Base!$B67/100+AX89* Base!$B68/100+AX90* Base!$B69/100</f>
        <v>1724.411672555977</v>
      </c>
      <c r="AZ89" s="23">
        <f>AY87* Base!$B67/100+AY89* Base!$B68/100+AY90* Base!$B69/100</f>
        <v>1723.8288136622152</v>
      </c>
      <c r="BA89" s="23">
        <f>AZ87* Base!$B67/100+AZ89* Base!$B68/100+AZ90* Base!$B69/100</f>
        <v>1723.2405247921208</v>
      </c>
      <c r="BB89" s="23">
        <f>BA87* Base!$B67/100+BA89* Base!$B68/100+BA90* Base!$B69/100</f>
        <v>1722.6476597375818</v>
      </c>
      <c r="BC89" s="23">
        <f>BB87* Base!$B67/100+BB89* Base!$B68/100+BB90* Base!$B69/100</f>
        <v>1722.0509635670321</v>
      </c>
      <c r="BD89" s="23">
        <f>BC87* Base!$B67/100+BC89* Base!$B68/100+BC90* Base!$B69/100</f>
        <v>1721.4510864183028</v>
      </c>
      <c r="BE89" s="23">
        <f>BD87* Base!$B67/100+BD89* Base!$B68/100+BD90* Base!$B69/100</f>
        <v>1720.8485955437163</v>
      </c>
      <c r="BF89" s="23">
        <f>BE87* Base!$B67/100+BE89* Base!$B68/100+BE90* Base!$B69/100</f>
        <v>1720.2439858285088</v>
      </c>
      <c r="BG89" s="23">
        <f>BF87* Base!$B67/100+BF89* Base!$B68/100+BF90* Base!$B69/100</f>
        <v>1719.6376889757612</v>
      </c>
      <c r="BH89" s="23">
        <f>BG87* Base!$B67/100+BG89* Base!$B68/100+BG90* Base!$B69/100</f>
        <v>1719.0300815266512</v>
      </c>
      <c r="BI89" s="23">
        <f>BH87* Base!$B67/100+BH89* Base!$B68/100+BH90* Base!$B69/100</f>
        <v>1720.8589798508776</v>
      </c>
    </row>
    <row r="90" spans="1:61" s="23" customFormat="1" ht="13" x14ac:dyDescent="0.3">
      <c r="A90" s="50" t="s">
        <v>2</v>
      </c>
      <c r="B90" s="23">
        <f xml:space="preserve"> Base!B63</f>
        <v>10010</v>
      </c>
      <c r="C90" s="23">
        <f>( Base!$B70/100)*B89+( Base!$B71/100)*B90</f>
        <v>10010.439124999999</v>
      </c>
      <c r="D90" s="23">
        <f>( Base!$B70/100)*C89+( Base!$B71/100)*C90</f>
        <v>10010.910860149479</v>
      </c>
      <c r="E90" s="23">
        <f>( Base!$B70/100)*D89+( Base!$B71/100)*D90</f>
        <v>10011.420768118851</v>
      </c>
      <c r="F90" s="23">
        <f>( Base!$B70/100)*E89+( Base!$B71/100)*E90</f>
        <v>10011.968916409354</v>
      </c>
      <c r="G90" s="23">
        <f>( Base!$B70/100)*F89+( Base!$B71/100)*F90</f>
        <v>10012.555241452081</v>
      </c>
      <c r="H90" s="23">
        <f>( Base!$B70/100)*G89+( Base!$B71/100)*G90</f>
        <v>10013.179413519052</v>
      </c>
      <c r="I90" s="23">
        <f>( Base!$B70/100)*H89+( Base!$B71/100)*H90</f>
        <v>10013.840704475761</v>
      </c>
      <c r="J90" s="23">
        <f>( Base!$B70/100)*I89+( Base!$B71/100)*I90</f>
        <v>10014.537858408521</v>
      </c>
      <c r="K90" s="23">
        <f>( Base!$B70/100)*J89+( Base!$B71/100)*J90</f>
        <v>10015.268965750123</v>
      </c>
      <c r="L90" s="23">
        <f>( Base!$B70/100)*K89+( Base!$B71/100)*K90</f>
        <v>10016.031341158267</v>
      </c>
      <c r="M90" s="23">
        <f>( Base!$B70/100)*L89+( Base!$B71/100)*L90</f>
        <v>10016.821404085538</v>
      </c>
      <c r="N90" s="23">
        <f>( Base!$B70/100)*M89+( Base!$B71/100)*M90</f>
        <v>10017.635440016442</v>
      </c>
      <c r="O90" s="23">
        <f>( Base!$B70/100)*N89+( Base!$B71/100)*N90</f>
        <v>10018.47019455257</v>
      </c>
      <c r="P90" s="23">
        <f>( Base!$B70/100)*O89+( Base!$B71/100)*O90</f>
        <v>10019.322817436861</v>
      </c>
      <c r="Q90" s="23">
        <f>( Base!$B70/100)*P89+( Base!$B71/100)*P90</f>
        <v>10020.190813191113</v>
      </c>
      <c r="R90" s="23">
        <f>( Base!$B70/100)*Q89+( Base!$B71/100)*Q90</f>
        <v>10021.071997626481</v>
      </c>
      <c r="S90" s="23">
        <f>( Base!$B70/100)*R89+( Base!$B71/100)*R90</f>
        <v>10021.964459560691</v>
      </c>
      <c r="T90" s="23">
        <f>( Base!$B70/100)*S89+( Base!$B71/100)*S90</f>
        <v>10022.86652714437</v>
      </c>
      <c r="U90" s="23">
        <f>( Base!$B70/100)*T89+( Base!$B71/100)*T90</f>
        <v>10023.776738261973</v>
      </c>
      <c r="V90" s="23">
        <f>( Base!$B70/100)*U89+( Base!$B71/100)*U90</f>
        <v>10024.693814530523</v>
      </c>
      <c r="W90" s="23">
        <f>( Base!$B70/100)*V89+( Base!$B71/100)*V90</f>
        <v>10025.616638471709</v>
      </c>
      <c r="X90" s="23">
        <f>( Base!$B70/100)*W89+( Base!$B71/100)*W90</f>
        <v>10026.54423348029</v>
      </c>
      <c r="Y90" s="23">
        <f>( Base!$B70/100)*X89+( Base!$B71/100)*X90</f>
        <v>10027.475746254428</v>
      </c>
      <c r="Z90" s="23">
        <f>( Base!$B70/100)*Y89+( Base!$B71/100)*Y90</f>
        <v>10028.410431391849</v>
      </c>
      <c r="AA90" s="23">
        <f>( Base!$B70/100)*Z89+( Base!$B71/100)*Z90</f>
        <v>10029.347637890014</v>
      </c>
      <c r="AB90" s="23">
        <f>( Base!$B70/100)*AA89+( Base!$B71/100)*AA90</f>
        <v>10030.28679731906</v>
      </c>
      <c r="AC90" s="23">
        <f>( Base!$B70/100)*AB89+( Base!$B71/100)*AB90</f>
        <v>10031.227413463526</v>
      </c>
      <c r="AD90" s="23">
        <f>( Base!$B70/100)*AC89+( Base!$B71/100)*AC90</f>
        <v>10032.169053253052</v>
      </c>
      <c r="AE90" s="23">
        <f>( Base!$B70/100)*AD89+( Base!$B71/100)*AD90</f>
        <v>10033.111338823748</v>
      </c>
      <c r="AF90" s="23">
        <f>( Base!$B70/100)*AE89+( Base!$B71/100)*AE90</f>
        <v>10034.053940570933</v>
      </c>
      <c r="AG90" s="23">
        <f>( Base!$B70/100)*AF89+( Base!$B71/100)*AF90</f>
        <v>10034.996571070758</v>
      </c>
      <c r="AH90" s="23">
        <f>( Base!$B70/100)*AG89+( Base!$B71/100)*AG90</f>
        <v>10035.938979763107</v>
      </c>
      <c r="AI90" s="23">
        <f>( Base!$B70/100)*AH89+( Base!$B71/100)*AH90</f>
        <v>10036.880948301272</v>
      </c>
      <c r="AJ90" s="23">
        <f>( Base!$B70/100)*AI89+( Base!$B71/100)*AI90</f>
        <v>10037.822286485472</v>
      </c>
      <c r="AK90" s="23">
        <f>( Base!$B70/100)*AJ89+( Base!$B71/100)*AJ90</f>
        <v>10038.76282870744</v>
      </c>
      <c r="AL90" s="23">
        <f>( Base!$B70/100)*AK89+( Base!$B71/100)*AK90</f>
        <v>10039.702430842275</v>
      </c>
      <c r="AM90" s="23">
        <f>( Base!$B70/100)*AL89+( Base!$B71/100)*AL90</f>
        <v>10040.640967531652</v>
      </c>
      <c r="AN90" s="23">
        <f>( Base!$B70/100)*AM89+( Base!$B71/100)*AM90</f>
        <v>10041.578329809376</v>
      </c>
      <c r="AO90" s="23">
        <f>( Base!$B70/100)*AN89+( Base!$B71/100)*AN90</f>
        <v>10042.514423026365</v>
      </c>
      <c r="AP90" s="23">
        <f>( Base!$B70/100)*AO89+( Base!$B71/100)*AO90</f>
        <v>10043.449165037475</v>
      </c>
      <c r="AQ90" s="23">
        <f>( Base!$B70/100)*AP89+( Base!$B71/100)*AP90</f>
        <v>10044.382484617265</v>
      </c>
      <c r="AR90" s="23">
        <f>( Base!$B70/100)*AQ89+( Base!$B71/100)*AQ90</f>
        <v>10045.314320075911</v>
      </c>
      <c r="AS90" s="23">
        <f>( Base!$B70/100)*AR89+( Base!$B71/100)*AR90</f>
        <v>10046.244618050074</v>
      </c>
      <c r="AT90" s="23">
        <f>( Base!$B70/100)*AS89+( Base!$B71/100)*AS90</f>
        <v>10047.17333244666</v>
      </c>
      <c r="AU90" s="23">
        <f>( Base!$B70/100)*AT89+( Base!$B71/100)*AT90</f>
        <v>10048.100423520233</v>
      </c>
      <c r="AV90" s="23">
        <f>( Base!$B70/100)*AU89+( Base!$B71/100)*AU90</f>
        <v>10049.025857067169</v>
      </c>
      <c r="AW90" s="23">
        <f>( Base!$B70/100)*AV89+( Base!$B71/100)*AV90</f>
        <v>10049.949603721863</v>
      </c>
      <c r="AX90" s="23">
        <f>( Base!$B70/100)*AW89+( Base!$B71/100)*AW90</f>
        <v>10050.871638342054</v>
      </c>
      <c r="AY90" s="23">
        <f>( Base!$B70/100)*AX89+( Base!$B71/100)*AX90</f>
        <v>10051.791939472027</v>
      </c>
      <c r="AZ90" s="23">
        <f>( Base!$B70/100)*AY89+( Base!$B71/100)*AY90</f>
        <v>10052.710488873845</v>
      </c>
      <c r="BA90" s="23">
        <f>( Base!$B70/100)*AZ89+( Base!$B71/100)*AZ90</f>
        <v>10053.627271118005</v>
      </c>
      <c r="BB90" s="23">
        <f>( Base!$B70/100)*BA89+( Base!$B71/100)*BA90</f>
        <v>10054.542273225983</v>
      </c>
      <c r="BC90" s="23">
        <f>( Base!$B70/100)*BB89+( Base!$B71/100)*BB90</f>
        <v>10055.455484358114</v>
      </c>
      <c r="BD90" s="23">
        <f>( Base!$B70/100)*BC89+( Base!$B71/100)*BC90</f>
        <v>10056.366895541061</v>
      </c>
      <c r="BE90" s="23">
        <f>( Base!$B70/100)*BD89+( Base!$B71/100)*BD90</f>
        <v>10057.276499429863</v>
      </c>
      <c r="BF90" s="23">
        <f>( Base!$B70/100)*BE89+( Base!$B71/100)*BE90</f>
        <v>10058.184290100166</v>
      </c>
      <c r="BG90" s="23">
        <f>( Base!$B70/100)*BF89+( Base!$B71/100)*BF90</f>
        <v>10059.090262866828</v>
      </c>
      <c r="BH90" s="23">
        <f>( Base!$B70/100)*BG89+( Base!$B71/100)*BG90</f>
        <v>10059.994414125549</v>
      </c>
      <c r="BI90" s="23">
        <f>( Base!$B70/100)*BH89+( Base!$B71/100)*BH90</f>
        <v>10060.896741214598</v>
      </c>
    </row>
    <row r="91" spans="1:61" s="23" customFormat="1" ht="13.5" thickBot="1" x14ac:dyDescent="0.35">
      <c r="A91" s="62" t="s">
        <v>234</v>
      </c>
    </row>
    <row r="92" spans="1:61" s="23" customFormat="1" ht="13.5" thickTop="1" x14ac:dyDescent="0.3">
      <c r="A92" s="50" t="s">
        <v>6</v>
      </c>
      <c r="B92" s="23">
        <f>+Base!B92</f>
        <v>90</v>
      </c>
      <c r="C92" s="23">
        <f>+Parameters!C89+B114*5/3.666+B92</f>
        <v>132.85516226199755</v>
      </c>
      <c r="D92" s="23">
        <f>+Parameters!D89+C114*5/3.666+C92</f>
        <v>154.45716756664066</v>
      </c>
      <c r="E92" s="23">
        <f>+Parameters!E89+D114*5/3.666+D92</f>
        <v>175.88460154367812</v>
      </c>
      <c r="F92" s="23">
        <f>+Parameters!F89+E114*5/3.666+E92</f>
        <v>196.37935026947255</v>
      </c>
      <c r="G92" s="23">
        <f>+Parameters!G89+F114*5/3.666+F92</f>
        <v>215.13018576403971</v>
      </c>
      <c r="H92" s="23">
        <f>+Parameters!H89+G114*5/3.666+G92</f>
        <v>231.27173647220462</v>
      </c>
      <c r="I92" s="23">
        <f>+Parameters!I89+H114*5/3.666+H92</f>
        <v>243.88670094393618</v>
      </c>
      <c r="J92" s="23">
        <f>+Parameters!J89+I114*5/3.666+I92</f>
        <v>252.00718371187386</v>
      </c>
      <c r="K92" s="23">
        <f>+Parameters!K89+J114*5/3.666+J92</f>
        <v>254.61054826514157</v>
      </c>
      <c r="L92" s="23">
        <f>+Parameters!L89+K114*5/3.666+K92</f>
        <v>254.61054826514157</v>
      </c>
      <c r="M92" s="23">
        <f>+Parameters!M89+L114*5/3.666+L92</f>
        <v>254.61054826514157</v>
      </c>
      <c r="N92" s="23">
        <f>+Parameters!N89+M114*5/3.666+M92</f>
        <v>254.6105482651416</v>
      </c>
      <c r="O92" s="23">
        <f>+Parameters!O89+N114*5/3.666+N92</f>
        <v>254.6105482651416</v>
      </c>
      <c r="P92" s="23">
        <f>+Parameters!P89+O114*5/3.666+O92</f>
        <v>254.6105482651416</v>
      </c>
      <c r="Q92" s="23">
        <f>+Parameters!Q89+P114*5/3.666+P92</f>
        <v>254.61054826514166</v>
      </c>
      <c r="R92" s="23">
        <f>+Parameters!R89+Q114*5/3.666+Q92</f>
        <v>254.61054826514166</v>
      </c>
      <c r="S92" s="23">
        <f>+Parameters!S89+R114*5/3.666+R92</f>
        <v>254.61054826514166</v>
      </c>
      <c r="T92" s="23">
        <f>+Parameters!T89+S114*5/3.666+S92</f>
        <v>254.6105482651418</v>
      </c>
      <c r="U92" s="23">
        <f>+Parameters!U89+T114*5/3.666+T92</f>
        <v>254.61054826514189</v>
      </c>
      <c r="V92" s="23">
        <f>+Parameters!V89+U114*5/3.666+U92</f>
        <v>254.61054826514194</v>
      </c>
      <c r="W92" s="23">
        <f>+Parameters!W89+V114*5/3.666+V92</f>
        <v>254.61054826514211</v>
      </c>
      <c r="X92" s="23">
        <f>+Parameters!X89+W114*5/3.666+W92</f>
        <v>254.61054826514217</v>
      </c>
      <c r="Y92" s="23">
        <f>+Parameters!Y89+X114*5/3.666+X92</f>
        <v>254.61054826514217</v>
      </c>
      <c r="Z92" s="23">
        <f>+Parameters!Z89+Y114*5/3.666+Y92</f>
        <v>254.61054826514217</v>
      </c>
      <c r="AA92" s="23">
        <f>+Parameters!AA89+Z114*5/3.666+Z92</f>
        <v>254.61054826514234</v>
      </c>
      <c r="AB92" s="23">
        <f>+Parameters!AB89+AA114*5/3.666+AA92</f>
        <v>254.61054826514234</v>
      </c>
      <c r="AC92" s="23">
        <f>+Parameters!AC89+AB114*5/3.666+AB92</f>
        <v>254.61054826514237</v>
      </c>
      <c r="AD92" s="23">
        <f>+Parameters!AD89+AC114*5/3.666+AC92</f>
        <v>254.61054826514248</v>
      </c>
      <c r="AE92" s="23">
        <f>+Parameters!AE89+AD114*5/3.666+AD92</f>
        <v>254.61054826514248</v>
      </c>
      <c r="AF92" s="23">
        <f>+Parameters!AF89+AE114*5/3.666+AE92</f>
        <v>254.61054826514277</v>
      </c>
      <c r="AG92" s="23">
        <f>+Parameters!AG89+AF114*5/3.666+AF92</f>
        <v>254.61054826514277</v>
      </c>
      <c r="AH92" s="23">
        <f>+Parameters!AH89+AG114*5/3.666+AG92</f>
        <v>254.61054826514277</v>
      </c>
      <c r="AI92" s="23">
        <f>+Parameters!AI89+AH114*5/3.666+AH92</f>
        <v>254.61054826514297</v>
      </c>
      <c r="AJ92" s="23">
        <f>+Parameters!AJ89+AI114*5/3.666+AI92</f>
        <v>254.61054826514297</v>
      </c>
      <c r="AK92" s="23">
        <f>+Parameters!AK89+AJ114*5/3.666+AJ92</f>
        <v>254.61054826514297</v>
      </c>
      <c r="AL92" s="23">
        <f>+Parameters!AL89+AK114*5/3.666+AK92</f>
        <v>254.61054826514325</v>
      </c>
      <c r="AM92" s="23">
        <f>+Parameters!AM89+AL114*5/3.666+AL92</f>
        <v>254.61054826514325</v>
      </c>
      <c r="AN92" s="23">
        <f>+Parameters!AN89+AM114*5/3.666+AM92</f>
        <v>254.61054826514325</v>
      </c>
      <c r="AO92" s="23">
        <f>+Parameters!AO89+AN114*5/3.666+AN92</f>
        <v>254.61054826514325</v>
      </c>
      <c r="AP92" s="23">
        <f>+Parameters!AP89+AO114*5/3.666+AO92</f>
        <v>254.61054826514325</v>
      </c>
      <c r="AQ92" s="23">
        <f>+Parameters!AQ89+AP114*5/3.666+AP92</f>
        <v>254.61054826514325</v>
      </c>
      <c r="AR92" s="23">
        <f>+Parameters!AR89+AQ114*5/3.666+AQ92</f>
        <v>254.61054826514325</v>
      </c>
      <c r="AS92" s="23">
        <f>+Parameters!AS89+AR114*5/3.666+AR92</f>
        <v>254.61054826514334</v>
      </c>
      <c r="AT92" s="23">
        <f>+Parameters!AT89+AS114*5/3.666+AS92</f>
        <v>254.61054826514334</v>
      </c>
      <c r="AU92" s="23">
        <f>+Parameters!AU89+AT114*5/3.666+AT92</f>
        <v>254.61054826514334</v>
      </c>
      <c r="AV92" s="23">
        <f>+Parameters!AV89+AU114*5/3.666+AU92</f>
        <v>254.61054826514373</v>
      </c>
      <c r="AW92" s="23">
        <f>+Parameters!AW89+AV114*5/3.666+AV92</f>
        <v>254.61054826514393</v>
      </c>
      <c r="AX92" s="23">
        <f>+Parameters!AX89+AW114*5/3.666+AW92</f>
        <v>254.61054826514393</v>
      </c>
      <c r="AY92" s="23">
        <f>+Parameters!AY89+AX114*5/3.666+AX92</f>
        <v>254.61054826514393</v>
      </c>
      <c r="AZ92" s="23">
        <f>+Parameters!AZ89+AY114*5/3.666+AY92</f>
        <v>254.61054826514393</v>
      </c>
      <c r="BA92" s="23">
        <f>+Parameters!BA89+AZ114*5/3.666+AZ92</f>
        <v>254.61054826514393</v>
      </c>
      <c r="BB92" s="23">
        <f>+Parameters!BB89+BA114*5/3.666+BA92</f>
        <v>254.61054826514393</v>
      </c>
      <c r="BC92" s="23">
        <f>+Parameters!BC89+BB114*5/3.666+BB92</f>
        <v>254.61054826514393</v>
      </c>
      <c r="BD92" s="23">
        <f>+Parameters!BD89+BC114*5/3.666+BC92</f>
        <v>254.61054826514393</v>
      </c>
      <c r="BE92" s="23">
        <f>+Parameters!BE89+BD114*5/3.666+BD92</f>
        <v>254.61054826514393</v>
      </c>
      <c r="BF92" s="23">
        <f>+Parameters!BF89+BE114*5/3.666+BE92</f>
        <v>254.61054826514393</v>
      </c>
      <c r="BG92" s="23">
        <f>+Parameters!BG89+BF114*5/3.666+BF92</f>
        <v>254.61054826514393</v>
      </c>
      <c r="BH92" s="23">
        <f>+Parameters!BH89+BG114*5/3.666+BG92</f>
        <v>282.30927539434339</v>
      </c>
      <c r="BI92" s="23">
        <f>+Parameters!BI89+BH114*5/3.666+BH92</f>
        <v>366.23241919735187</v>
      </c>
    </row>
    <row r="93" spans="1:61" s="23" customFormat="1" ht="13" x14ac:dyDescent="0.3">
      <c r="A93" s="50" t="s">
        <v>7</v>
      </c>
      <c r="B93" s="23">
        <f>+B92/ Base!$B$57</f>
        <v>1.4999999999999999E-2</v>
      </c>
      <c r="C93" s="23">
        <f>+C92/ Base!$B$57</f>
        <v>2.2142527043666257E-2</v>
      </c>
      <c r="D93" s="23">
        <f>+D92/ Base!$B$57</f>
        <v>2.5742861261106777E-2</v>
      </c>
      <c r="E93" s="23">
        <f>+E92/ Base!$B$57</f>
        <v>2.9314100257279686E-2</v>
      </c>
      <c r="F93" s="23">
        <f>+F92/ Base!$B$57</f>
        <v>3.2729891711578758E-2</v>
      </c>
      <c r="G93" s="23">
        <f>+G92/ Base!$B$57</f>
        <v>3.5855030960673287E-2</v>
      </c>
      <c r="H93" s="23">
        <f>+H92/ Base!$B$57</f>
        <v>3.8545289412034105E-2</v>
      </c>
      <c r="I93" s="23">
        <f>+I92/ Base!$B$57</f>
        <v>4.064778349065603E-2</v>
      </c>
      <c r="J93" s="23">
        <f>+J92/ Base!$B$57</f>
        <v>4.2001197285312313E-2</v>
      </c>
      <c r="K93" s="23">
        <f>+K92/ Base!$B$57</f>
        <v>4.2435091377523597E-2</v>
      </c>
      <c r="L93" s="23">
        <f>+L92/ Base!$B$57</f>
        <v>4.2435091377523597E-2</v>
      </c>
      <c r="M93" s="23">
        <f>+M92/ Base!$B$57</f>
        <v>4.2435091377523597E-2</v>
      </c>
      <c r="N93" s="23">
        <f>+N92/ Base!$B$57</f>
        <v>4.2435091377523604E-2</v>
      </c>
      <c r="O93" s="23">
        <f>+O92/ Base!$B$57</f>
        <v>4.2435091377523604E-2</v>
      </c>
      <c r="P93" s="23">
        <f>+P92/ Base!$B$57</f>
        <v>4.2435091377523604E-2</v>
      </c>
      <c r="Q93" s="23">
        <f>+Q92/ Base!$B$57</f>
        <v>4.2435091377523611E-2</v>
      </c>
      <c r="R93" s="23">
        <f>+R92/ Base!$B$57</f>
        <v>4.2435091377523611E-2</v>
      </c>
      <c r="S93" s="23">
        <f>+S92/ Base!$B$57</f>
        <v>4.2435091377523611E-2</v>
      </c>
      <c r="T93" s="23">
        <f>+T92/ Base!$B$57</f>
        <v>4.2435091377523632E-2</v>
      </c>
      <c r="U93" s="23">
        <f>+U92/ Base!$B$57</f>
        <v>4.2435091377523645E-2</v>
      </c>
      <c r="V93" s="23">
        <f>+V92/ Base!$B$57</f>
        <v>4.2435091377523659E-2</v>
      </c>
      <c r="W93" s="23">
        <f>+W92/ Base!$B$57</f>
        <v>4.2435091377523687E-2</v>
      </c>
      <c r="X93" s="23">
        <f>+X92/ Base!$B$57</f>
        <v>4.2435091377523694E-2</v>
      </c>
      <c r="Y93" s="23">
        <f>+Y92/ Base!$B$57</f>
        <v>4.2435091377523694E-2</v>
      </c>
      <c r="Z93" s="23">
        <f>+Z92/ Base!$B$57</f>
        <v>4.2435091377523694E-2</v>
      </c>
      <c r="AA93" s="23">
        <f>+AA92/ Base!$B$57</f>
        <v>4.2435091377523722E-2</v>
      </c>
      <c r="AB93" s="23">
        <f>+AB92/ Base!$B$57</f>
        <v>4.2435091377523722E-2</v>
      </c>
      <c r="AC93" s="23">
        <f>+AC92/ Base!$B$57</f>
        <v>4.2435091377523729E-2</v>
      </c>
      <c r="AD93" s="23">
        <f>+AD92/ Base!$B$57</f>
        <v>4.243509137752375E-2</v>
      </c>
      <c r="AE93" s="23">
        <f>+AE92/ Base!$B$57</f>
        <v>4.243509137752375E-2</v>
      </c>
      <c r="AF93" s="23">
        <f>+AF92/ Base!$B$57</f>
        <v>4.2435091377523791E-2</v>
      </c>
      <c r="AG93" s="23">
        <f>+AG92/ Base!$B$57</f>
        <v>4.2435091377523791E-2</v>
      </c>
      <c r="AH93" s="23">
        <f>+AH92/ Base!$B$57</f>
        <v>4.2435091377523791E-2</v>
      </c>
      <c r="AI93" s="23">
        <f>+AI92/ Base!$B$57</f>
        <v>4.2435091377523826E-2</v>
      </c>
      <c r="AJ93" s="23">
        <f>+AJ92/ Base!$B$57</f>
        <v>4.2435091377523826E-2</v>
      </c>
      <c r="AK93" s="23">
        <f>+AK92/ Base!$B$57</f>
        <v>4.2435091377523826E-2</v>
      </c>
      <c r="AL93" s="23">
        <f>+AL92/ Base!$B$57</f>
        <v>4.2435091377523874E-2</v>
      </c>
      <c r="AM93" s="23">
        <f>+AM92/ Base!$B$57</f>
        <v>4.2435091377523874E-2</v>
      </c>
      <c r="AN93" s="23">
        <f>+AN92/ Base!$B$57</f>
        <v>4.2435091377523874E-2</v>
      </c>
      <c r="AO93" s="23">
        <f>+AO92/ Base!$B$57</f>
        <v>4.2435091377523874E-2</v>
      </c>
      <c r="AP93" s="23">
        <f>+AP92/ Base!$B$57</f>
        <v>4.2435091377523874E-2</v>
      </c>
      <c r="AQ93" s="23">
        <f>+AQ92/ Base!$B$57</f>
        <v>4.2435091377523874E-2</v>
      </c>
      <c r="AR93" s="23">
        <f>+AR92/ Base!$B$57</f>
        <v>4.2435091377523874E-2</v>
      </c>
      <c r="AS93" s="23">
        <f>+AS92/ Base!$B$57</f>
        <v>4.2435091377523888E-2</v>
      </c>
      <c r="AT93" s="23">
        <f>+AT92/ Base!$B$57</f>
        <v>4.2435091377523888E-2</v>
      </c>
      <c r="AU93" s="23">
        <f>+AU92/ Base!$B$57</f>
        <v>4.2435091377523888E-2</v>
      </c>
      <c r="AV93" s="23">
        <f>+AV92/ Base!$B$57</f>
        <v>4.2435091377523958E-2</v>
      </c>
      <c r="AW93" s="23">
        <f>+AW92/ Base!$B$57</f>
        <v>4.2435091377523985E-2</v>
      </c>
      <c r="AX93" s="23">
        <f>+AX92/ Base!$B$57</f>
        <v>4.2435091377523985E-2</v>
      </c>
      <c r="AY93" s="23">
        <f>+AY92/ Base!$B$57</f>
        <v>4.2435091377523985E-2</v>
      </c>
      <c r="AZ93" s="23">
        <f>+AZ92/ Base!$B$57</f>
        <v>4.2435091377523985E-2</v>
      </c>
      <c r="BA93" s="23">
        <f>+BA92/ Base!$B$57</f>
        <v>4.2435091377523985E-2</v>
      </c>
      <c r="BB93" s="23">
        <f>+BB92/ Base!$B$57</f>
        <v>4.2435091377523985E-2</v>
      </c>
      <c r="BC93" s="23">
        <f>+BC92/ Base!$B$57</f>
        <v>4.2435091377523985E-2</v>
      </c>
      <c r="BD93" s="23">
        <f>+BD92/ Base!$B$57</f>
        <v>4.2435091377523985E-2</v>
      </c>
      <c r="BE93" s="23">
        <f>+BE92/ Base!$B$57</f>
        <v>4.2435091377523985E-2</v>
      </c>
      <c r="BF93" s="23">
        <f>+BF92/ Base!$B$57</f>
        <v>4.2435091377523985E-2</v>
      </c>
      <c r="BG93" s="23">
        <f>+BG92/ Base!$B$57</f>
        <v>4.2435091377523985E-2</v>
      </c>
      <c r="BH93" s="23">
        <f>+BH92/ Base!$B$57</f>
        <v>4.7051545899057232E-2</v>
      </c>
      <c r="BI93" s="23">
        <f>+BI92/ Base!$B$57</f>
        <v>6.1038736532891977E-2</v>
      </c>
    </row>
    <row r="94" spans="1:61" s="23" customFormat="1" ht="13" x14ac:dyDescent="0.3">
      <c r="A94" s="50" t="s">
        <v>29</v>
      </c>
      <c r="B94" s="23">
        <f>+MAX(B93:BI93)</f>
        <v>6.1038736532891977E-2</v>
      </c>
    </row>
    <row r="95" spans="1:61" s="23" customFormat="1" ht="13" x14ac:dyDescent="0.3">
      <c r="A95" s="50" t="s">
        <v>109</v>
      </c>
      <c r="B95" s="23">
        <v>20</v>
      </c>
    </row>
    <row r="96" spans="1:61" s="23" customFormat="1" ht="13" x14ac:dyDescent="0.3">
      <c r="A96" s="50" t="s">
        <v>101</v>
      </c>
      <c r="B96" s="23">
        <v>2.5</v>
      </c>
    </row>
    <row r="97" spans="1:309" s="65" customFormat="1" ht="23.4" customHeight="1" x14ac:dyDescent="0.35">
      <c r="A97" s="63" t="s">
        <v>254</v>
      </c>
      <c r="B97" s="64">
        <v>0</v>
      </c>
      <c r="C97" s="65">
        <f>+B97*(1+0.05)^5</f>
        <v>0</v>
      </c>
      <c r="D97" s="65">
        <f t="shared" ref="D97:I97" si="9">+C97*(1+0.05)^5</f>
        <v>0</v>
      </c>
      <c r="E97" s="65">
        <f t="shared" si="9"/>
        <v>0</v>
      </c>
      <c r="F97" s="65">
        <f t="shared" si="9"/>
        <v>0</v>
      </c>
      <c r="G97" s="65">
        <f t="shared" si="9"/>
        <v>0</v>
      </c>
      <c r="H97" s="65">
        <f t="shared" si="9"/>
        <v>0</v>
      </c>
      <c r="I97" s="65">
        <f t="shared" si="9"/>
        <v>0</v>
      </c>
      <c r="J97" s="65">
        <f>+I97*(1+0.04)^5</f>
        <v>0</v>
      </c>
      <c r="K97" s="65">
        <f t="shared" ref="K97:T97" si="10">+J97*(1+0.04)^5</f>
        <v>0</v>
      </c>
      <c r="L97" s="65">
        <f t="shared" si="10"/>
        <v>0</v>
      </c>
      <c r="M97" s="65">
        <f t="shared" si="10"/>
        <v>0</v>
      </c>
      <c r="N97" s="65">
        <f t="shared" si="10"/>
        <v>0</v>
      </c>
      <c r="O97" s="65">
        <f t="shared" si="10"/>
        <v>0</v>
      </c>
      <c r="P97" s="65">
        <f t="shared" si="10"/>
        <v>0</v>
      </c>
      <c r="Q97" s="65">
        <f t="shared" si="10"/>
        <v>0</v>
      </c>
      <c r="R97" s="65">
        <f t="shared" si="10"/>
        <v>0</v>
      </c>
      <c r="S97" s="65">
        <f t="shared" si="10"/>
        <v>0</v>
      </c>
      <c r="T97" s="65">
        <f t="shared" si="10"/>
        <v>0</v>
      </c>
      <c r="U97" s="65">
        <f>+T97*(1+0.03)^5</f>
        <v>0</v>
      </c>
      <c r="V97" s="65">
        <f t="shared" ref="V97:AN97" si="11">+U97*(1+0.03)^5</f>
        <v>0</v>
      </c>
      <c r="W97" s="65">
        <f t="shared" si="11"/>
        <v>0</v>
      </c>
      <c r="X97" s="65">
        <f t="shared" si="11"/>
        <v>0</v>
      </c>
      <c r="Y97" s="65">
        <f t="shared" si="11"/>
        <v>0</v>
      </c>
      <c r="Z97" s="65">
        <f t="shared" si="11"/>
        <v>0</v>
      </c>
      <c r="AA97" s="65">
        <f t="shared" si="11"/>
        <v>0</v>
      </c>
      <c r="AB97" s="65">
        <f t="shared" si="11"/>
        <v>0</v>
      </c>
      <c r="AC97" s="65">
        <f t="shared" si="11"/>
        <v>0</v>
      </c>
      <c r="AD97" s="65">
        <f t="shared" si="11"/>
        <v>0</v>
      </c>
      <c r="AE97" s="65">
        <f t="shared" si="11"/>
        <v>0</v>
      </c>
      <c r="AF97" s="65">
        <f t="shared" si="11"/>
        <v>0</v>
      </c>
      <c r="AG97" s="65">
        <f t="shared" si="11"/>
        <v>0</v>
      </c>
      <c r="AH97" s="65">
        <f t="shared" si="11"/>
        <v>0</v>
      </c>
      <c r="AI97" s="65">
        <f t="shared" si="11"/>
        <v>0</v>
      </c>
      <c r="AJ97" s="65">
        <f t="shared" si="11"/>
        <v>0</v>
      </c>
      <c r="AK97" s="65">
        <f t="shared" si="11"/>
        <v>0</v>
      </c>
      <c r="AL97" s="65">
        <f t="shared" si="11"/>
        <v>0</v>
      </c>
      <c r="AM97" s="65">
        <f t="shared" si="11"/>
        <v>0</v>
      </c>
      <c r="AN97" s="65">
        <f t="shared" si="11"/>
        <v>0</v>
      </c>
      <c r="AO97" s="65">
        <f>+AN97*(1+$B$16+$B$17)^5</f>
        <v>0</v>
      </c>
      <c r="AP97" s="65">
        <f t="shared" ref="AP97:BI97" si="12">+AO97*(1+$B$16+$B$17)^5</f>
        <v>0</v>
      </c>
      <c r="AQ97" s="65">
        <f t="shared" si="12"/>
        <v>0</v>
      </c>
      <c r="AR97" s="65">
        <f t="shared" si="12"/>
        <v>0</v>
      </c>
      <c r="AS97" s="65">
        <f t="shared" si="12"/>
        <v>0</v>
      </c>
      <c r="AT97" s="65">
        <f t="shared" si="12"/>
        <v>0</v>
      </c>
      <c r="AU97" s="65">
        <f t="shared" si="12"/>
        <v>0</v>
      </c>
      <c r="AV97" s="65">
        <f t="shared" si="12"/>
        <v>0</v>
      </c>
      <c r="AW97" s="65">
        <f t="shared" si="12"/>
        <v>0</v>
      </c>
      <c r="AX97" s="65">
        <f t="shared" si="12"/>
        <v>0</v>
      </c>
      <c r="AY97" s="65">
        <f t="shared" si="12"/>
        <v>0</v>
      </c>
      <c r="AZ97" s="65">
        <f t="shared" si="12"/>
        <v>0</v>
      </c>
      <c r="BA97" s="65">
        <f t="shared" si="12"/>
        <v>0</v>
      </c>
      <c r="BB97" s="65">
        <f t="shared" si="12"/>
        <v>0</v>
      </c>
      <c r="BC97" s="65">
        <f t="shared" si="12"/>
        <v>0</v>
      </c>
      <c r="BD97" s="65">
        <f t="shared" si="12"/>
        <v>0</v>
      </c>
      <c r="BE97" s="65">
        <f t="shared" si="12"/>
        <v>0</v>
      </c>
      <c r="BF97" s="65">
        <f t="shared" si="12"/>
        <v>0</v>
      </c>
      <c r="BG97" s="65">
        <f t="shared" si="12"/>
        <v>0</v>
      </c>
      <c r="BH97" s="65">
        <f t="shared" si="12"/>
        <v>0</v>
      </c>
      <c r="BI97" s="65">
        <f t="shared" si="12"/>
        <v>0</v>
      </c>
      <c r="DS97" s="60"/>
      <c r="DT97" s="60"/>
      <c r="DU97" s="60"/>
      <c r="DV97" s="60"/>
      <c r="DW97" s="60"/>
      <c r="DX97" s="60"/>
      <c r="DY97" s="60"/>
      <c r="DZ97" s="60"/>
      <c r="EA97" s="60"/>
      <c r="EB97" s="60"/>
      <c r="EC97" s="60"/>
      <c r="ED97" s="60"/>
      <c r="EE97" s="60"/>
      <c r="EF97" s="60"/>
      <c r="EG97" s="60"/>
      <c r="EH97" s="60"/>
      <c r="EI97" s="60"/>
      <c r="EJ97" s="60"/>
      <c r="EK97" s="60"/>
      <c r="EL97" s="60"/>
      <c r="EM97" s="60"/>
      <c r="EN97" s="60"/>
      <c r="EO97" s="60"/>
      <c r="EP97" s="60"/>
      <c r="EQ97" s="60"/>
      <c r="ER97" s="60"/>
      <c r="ES97" s="60"/>
      <c r="ET97" s="60"/>
      <c r="EU97" s="60"/>
      <c r="EV97" s="60"/>
      <c r="EW97" s="60"/>
      <c r="EX97" s="60"/>
      <c r="EY97" s="60"/>
      <c r="EZ97" s="60"/>
      <c r="FA97" s="60"/>
      <c r="FB97" s="60"/>
      <c r="FC97" s="60"/>
      <c r="FD97" s="60"/>
      <c r="FE97" s="60"/>
      <c r="FF97" s="60"/>
      <c r="FG97" s="60"/>
      <c r="FH97" s="60"/>
      <c r="FI97" s="60"/>
      <c r="FJ97" s="60"/>
      <c r="FK97" s="60"/>
      <c r="FL97" s="60"/>
      <c r="FM97" s="60"/>
      <c r="FN97" s="60"/>
      <c r="FO97" s="60"/>
      <c r="FP97" s="60"/>
      <c r="FQ97" s="60"/>
      <c r="FR97" s="60"/>
      <c r="FS97" s="60"/>
      <c r="FT97" s="60"/>
      <c r="FU97" s="60"/>
      <c r="FV97" s="60"/>
      <c r="FW97" s="60"/>
      <c r="FX97" s="60"/>
      <c r="FY97" s="60"/>
      <c r="FZ97" s="60"/>
      <c r="GA97" s="60"/>
      <c r="GB97" s="60"/>
      <c r="GC97" s="60"/>
      <c r="GD97" s="60"/>
      <c r="GE97" s="60"/>
      <c r="GF97" s="60"/>
      <c r="GG97" s="60"/>
      <c r="GH97" s="60"/>
      <c r="GI97" s="60"/>
      <c r="GJ97" s="60"/>
      <c r="GK97" s="60"/>
      <c r="GL97" s="60"/>
      <c r="GM97" s="60"/>
      <c r="GN97" s="60"/>
      <c r="GO97" s="60"/>
      <c r="GP97" s="60"/>
      <c r="GQ97" s="60"/>
      <c r="GR97" s="60"/>
      <c r="GS97" s="60"/>
      <c r="GT97" s="60"/>
      <c r="GU97" s="60"/>
      <c r="GV97" s="60"/>
      <c r="GW97" s="60"/>
      <c r="GX97" s="60"/>
      <c r="GY97" s="60"/>
      <c r="GZ97" s="60"/>
      <c r="HA97" s="60"/>
      <c r="HB97" s="60"/>
      <c r="HC97" s="60"/>
      <c r="HD97" s="60"/>
      <c r="HE97" s="60"/>
      <c r="HF97" s="60"/>
      <c r="HG97" s="60"/>
      <c r="HH97" s="60"/>
      <c r="HI97" s="60"/>
      <c r="HJ97" s="60"/>
      <c r="HK97" s="60"/>
      <c r="HL97" s="60"/>
      <c r="HM97" s="60"/>
      <c r="HN97" s="60"/>
      <c r="HO97" s="60"/>
      <c r="HP97" s="60"/>
      <c r="HQ97" s="60"/>
      <c r="HR97" s="60"/>
      <c r="HS97" s="60"/>
      <c r="HT97" s="60"/>
      <c r="HU97" s="60"/>
      <c r="HV97" s="60"/>
      <c r="HW97" s="60"/>
      <c r="HX97" s="60"/>
      <c r="HY97" s="60"/>
      <c r="HZ97" s="60"/>
      <c r="IA97" s="60"/>
      <c r="IB97" s="60"/>
      <c r="IC97" s="60"/>
      <c r="ID97" s="60"/>
      <c r="IE97" s="60"/>
      <c r="IF97" s="60"/>
      <c r="IG97" s="60"/>
      <c r="IH97" s="60"/>
      <c r="II97" s="60"/>
      <c r="IJ97" s="60"/>
      <c r="IK97" s="60"/>
      <c r="IL97" s="60"/>
      <c r="IM97" s="60"/>
      <c r="IN97" s="60"/>
      <c r="IO97" s="60"/>
      <c r="IP97" s="60"/>
      <c r="IQ97" s="60"/>
      <c r="IR97" s="60"/>
      <c r="IS97" s="60"/>
      <c r="IT97" s="60"/>
      <c r="IU97" s="60"/>
      <c r="IV97" s="60"/>
      <c r="IW97" s="60"/>
      <c r="IX97" s="60"/>
      <c r="IY97" s="60"/>
      <c r="IZ97" s="60"/>
      <c r="JA97" s="60"/>
      <c r="JB97" s="60"/>
      <c r="JC97" s="60"/>
      <c r="JD97" s="60"/>
      <c r="JE97" s="60"/>
      <c r="JF97" s="60"/>
      <c r="JG97" s="60"/>
      <c r="JH97" s="60"/>
      <c r="JI97" s="60"/>
      <c r="JJ97" s="60"/>
      <c r="JK97" s="60"/>
      <c r="JL97" s="60"/>
      <c r="JM97" s="60"/>
      <c r="JN97" s="60"/>
      <c r="JO97" s="60"/>
      <c r="JP97" s="60"/>
      <c r="JQ97" s="60"/>
      <c r="JR97" s="60"/>
      <c r="JS97" s="60"/>
      <c r="JT97" s="60"/>
      <c r="JU97" s="60"/>
      <c r="JV97" s="60"/>
      <c r="JW97" s="60"/>
      <c r="JX97" s="60"/>
      <c r="JY97" s="60"/>
      <c r="JZ97" s="60"/>
      <c r="KA97" s="60"/>
      <c r="KB97" s="60"/>
      <c r="KC97" s="60"/>
      <c r="KD97" s="60"/>
      <c r="KE97" s="60"/>
      <c r="KF97" s="60"/>
      <c r="KG97" s="60"/>
      <c r="KH97" s="60"/>
      <c r="KI97" s="60"/>
      <c r="KJ97" s="60"/>
      <c r="KK97" s="60"/>
      <c r="KL97" s="60"/>
      <c r="KM97" s="60"/>
      <c r="KN97" s="60"/>
      <c r="KO97" s="60"/>
      <c r="KP97" s="60"/>
      <c r="KQ97" s="60"/>
      <c r="KR97" s="60"/>
      <c r="KS97" s="60"/>
      <c r="KT97" s="60"/>
      <c r="KU97" s="60"/>
      <c r="KV97" s="60"/>
      <c r="KW97" s="60"/>
    </row>
    <row r="98" spans="1:309" s="23" customFormat="1" ht="18" customHeight="1" x14ac:dyDescent="0.3">
      <c r="A98" s="66"/>
    </row>
    <row r="99" spans="1:309" s="23" customFormat="1" ht="18" customHeight="1" thickBot="1" x14ac:dyDescent="0.35">
      <c r="A99" s="62" t="s">
        <v>205</v>
      </c>
    </row>
    <row r="100" spans="1:309" s="23" customFormat="1" ht="18" customHeight="1" thickTop="1" x14ac:dyDescent="0.3">
      <c r="A100" s="50" t="s">
        <v>14</v>
      </c>
      <c r="B100" s="23">
        <f xml:space="preserve"> Base!B76</f>
        <v>0.83</v>
      </c>
      <c r="C100" s="67">
        <f>B100+Base!$B82*(C101-(Base!$B$80/Base!$B79)*B100-Base!$B83*(B100-B102))</f>
        <v>0.93470254320556811</v>
      </c>
      <c r="D100" s="67">
        <f>C100+Base!$B82*(D101-(Base!$B$80/Base!$B79)*C100-Base!$B83*(C100-C102))</f>
        <v>1.0342318168430051</v>
      </c>
      <c r="E100" s="67">
        <f>D100+Base!$B82*(E101-(Base!$B$80/Base!$B79)*D100-Base!$B83*(D100-D102))</f>
        <v>1.1288671312076459</v>
      </c>
      <c r="F100" s="67">
        <f>E100+Base!$B82*(F101-(Base!$B$80/Base!$B79)*E100-Base!$B83*(E100-E102))</f>
        <v>1.2184407985285284</v>
      </c>
      <c r="G100" s="67">
        <f>F100+Base!$B82*(G101-(Base!$B$80/Base!$B79)*F100-Base!$B83*(F100-F102))</f>
        <v>1.3023975371069516</v>
      </c>
      <c r="H100" s="67">
        <f>G100+Base!$B82*(H101-(Base!$B$80/Base!$B79)*G100-Base!$B83*(G100-G102))</f>
        <v>1.3798389532788811</v>
      </c>
      <c r="I100" s="67">
        <f>H100+Base!$B82*(I101-(Base!$B$80/Base!$B79)*H100-Base!$B83*(H100-H102))</f>
        <v>1.4495536833029128</v>
      </c>
      <c r="J100" s="67">
        <f>I100+Base!$B82*(J101-(Base!$B$80/Base!$B79)*I100-Base!$B83*(I100-I102))</f>
        <v>1.510030402061934</v>
      </c>
      <c r="K100" s="67">
        <f>J100+Base!$B82*(K101-(Base!$B$80/Base!$B79)*J100-Base!$B83*(J100-J102))</f>
        <v>1.5594473419918842</v>
      </c>
      <c r="L100" s="67">
        <f>K100+Base!$B82*(L101-(Base!$B$80/Base!$B79)*K100-Base!$B83*(K100-K102))</f>
        <v>1.5983343442563094</v>
      </c>
      <c r="M100" s="67">
        <f>L100+Base!$B82*(M101-(Base!$B$80/Base!$B79)*L100-Base!$B83*(L100-L102))</f>
        <v>1.628938633607772</v>
      </c>
      <c r="N100" s="67">
        <f>M100+Base!$B82*(N101-(Base!$B$80/Base!$B79)*M100-Base!$B83*(M100-M102))</f>
        <v>1.6531231578708945</v>
      </c>
      <c r="O100" s="67">
        <f>N100+Base!$B82*(O101-(Base!$B$80/Base!$B79)*N100-Base!$B83*(N100-N102))</f>
        <v>1.672424075327676</v>
      </c>
      <c r="P100" s="67">
        <f>O100+Base!$B82*(P101-(Base!$B$80/Base!$B79)*O100-Base!$B83*(O100-O102))</f>
        <v>1.6881006253411561</v>
      </c>
      <c r="Q100" s="67">
        <f>P100+Base!$B82*(Q101-(Base!$B$80/Base!$B79)*P100-Base!$B83*(P100-P102))</f>
        <v>1.7011782535078024</v>
      </c>
      <c r="R100" s="67">
        <f>Q100+Base!$B82*(R101-(Base!$B$80/Base!$B79)*Q100-Base!$B83*(Q100-Q102))</f>
        <v>1.712485781468577</v>
      </c>
      <c r="S100" s="67">
        <f>R100+Base!$B82*(S101-(Base!$B$80/Base!$B79)*R100-Base!$B83*(R100-R102))</f>
        <v>1.7226873366888689</v>
      </c>
      <c r="T100" s="67">
        <f>S100+Base!$B82*(T101-(Base!$B$80/Base!$B79)*S100-Base!$B83*(S100-S102))</f>
        <v>1.7323096879200919</v>
      </c>
      <c r="U100" s="67">
        <f>T100+Base!$B82*(U101-(Base!$B$80/Base!$B79)*T100-Base!$B83*(T100-T102))</f>
        <v>1.7382295670865548</v>
      </c>
      <c r="V100" s="67">
        <f>U100+Base!$B82*(V101-(Base!$B$80/Base!$B79)*U100-Base!$B83*(U100-U102))</f>
        <v>1.7412345551994513</v>
      </c>
      <c r="W100" s="67">
        <f>V100+Base!$B82*(W101-(Base!$B$80/Base!$B79)*V100-Base!$B83*(V100-V102))</f>
        <v>1.741971793204911</v>
      </c>
      <c r="X100" s="67">
        <f>W100+Base!$B82*(X101-(Base!$B$80/Base!$B79)*W100-Base!$B83*(W100-W102))</f>
        <v>1.7409706513803456</v>
      </c>
      <c r="Y100" s="67">
        <f>X100+Base!$B82*(Y101-(Base!$B$80/Base!$B79)*X100-Base!$B83*(X100-X102))</f>
        <v>1.7386620007618994</v>
      </c>
      <c r="Z100" s="67">
        <f>Y100+Base!$B82*(Z101-(Base!$B$80/Base!$B79)*Y100-Base!$B83*(Y100-Y102))</f>
        <v>1.7353945606322039</v>
      </c>
      <c r="AA100" s="67">
        <f>Z100+Base!$B82*(AA101-(Base!$B$80/Base!$B79)*Z100-Base!$B83*(Z100-Z102))</f>
        <v>1.7314487356215909</v>
      </c>
      <c r="AB100" s="67">
        <f>AA100+Base!$B82*(AB101-(Base!$B$80/Base!$B79)*AA100-Base!$B83*(AA100-AA102))</f>
        <v>1.7270483022125609</v>
      </c>
      <c r="AC100" s="67">
        <f>AB100+Base!$B82*(AC101-(Base!$B$80/Base!$B79)*AB100-Base!$B83*(AB100-AB102))</f>
        <v>1.7223702568235117</v>
      </c>
      <c r="AD100" s="67">
        <f>AC100+Base!$B82*(AD101-(Base!$B$80/Base!$B79)*AC100-Base!$B83*(AC100-AC102))</f>
        <v>1.7175530956368761</v>
      </c>
      <c r="AE100" s="67">
        <f>AD100+Base!$B82*(AE101-(Base!$B$80/Base!$B79)*AD100-Base!$B83*(AD100-AD102))</f>
        <v>1.7127037594021468</v>
      </c>
      <c r="AF100" s="67">
        <f>AE100+Base!$B82*(AF101-(Base!$B$80/Base!$B79)*AE100-Base!$B83*(AE100-AE102))</f>
        <v>1.7079034440829817</v>
      </c>
      <c r="AG100" s="67">
        <f>AF100+Base!$B82*(AG101-(Base!$B$80/Base!$B79)*AF100-Base!$B83*(AF100-AF102))</f>
        <v>1.7032124499546375</v>
      </c>
      <c r="AH100" s="67">
        <f>AG100+Base!$B82*(AH101-(Base!$B$80/Base!$B79)*AG100-Base!$B83*(AG100-AG102))</f>
        <v>1.6986742171491764</v>
      </c>
      <c r="AI100" s="67">
        <f>AH100+Base!$B82*(AI101-(Base!$B$80/Base!$B79)*AH100-Base!$B83*(AH100-AH102))</f>
        <v>1.6943186742797465</v>
      </c>
      <c r="AJ100" s="67">
        <f>AI100+Base!$B82*(AJ101-(Base!$B$80/Base!$B79)*AI100-Base!$B83*(AI100-AI102))</f>
        <v>1.6901650082740698</v>
      </c>
      <c r="AK100" s="67">
        <f>AJ100+Base!$B82*(AK101-(Base!$B$80/Base!$B79)*AJ100-Base!$B83*(AJ100-AJ102))</f>
        <v>1.6862239475671392</v>
      </c>
      <c r="AL100" s="67">
        <f>AK100+Base!$B82*(AL101-(Base!$B$80/Base!$B79)*AK100-Base!$B83*(AK100-AK102))</f>
        <v>1.682499637033134</v>
      </c>
      <c r="AM100" s="67">
        <f>AL100+Base!$B82*(AM101-(Base!$B$80/Base!$B79)*AL100-Base!$B83*(AL100-AL102))</f>
        <v>1.6789911711975434</v>
      </c>
      <c r="AN100" s="67">
        <f>AM100+Base!$B82*(AN101-(Base!$B$80/Base!$B79)*AM100-Base!$B83*(AM100-AM102))</f>
        <v>1.6756938421132086</v>
      </c>
      <c r="AO100" s="67">
        <f>AN100+Base!$B82*(AO101-(Base!$B$80/Base!$B79)*AN100-Base!$B83*(AN100-AN102))</f>
        <v>1.6726001495871361</v>
      </c>
      <c r="AP100" s="67">
        <f>AO100+Base!$B82*(AP101-(Base!$B$80/Base!$B79)*AO100-Base!$B83*(AO100-AO102))</f>
        <v>1.669700614012938</v>
      </c>
      <c r="AQ100" s="67">
        <f>AP100+Base!$B82*(AQ101-(Base!$B$80/Base!$B79)*AP100-Base!$B83*(AP100-AP102))</f>
        <v>1.6669844257244713</v>
      </c>
      <c r="AR100" s="67">
        <f>AQ100+Base!$B82*(AR101-(Base!$B$80/Base!$B79)*AQ100-Base!$B83*(AQ100-AQ102))</f>
        <v>1.6644399593888248</v>
      </c>
      <c r="AS100" s="67">
        <f>AR100+Base!$B82*(AS101-(Base!$B$80/Base!$B79)*AR100-Base!$B83*(AR100-AR102))</f>
        <v>1.6620551773694237</v>
      </c>
      <c r="AT100" s="67">
        <f>AS100+Base!$B82*(AT101-(Base!$B$80/Base!$B79)*AS100-Base!$B83*(AS100-AS102))</f>
        <v>1.6598179420979144</v>
      </c>
      <c r="AU100" s="67">
        <f>AT100+Base!$B82*(AU101-(Base!$B$80/Base!$B79)*AT100-Base!$B83*(AT100-AT102))</f>
        <v>1.6577162541970036</v>
      </c>
      <c r="AV100" s="67">
        <f>AU100+Base!$B82*(AV101-(Base!$B$80/Base!$B79)*AU100-Base!$B83*(AU100-AU102))</f>
        <v>1.655738430309238</v>
      </c>
      <c r="AW100" s="67">
        <f>AV100+Base!$B82*(AW101-(Base!$B$80/Base!$B79)*AV100-Base!$B83*(AV100-AV102))</f>
        <v>1.6538732322342742</v>
      </c>
      <c r="AX100" s="67">
        <f>AW100+Base!$B82*(AX101-(Base!$B$80/Base!$B79)*AW100-Base!$B83*(AW100-AW102))</f>
        <v>1.6521099569952105</v>
      </c>
      <c r="AY100" s="67">
        <f>AX100+Base!$B82*(AY101-(Base!$B$80/Base!$B79)*AX100-Base!$B83*(AX100-AX102))</f>
        <v>1.6504384957877511</v>
      </c>
      <c r="AZ100" s="67">
        <f>AY100+Base!$B82*(AZ101-(Base!$B$80/Base!$B79)*AY100-Base!$B83*(AY100-AY102))</f>
        <v>1.6488493683668841</v>
      </c>
      <c r="BA100" s="67">
        <f>AZ100+Base!$B82*(BA101-(Base!$B$80/Base!$B79)*AZ100-Base!$B83*(AZ100-AZ102))</f>
        <v>1.6473337382536699</v>
      </c>
      <c r="BB100" s="67">
        <f>BA100+Base!$B82*(BB101-(Base!$B$80/Base!$B79)*BA100-Base!$B83*(BA100-BA102))</f>
        <v>1.6458834131648834</v>
      </c>
      <c r="BC100" s="67">
        <f>BB100+Base!$B82*(BC101-(Base!$B$80/Base!$B79)*BB100-Base!$B83*(BB100-BB102))</f>
        <v>1.6444908342508715</v>
      </c>
      <c r="BD100" s="67">
        <f>BC100+Base!$B82*(BD101-(Base!$B$80/Base!$B79)*BC100-Base!$B83*(BC100-BC102))</f>
        <v>1.6431490570467437</v>
      </c>
      <c r="BE100" s="67">
        <f>BD100+Base!$B82*(BE101-(Base!$B$80/Base!$B79)*BD100-Base!$B83*(BD100-BD102))</f>
        <v>1.6418517264773183</v>
      </c>
      <c r="BF100" s="67">
        <f>BE100+Base!$B82*(BF101-(Base!$B$80/Base!$B79)*BE100-Base!$B83*(BE100-BE102))</f>
        <v>1.6405930477887354</v>
      </c>
      <c r="BG100" s="67">
        <f>BF100+Base!$B82*(BG101-(Base!$B$80/Base!$B79)*BF100-Base!$B83*(BF100-BF102))</f>
        <v>1.6393677548937586</v>
      </c>
      <c r="BH100" s="67">
        <f>BG100+Base!$B82*(BH101-(Base!$B$80/Base!$B79)*BG100-Base!$B83*(BG100-BG102))</f>
        <v>1.6587923275978171</v>
      </c>
      <c r="BI100" s="67">
        <f>BH100+Base!$B82*(BI101-(Base!$B$80/Base!$B79)*BH100-Base!$B83*(BH100-BH102))</f>
        <v>1.7322028888666414</v>
      </c>
      <c r="BJ100" s="67"/>
      <c r="BK100" s="67"/>
      <c r="BL100" s="67"/>
      <c r="BM100" s="67"/>
      <c r="BN100" s="67"/>
      <c r="BO100" s="67"/>
      <c r="BP100" s="67"/>
      <c r="BQ100" s="67"/>
      <c r="BR100" s="67"/>
      <c r="BS100" s="67"/>
      <c r="BT100" s="67"/>
      <c r="BU100" s="67"/>
      <c r="BV100" s="67"/>
      <c r="BW100" s="67"/>
      <c r="BX100" s="67"/>
      <c r="BY100" s="67"/>
      <c r="BZ100" s="67"/>
      <c r="CA100" s="67"/>
      <c r="CB100" s="67"/>
      <c r="CC100" s="67"/>
      <c r="CD100" s="67"/>
      <c r="CE100" s="67"/>
      <c r="CF100" s="67"/>
      <c r="CG100" s="67"/>
      <c r="CH100" s="67"/>
      <c r="CI100" s="67"/>
      <c r="CJ100" s="67"/>
      <c r="CK100" s="67"/>
      <c r="CL100" s="67"/>
      <c r="CM100" s="67"/>
      <c r="CN100" s="67"/>
      <c r="CO100" s="67"/>
      <c r="CP100" s="67"/>
      <c r="CQ100" s="67"/>
      <c r="CR100" s="67"/>
      <c r="CS100" s="67"/>
      <c r="CT100" s="67"/>
      <c r="CU100" s="67"/>
      <c r="CV100" s="67"/>
      <c r="CW100" s="67"/>
      <c r="CX100" s="67"/>
      <c r="CY100" s="67"/>
      <c r="CZ100" s="67"/>
      <c r="DA100" s="67"/>
      <c r="DB100" s="67"/>
      <c r="DC100" s="67"/>
      <c r="DD100" s="67"/>
      <c r="DE100" s="67"/>
      <c r="DF100" s="67"/>
      <c r="DG100" s="67"/>
      <c r="DH100" s="67"/>
      <c r="DI100" s="67"/>
      <c r="DJ100" s="67"/>
      <c r="DK100" s="67"/>
      <c r="DL100" s="67"/>
      <c r="DM100" s="67"/>
      <c r="DN100" s="67"/>
      <c r="DO100" s="67"/>
      <c r="DP100" s="67"/>
      <c r="DQ100" s="67"/>
      <c r="DR100" s="67"/>
      <c r="DS100" s="67"/>
      <c r="DT100" s="67"/>
      <c r="DU100" s="67"/>
      <c r="DV100" s="67"/>
      <c r="DW100" s="67"/>
      <c r="DX100" s="67"/>
    </row>
    <row r="101" spans="1:309" s="23" customFormat="1" ht="18" customHeight="1" x14ac:dyDescent="0.3">
      <c r="A101" s="50" t="s">
        <v>87</v>
      </c>
      <c r="B101" s="68">
        <f>Base!$B$80*(LOG(B87/Parameters!$B$71))/LOG(2)+Base!B73</f>
        <v>1.8244793195909872</v>
      </c>
      <c r="C101" s="68">
        <f>Base!$B$80*(LOG(C87/Parameters!$B$71))/LOG(2)+Base!C73</f>
        <v>2.0648218231304623</v>
      </c>
      <c r="D101" s="68">
        <f>Base!$B$80*(LOG(D87/Parameters!$B$71))/LOG(2)+Base!D73</f>
        <v>2.1468159003725189</v>
      </c>
      <c r="E101" s="68">
        <f>Base!$B$80*(LOG(E87/Parameters!$B$71))/LOG(2)+Base!E73</f>
        <v>2.2247120786020553</v>
      </c>
      <c r="F101" s="68">
        <f>Base!$B$80*(LOG(F87/Parameters!$B$71))/LOG(2)+Base!F73</f>
        <v>2.2945845677039136</v>
      </c>
      <c r="G101" s="68">
        <f>Base!$B$80*(LOG(G87/Parameters!$B$71))/LOG(2)+Base!G73</f>
        <v>2.3525076104883946</v>
      </c>
      <c r="H101" s="68">
        <f>Base!$B$80*(LOG(H87/Parameters!$B$71))/LOG(2)+Base!H73</f>
        <v>2.3944887789697287</v>
      </c>
      <c r="I101" s="68">
        <f>Base!$B$80*(LOG(I87/Parameters!$B$71))/LOG(2)+Base!I73</f>
        <v>2.4163886786325723</v>
      </c>
      <c r="J101" s="68">
        <f>Base!$B$80*(LOG(J87/Parameters!$B$71))/LOG(2)+Base!J73</f>
        <v>2.4137953859070151</v>
      </c>
      <c r="K101" s="68">
        <f>Base!$B$80*(LOG(K87/Parameters!$B$71))/LOG(2)+Base!K73</f>
        <v>2.3818158265855316</v>
      </c>
      <c r="L101" s="68">
        <f>Base!$B$80*(LOG(L87/Parameters!$B$71))/LOG(2)+Base!L73</f>
        <v>2.340760436831256</v>
      </c>
      <c r="M101" s="68">
        <f>Base!$B$80*(LOG(M87/Parameters!$B$71))/LOG(2)+Base!M73</f>
        <v>2.3078442570299806</v>
      </c>
      <c r="N101" s="68">
        <f>Base!$B$80*(LOG(N87/Parameters!$B$71))/LOG(2)+Base!N73</f>
        <v>2.2822627623771909</v>
      </c>
      <c r="O101" s="68">
        <f>Base!$B$80*(LOG(O87/Parameters!$B$71))/LOG(2)+Base!O73</f>
        <v>2.263268499510577</v>
      </c>
      <c r="P101" s="68">
        <f>Base!$B$80*(LOG(P87/Parameters!$B$71))/LOG(2)+Base!P73</f>
        <v>2.2501721576528264</v>
      </c>
      <c r="Q101" s="68">
        <f>Base!$B$80*(LOG(Q87/Parameters!$B$71))/LOG(2)+Base!Q73</f>
        <v>2.242342151292906</v>
      </c>
      <c r="R101" s="68">
        <f>Base!$B$80*(LOG(R87/Parameters!$B$71))/LOG(2)+Base!R73</f>
        <v>2.2392030658817106</v>
      </c>
      <c r="S101" s="68">
        <f>Base!$B$80*(LOG(S87/Parameters!$B$71))/LOG(2)+Base!S73</f>
        <v>2.240233273035579</v>
      </c>
      <c r="T101" s="68">
        <f>Base!$B$80*(LOG(T87/Parameters!$B$71))/LOG(2)+Base!T73</f>
        <v>2.2449619743328109</v>
      </c>
      <c r="U101" s="68">
        <f>Base!$B$80*(LOG(U87/Parameters!$B$71))/LOG(2)+Base!U73</f>
        <v>2.2189658865472954</v>
      </c>
      <c r="V101" s="68">
        <f>Base!$B$80*(LOG(V87/Parameters!$B$71))/LOG(2)+Base!V73</f>
        <v>2.1958657384051312</v>
      </c>
      <c r="W101" s="68">
        <f>Base!$B$80*(LOG(W87/Parameters!$B$71))/LOG(2)+Base!W73</f>
        <v>2.1753227109730551</v>
      </c>
      <c r="X101" s="68">
        <f>Base!$B$80*(LOG(X87/Parameters!$B$71))/LOG(2)+Base!X73</f>
        <v>2.1570349211332474</v>
      </c>
      <c r="Y101" s="68">
        <f>Base!$B$80*(LOG(Y87/Parameters!$B$71))/LOG(2)+Base!Y73</f>
        <v>2.140734020284849</v>
      </c>
      <c r="Z101" s="68">
        <f>Base!$B$80*(LOG(Z87/Parameters!$B$71))/LOG(2)+Base!Z73</f>
        <v>2.1261819581199215</v>
      </c>
      <c r="AA101" s="68">
        <f>Base!$B$80*(LOG(AA87/Parameters!$B$71))/LOG(2)+Base!AA73</f>
        <v>2.1131679435429627</v>
      </c>
      <c r="AB101" s="68">
        <f>Base!$B$80*(LOG(AB87/Parameters!$B$71))/LOG(2)+Base!AB73</f>
        <v>2.1015056209444065</v>
      </c>
      <c r="AC101" s="68">
        <f>Base!$B$80*(LOG(AC87/Parameters!$B$71))/LOG(2)+Base!AC73</f>
        <v>2.0910304694920674</v>
      </c>
      <c r="AD101" s="68">
        <f>Base!$B$80*(LOG(AD87/Parameters!$B$71))/LOG(2)+Base!AD73</f>
        <v>2.0815974252914988</v>
      </c>
      <c r="AE101" s="68">
        <f>Base!$B$80*(LOG(AE87/Parameters!$B$71))/LOG(2)+Base!AE73</f>
        <v>2.0730787206635717</v>
      </c>
      <c r="AF101" s="68">
        <f>Base!$B$80*(LOG(AF87/Parameters!$B$71))/LOG(2)+Base!AF73</f>
        <v>2.065361930937998</v>
      </c>
      <c r="AG101" s="68">
        <f>Base!$B$80*(LOG(AG87/Parameters!$B$71))/LOG(2)+Base!AG73</f>
        <v>2.0583482166768365</v>
      </c>
      <c r="AH101" s="68">
        <f>Base!$B$80*(LOG(AH87/Parameters!$B$71))/LOG(2)+Base!AH73</f>
        <v>2.0519507477999879</v>
      </c>
      <c r="AI101" s="68">
        <f>Base!$B$80*(LOG(AI87/Parameters!$B$71))/LOG(2)+Base!AI73</f>
        <v>2.0460932954224833</v>
      </c>
      <c r="AJ101" s="68">
        <f>Base!$B$80*(LOG(AJ87/Parameters!$B$71))/LOG(2)+Base!AJ73</f>
        <v>2.0407089771210565</v>
      </c>
      <c r="AK101" s="68">
        <f>Base!$B$80*(LOG(AK87/Parameters!$B$71))/LOG(2)+Base!AK73</f>
        <v>2.0357391416589721</v>
      </c>
      <c r="AL101" s="68">
        <f>Base!$B$80*(LOG(AL87/Parameters!$B$71))/LOG(2)+Base!AL73</f>
        <v>2.0311323797848297</v>
      </c>
      <c r="AM101" s="68">
        <f>Base!$B$80*(LOG(AM87/Parameters!$B$71))/LOG(2)+Base!AM73</f>
        <v>2.0268436484846428</v>
      </c>
      <c r="AN101" s="68">
        <f>Base!$B$80*(LOG(AN87/Parameters!$B$71))/LOG(2)+Base!AN73</f>
        <v>2.02283349693294</v>
      </c>
      <c r="AO101" s="68">
        <f>Base!$B$80*(LOG(AO87/Parameters!$B$71))/LOG(2)+Base!AO73</f>
        <v>2.0190673833031858</v>
      </c>
      <c r="AP101" s="68">
        <f>Base!$B$80*(LOG(AP87/Parameters!$B$71))/LOG(2)+Base!AP73</f>
        <v>2.015515072521362</v>
      </c>
      <c r="AQ101" s="68">
        <f>Base!$B$80*(LOG(AQ87/Parameters!$B$71))/LOG(2)+Base!AQ73</f>
        <v>2.0121501059510023</v>
      </c>
      <c r="AR101" s="68">
        <f>Base!$B$80*(LOG(AR87/Parameters!$B$71))/LOG(2)+Base!AR73</f>
        <v>2.0089493348650329</v>
      </c>
      <c r="AS101" s="68">
        <f>Base!$B$80*(LOG(AS87/Parameters!$B$71))/LOG(2)+Base!AS73</f>
        <v>2.0058925103772762</v>
      </c>
      <c r="AT101" s="68">
        <f>Base!$B$80*(LOG(AT87/Parameters!$B$71))/LOG(2)+Base!AT73</f>
        <v>2.0029619232676743</v>
      </c>
      <c r="AU101" s="68">
        <f>Base!$B$80*(LOG(AU87/Parameters!$B$71))/LOG(2)+Base!AU73</f>
        <v>2.0001420878369673</v>
      </c>
      <c r="AV101" s="68">
        <f>Base!$B$80*(LOG(AV87/Parameters!$B$71))/LOG(2)+Base!AV73</f>
        <v>1.9974194645681411</v>
      </c>
      <c r="AW101" s="68">
        <f>Base!$B$80*(LOG(AW87/Parameters!$B$71))/LOG(2)+Base!AW73</f>
        <v>1.9947822169547171</v>
      </c>
      <c r="AX101" s="68">
        <f>Base!$B$80*(LOG(AX87/Parameters!$B$71))/LOG(2)+Base!AX73</f>
        <v>1.9922199983824407</v>
      </c>
      <c r="AY101" s="68">
        <f>Base!$B$80*(LOG(AY87/Parameters!$B$71))/LOG(2)+Base!AY73</f>
        <v>1.9897237654242153</v>
      </c>
      <c r="AZ101" s="68">
        <f>Base!$B$80*(LOG(AZ87/Parameters!$B$71))/LOG(2)+Base!AZ73</f>
        <v>1.9872856143322313</v>
      </c>
      <c r="BA101" s="68">
        <f>Base!$B$80*(LOG(BA87/Parameters!$B$71))/LOG(2)+Base!BA73</f>
        <v>1.9848986378897231</v>
      </c>
      <c r="BB101" s="68">
        <f>Base!$B$80*(LOG(BB87/Parameters!$B$71))/LOG(2)+Base!BB73</f>
        <v>1.9825568001218263</v>
      </c>
      <c r="BC101" s="68">
        <f>Base!$B$80*(LOG(BC87/Parameters!$B$71))/LOG(2)+Base!BC73</f>
        <v>1.9802548266643134</v>
      </c>
      <c r="BD101" s="68">
        <f>Base!$B$80*(LOG(BD87/Parameters!$B$71))/LOG(2)+Base!BD73</f>
        <v>1.9779881088542335</v>
      </c>
      <c r="BE101" s="68">
        <f>Base!$B$80*(LOG(BE87/Parameters!$B$71))/LOG(2)+Base!BE73</f>
        <v>1.9757526198412108</v>
      </c>
      <c r="BF101" s="68">
        <f>Base!$B$80*(LOG(BF87/Parameters!$B$71))/LOG(2)+Base!BF73</f>
        <v>1.9735448412254066</v>
      </c>
      <c r="BG101" s="68">
        <f>Base!$B$80*(LOG(BG87/Parameters!$B$71))/LOG(2)+Base!BG73</f>
        <v>1.9713616989110432</v>
      </c>
      <c r="BH101" s="68">
        <f>Base!$B$80*(LOG(BH87/Parameters!$B$71))/LOG(2)+Base!BH73</f>
        <v>2.1674817598863836</v>
      </c>
      <c r="BI101" s="68">
        <f>Base!$B$80*(LOG(BI87/Parameters!$B$71))/LOG(2)+Base!BI73</f>
        <v>2.7105049009271132</v>
      </c>
      <c r="BJ101" s="68"/>
      <c r="BK101" s="68"/>
      <c r="BL101" s="68"/>
      <c r="BM101" s="68"/>
      <c r="BN101" s="68"/>
      <c r="BO101" s="68"/>
      <c r="BP101" s="68"/>
      <c r="BQ101" s="68"/>
      <c r="BR101" s="68"/>
      <c r="BS101" s="68"/>
      <c r="BT101" s="68"/>
      <c r="BU101" s="68"/>
      <c r="BV101" s="68"/>
      <c r="BW101" s="68"/>
      <c r="BX101" s="68"/>
      <c r="BY101" s="68"/>
      <c r="BZ101" s="68"/>
      <c r="CA101" s="68"/>
      <c r="CB101" s="68"/>
      <c r="CC101" s="68"/>
      <c r="CD101" s="68"/>
      <c r="CE101" s="68"/>
      <c r="CF101" s="68"/>
      <c r="CG101" s="68"/>
      <c r="CH101" s="68"/>
      <c r="CI101" s="68"/>
      <c r="CJ101" s="68"/>
      <c r="CK101" s="68"/>
      <c r="CL101" s="68"/>
      <c r="CM101" s="68"/>
      <c r="CN101" s="68"/>
      <c r="CO101" s="68"/>
      <c r="CP101" s="68"/>
      <c r="CQ101" s="68"/>
      <c r="CR101" s="68"/>
      <c r="CS101" s="68"/>
      <c r="CT101" s="68"/>
      <c r="CU101" s="68"/>
      <c r="CV101" s="68"/>
      <c r="CW101" s="68"/>
      <c r="CX101" s="68"/>
      <c r="CY101" s="68"/>
      <c r="CZ101" s="68"/>
      <c r="DA101" s="68"/>
      <c r="DB101" s="68"/>
      <c r="DC101" s="68"/>
      <c r="DD101" s="68"/>
      <c r="DE101" s="68"/>
      <c r="DF101" s="68"/>
      <c r="DG101" s="68"/>
      <c r="DH101" s="68"/>
      <c r="DI101" s="68"/>
      <c r="DJ101" s="68"/>
      <c r="DK101" s="68"/>
      <c r="DL101" s="68"/>
      <c r="DM101" s="68"/>
      <c r="DN101" s="68"/>
      <c r="DO101" s="68"/>
      <c r="DP101" s="68"/>
      <c r="DQ101" s="68"/>
      <c r="DR101" s="68"/>
      <c r="DS101" s="68"/>
      <c r="DT101" s="68"/>
      <c r="DU101" s="68"/>
      <c r="DV101" s="68"/>
      <c r="DW101" s="68"/>
      <c r="DX101" s="68"/>
    </row>
    <row r="102" spans="1:309" s="23" customFormat="1" ht="18" customHeight="1" x14ac:dyDescent="0.3">
      <c r="A102" s="50" t="s">
        <v>44</v>
      </c>
      <c r="B102" s="23">
        <f xml:space="preserve"> Base!B77</f>
        <v>6.7999999999999996E-3</v>
      </c>
      <c r="C102" s="23">
        <f>B102+ Base!$B84*(B100-B102)</f>
        <v>2.7380000000000002E-2</v>
      </c>
      <c r="D102" s="23">
        <f>C102+ Base!$B84*(C100-C102)</f>
        <v>5.0063063580139205E-2</v>
      </c>
      <c r="E102" s="23">
        <f>D102+ Base!$B84*(D100-D102)</f>
        <v>7.4667282411710861E-2</v>
      </c>
      <c r="F102" s="23">
        <f>E102+ Base!$B84*(E100-E102)</f>
        <v>0.10102227863160923</v>
      </c>
      <c r="G102" s="23">
        <f>F102+ Base!$B84*(F100-F102)</f>
        <v>0.1289577416290322</v>
      </c>
      <c r="H102" s="23">
        <f>G102+ Base!$B84*(G100-G102)</f>
        <v>0.15829373651598019</v>
      </c>
      <c r="I102" s="23">
        <f>H102+ Base!$B84*(H100-H102)</f>
        <v>0.18883236693505273</v>
      </c>
      <c r="J102" s="23">
        <f>I102+ Base!$B84*(I100-I102)</f>
        <v>0.22035039984424923</v>
      </c>
      <c r="K102" s="23">
        <f>J102+ Base!$B84*(J100-J102)</f>
        <v>0.25259239989969134</v>
      </c>
      <c r="L102" s="23">
        <f>K102+ Base!$B84*(K100-K102)</f>
        <v>0.28526377345199616</v>
      </c>
      <c r="M102" s="23">
        <f>L102+ Base!$B84*(L100-L102)</f>
        <v>0.31809053772210399</v>
      </c>
      <c r="N102" s="23">
        <f>M102+ Base!$B84*(M100-M102)</f>
        <v>0.3508617401192457</v>
      </c>
      <c r="O102" s="23">
        <f>N102+ Base!$B84*(N100-N102)</f>
        <v>0.38341827556303693</v>
      </c>
      <c r="P102" s="23">
        <f>O102+ Base!$B84*(O100-O102)</f>
        <v>0.41564342055715292</v>
      </c>
      <c r="Q102" s="23">
        <f>P102+ Base!$B84*(P100-P102)</f>
        <v>0.447454850676753</v>
      </c>
      <c r="R102" s="23">
        <f>Q102+ Base!$B84*(Q100-Q102)</f>
        <v>0.47879793574752921</v>
      </c>
      <c r="S102" s="23">
        <f>R102+ Base!$B84*(R100-R102)</f>
        <v>0.50964013189055546</v>
      </c>
      <c r="T102" s="23">
        <f>S102+ Base!$B84*(S100-S102)</f>
        <v>0.53996631201051326</v>
      </c>
      <c r="U102" s="23">
        <f>T102+ Base!$B84*(T100-T102)</f>
        <v>0.56977489640825274</v>
      </c>
      <c r="V102" s="23">
        <f>U102+ Base!$B84*(U100-U102)</f>
        <v>0.59898626317521031</v>
      </c>
      <c r="W102" s="23">
        <f>V102+ Base!$B84*(V100-V102)</f>
        <v>0.62754247047581635</v>
      </c>
      <c r="X102" s="23">
        <f>W102+ Base!$B84*(W100-W102)</f>
        <v>0.65540320354404369</v>
      </c>
      <c r="Y102" s="23">
        <f>X102+ Base!$B84*(X100-X102)</f>
        <v>0.68254238973995118</v>
      </c>
      <c r="Z102" s="23">
        <f>Y102+ Base!$B84*(Y100-Y102)</f>
        <v>0.70894538001549989</v>
      </c>
      <c r="AA102" s="23">
        <f>Z102+ Base!$B84*(Z100-Z102)</f>
        <v>0.7346066095309175</v>
      </c>
      <c r="AB102" s="23">
        <f>AA102+ Base!$B84*(AA100-AA102)</f>
        <v>0.75952766268318439</v>
      </c>
      <c r="AC102" s="23">
        <f>AB102+ Base!$B84*(AB100-AB102)</f>
        <v>0.78371567867141878</v>
      </c>
      <c r="AD102" s="23">
        <f>AC102+ Base!$B84*(AC100-AC102)</f>
        <v>0.80718204312522113</v>
      </c>
      <c r="AE102" s="23">
        <f>AD102+ Base!$B84*(AD100-AD102)</f>
        <v>0.82994131943801253</v>
      </c>
      <c r="AF102" s="23">
        <f>AE102+ Base!$B84*(AE100-AE102)</f>
        <v>0.85201038043711586</v>
      </c>
      <c r="AG102" s="23">
        <f>AF102+ Base!$B84*(AF100-AF102)</f>
        <v>0.87340770702826254</v>
      </c>
      <c r="AH102" s="23">
        <f>AG102+ Base!$B84*(AG100-AG102)</f>
        <v>0.89415282560142195</v>
      </c>
      <c r="AI102" s="23">
        <f>AH102+ Base!$B84*(AH100-AH102)</f>
        <v>0.91426586039011581</v>
      </c>
      <c r="AJ102" s="23">
        <f>AI102+ Base!$B84*(AI100-AI102)</f>
        <v>0.93376718073735654</v>
      </c>
      <c r="AK102" s="23">
        <f>AJ102+ Base!$B84*(AJ100-AJ102)</f>
        <v>0.9526771264257744</v>
      </c>
      <c r="AL102" s="23">
        <f>AK102+ Base!$B84*(AK100-AK102)</f>
        <v>0.97101579695430851</v>
      </c>
      <c r="AM102" s="23">
        <f>AL102+ Base!$B84*(AL100-AL102)</f>
        <v>0.9888028929562791</v>
      </c>
      <c r="AN102" s="23">
        <f>AM102+ Base!$B84*(AM100-AM102)</f>
        <v>1.0060575999123107</v>
      </c>
      <c r="AO102" s="23">
        <f>AN102+ Base!$B84*(AN100-AN102)</f>
        <v>1.0227985059673332</v>
      </c>
      <c r="AP102" s="23">
        <f>AO102+ Base!$B84*(AO100-AO102)</f>
        <v>1.0390435470578283</v>
      </c>
      <c r="AQ102" s="23">
        <f>AP102+ Base!$B84*(AP100-AP102)</f>
        <v>1.054809973731706</v>
      </c>
      <c r="AR102" s="23">
        <f>AQ102+ Base!$B84*(AQ100-AQ102)</f>
        <v>1.0701143350315252</v>
      </c>
      <c r="AS102" s="23">
        <f>AR102+ Base!$B84*(AR100-AR102)</f>
        <v>1.0849724756404577</v>
      </c>
      <c r="AT102" s="23">
        <f>AS102+ Base!$B84*(AS100-AS102)</f>
        <v>1.0993995431836818</v>
      </c>
      <c r="AU102" s="23">
        <f>AT102+ Base!$B84*(AT100-AT102)</f>
        <v>1.1134100031565377</v>
      </c>
      <c r="AV102" s="23">
        <f>AU102+ Base!$B84*(AU100-AU102)</f>
        <v>1.1270176594325494</v>
      </c>
      <c r="AW102" s="23">
        <f>AV102+ Base!$B84*(AV100-AV102)</f>
        <v>1.1402356787044665</v>
      </c>
      <c r="AX102" s="23">
        <f>AW102+ Base!$B84*(AW100-AW102)</f>
        <v>1.1530766175427116</v>
      </c>
      <c r="AY102" s="23">
        <f>AX102+ Base!$B84*(AX100-AX102)</f>
        <v>1.1655524510290241</v>
      </c>
      <c r="AZ102" s="23">
        <f>AY102+ Base!$B84*(AY100-AY102)</f>
        <v>1.1776746021479922</v>
      </c>
      <c r="BA102" s="23">
        <f>AZ102+ Base!$B84*(AZ100-AZ102)</f>
        <v>1.1894539713034646</v>
      </c>
      <c r="BB102" s="23">
        <f>BA102+ Base!$B84*(BA100-BA102)</f>
        <v>1.2009009654772198</v>
      </c>
      <c r="BC102" s="23">
        <f>BB102+ Base!$B84*(BB100-BB102)</f>
        <v>1.2120255266694113</v>
      </c>
      <c r="BD102" s="23">
        <f>BC102+ Base!$B84*(BC100-BC102)</f>
        <v>1.2228371593589478</v>
      </c>
      <c r="BE102" s="23">
        <f>BD102+ Base!$B84*(BD100-BD102)</f>
        <v>1.2333449568011428</v>
      </c>
      <c r="BF102" s="23">
        <f>BE102+ Base!$B84*(BE100-BE102)</f>
        <v>1.2435576260430472</v>
      </c>
      <c r="BG102" s="23">
        <f>BF102+ Base!$B84*(BF100-BF102)</f>
        <v>1.2534835115866894</v>
      </c>
      <c r="BH102" s="23">
        <f>BG102+ Base!$B84*(BG100-BG102)</f>
        <v>1.2631306176693662</v>
      </c>
      <c r="BI102" s="23">
        <f>BH102+ Base!$B84*(BH100-BH102)</f>
        <v>1.2730221604175775</v>
      </c>
    </row>
    <row r="103" spans="1:309" ht="18" customHeight="1" thickBot="1" x14ac:dyDescent="0.4">
      <c r="A103" s="53" t="s">
        <v>202</v>
      </c>
    </row>
    <row r="104" spans="1:309" ht="18" customHeight="1" thickTop="1" thickBot="1" x14ac:dyDescent="0.4">
      <c r="A104" s="54" t="s">
        <v>56</v>
      </c>
      <c r="B104" s="3"/>
    </row>
    <row r="105" spans="1:309" ht="18" customHeight="1" thickTop="1" x14ac:dyDescent="0.35">
      <c r="A105" s="50" t="s">
        <v>57</v>
      </c>
      <c r="B105" s="3">
        <f t="shared" ref="B105:BI105" si="13">B21*B118^$B5*(B53/1000)^(1-$B5)</f>
        <v>66.864873656992827</v>
      </c>
      <c r="C105" s="3">
        <f t="shared" si="13"/>
        <v>81.558269796839625</v>
      </c>
      <c r="D105" s="3">
        <f t="shared" si="13"/>
        <v>97.181967602443976</v>
      </c>
      <c r="E105" s="3">
        <f t="shared" si="13"/>
        <v>114.21558068187552</v>
      </c>
      <c r="F105" s="3">
        <f t="shared" si="13"/>
        <v>132.75233275563005</v>
      </c>
      <c r="G105" s="3">
        <f t="shared" si="13"/>
        <v>152.85775528325152</v>
      </c>
      <c r="H105" s="3">
        <f t="shared" si="13"/>
        <v>174.57241974271327</v>
      </c>
      <c r="I105" s="3">
        <f t="shared" si="13"/>
        <v>197.90816842369637</v>
      </c>
      <c r="J105" s="3">
        <f t="shared" si="13"/>
        <v>222.83427053793238</v>
      </c>
      <c r="K105" s="3">
        <f t="shared" si="13"/>
        <v>249.24530336186129</v>
      </c>
      <c r="L105" s="3">
        <f t="shared" si="13"/>
        <v>277.34072454191511</v>
      </c>
      <c r="M105" s="3">
        <f t="shared" si="13"/>
        <v>307.29995927208176</v>
      </c>
      <c r="N105" s="3">
        <f t="shared" si="13"/>
        <v>339.07245390642123</v>
      </c>
      <c r="O105" s="3">
        <f t="shared" si="13"/>
        <v>372.62249496407821</v>
      </c>
      <c r="P105" s="3">
        <f t="shared" si="13"/>
        <v>407.92227781134659</v>
      </c>
      <c r="Q105" s="3">
        <f t="shared" si="13"/>
        <v>444.94743514780527</v>
      </c>
      <c r="R105" s="3">
        <f t="shared" si="13"/>
        <v>483.67417150206154</v>
      </c>
      <c r="S105" s="3">
        <f t="shared" si="13"/>
        <v>524.07742117548867</v>
      </c>
      <c r="T105" s="3">
        <f t="shared" si="13"/>
        <v>566.1296310634649</v>
      </c>
      <c r="U105" s="3">
        <f t="shared" si="13"/>
        <v>609.79987937839883</v>
      </c>
      <c r="V105" s="3">
        <f t="shared" si="13"/>
        <v>655.05991773534038</v>
      </c>
      <c r="W105" s="3">
        <f t="shared" si="13"/>
        <v>701.87646906103203</v>
      </c>
      <c r="X105" s="3">
        <f t="shared" si="13"/>
        <v>750.21175820539315</v>
      </c>
      <c r="Y105" s="3">
        <f t="shared" si="13"/>
        <v>800.02391879285381</v>
      </c>
      <c r="Z105" s="3">
        <f t="shared" si="13"/>
        <v>851.26732918598179</v>
      </c>
      <c r="AA105" s="3">
        <f t="shared" si="13"/>
        <v>903.8929103557881</v>
      </c>
      <c r="AB105" s="3">
        <f t="shared" si="13"/>
        <v>957.84840511207574</v>
      </c>
      <c r="AC105" s="3">
        <f t="shared" si="13"/>
        <v>1013.0786498463484</v>
      </c>
      <c r="AD105" s="3">
        <f t="shared" si="13"/>
        <v>1069.5258451931086</v>
      </c>
      <c r="AE105" s="3">
        <f t="shared" si="13"/>
        <v>1127.1298285615364</v>
      </c>
      <c r="AF105" s="3">
        <f t="shared" si="13"/>
        <v>1185.8283495191113</v>
      </c>
      <c r="AG105" s="3">
        <f t="shared" si="13"/>
        <v>1245.6143568696064</v>
      </c>
      <c r="AH105" s="3">
        <f t="shared" si="13"/>
        <v>1306.4061578400253</v>
      </c>
      <c r="AI105" s="3">
        <f t="shared" si="13"/>
        <v>1368.1251871684697</v>
      </c>
      <c r="AJ105" s="3">
        <f t="shared" si="13"/>
        <v>1430.6951073237226</v>
      </c>
      <c r="AK105" s="3">
        <f t="shared" si="13"/>
        <v>1494.0412129295369</v>
      </c>
      <c r="AL105" s="3">
        <f t="shared" si="13"/>
        <v>1558.0900575085288</v>
      </c>
      <c r="AM105" s="3">
        <f t="shared" si="13"/>
        <v>1622.7692412133683</v>
      </c>
      <c r="AN105" s="3">
        <f t="shared" si="13"/>
        <v>1688.0073137588786</v>
      </c>
      <c r="AO105" s="3">
        <f t="shared" si="13"/>
        <v>1753.7337584598949</v>
      </c>
      <c r="AP105" s="3">
        <f t="shared" si="13"/>
        <v>1819.8790320403091</v>
      </c>
      <c r="AQ105" s="3">
        <f t="shared" si="13"/>
        <v>1886.3746414295715</v>
      </c>
      <c r="AR105" s="3">
        <f t="shared" si="13"/>
        <v>1953.153243656833</v>
      </c>
      <c r="AS105" s="3">
        <f t="shared" si="13"/>
        <v>2020.1487586088165</v>
      </c>
      <c r="AT105" s="3">
        <f t="shared" si="13"/>
        <v>2087.2964871506506</v>
      </c>
      <c r="AU105" s="3">
        <f t="shared" si="13"/>
        <v>2154.5332291546601</v>
      </c>
      <c r="AV105" s="3">
        <f t="shared" si="13"/>
        <v>2221.7973975162686</v>
      </c>
      <c r="AW105" s="3">
        <f t="shared" si="13"/>
        <v>2289.0291253889523</v>
      </c>
      <c r="AX105" s="3">
        <f t="shared" si="13"/>
        <v>2356.1703647384329</v>
      </c>
      <c r="AY105" s="3">
        <f t="shared" si="13"/>
        <v>2423.1649749714884</v>
      </c>
      <c r="AZ105" s="3">
        <f t="shared" si="13"/>
        <v>2489.958800890191</v>
      </c>
      <c r="BA105" s="3">
        <f t="shared" si="13"/>
        <v>2556.4997395971409</v>
      </c>
      <c r="BB105" s="3">
        <f t="shared" si="13"/>
        <v>2622.737796260772</v>
      </c>
      <c r="BC105" s="3">
        <f t="shared" si="13"/>
        <v>2688.6251288634949</v>
      </c>
      <c r="BD105" s="3">
        <f t="shared" si="13"/>
        <v>2754.1160822158417</v>
      </c>
      <c r="BE105" s="3">
        <f t="shared" si="13"/>
        <v>2819.1672116386517</v>
      </c>
      <c r="BF105" s="3">
        <f t="shared" si="13"/>
        <v>2883.7372968022228</v>
      </c>
      <c r="BG105" s="3">
        <f t="shared" si="13"/>
        <v>2947.7873462727994</v>
      </c>
      <c r="BH105" s="3">
        <f t="shared" si="13"/>
        <v>3011.4649039281039</v>
      </c>
      <c r="BI105" s="3">
        <f t="shared" si="13"/>
        <v>3074.6241996559215</v>
      </c>
    </row>
    <row r="106" spans="1:309" ht="18" customHeight="1" x14ac:dyDescent="0.35">
      <c r="A106" s="50" t="s">
        <v>125</v>
      </c>
      <c r="B106" s="3">
        <f>($B25*B100+$B26*B100^$B$27+$B$30*(B100/$B$28)^$B$29)*Parameters!$B$29</f>
        <v>1.8350573750000002E-3</v>
      </c>
      <c r="C106" s="3">
        <f>($B25*C100+$B26*C100^$B$27+$B$30*(C100/$B$28)^$B$29)*Parameters!$B$29</f>
        <v>2.327235383937417E-3</v>
      </c>
      <c r="D106" s="3">
        <f>($B25*D100+$B26*D100^$B$27+$B$30*(D100/$B$28)^$B$29)*Parameters!$B$29</f>
        <v>2.8492414325223593E-3</v>
      </c>
      <c r="E106" s="3">
        <f>($B25*E100+$B26*E100^$B$27+$B$30*(E100/$B$28)^$B$29)*Parameters!$B$29</f>
        <v>3.3945258385395124E-3</v>
      </c>
      <c r="F106" s="3">
        <f>($B25*F100+$B26*F100^$B$27+$B$30*(F100/$B$28)^$B$29)*Parameters!$B$29</f>
        <v>3.9545978679433056E-3</v>
      </c>
      <c r="G106" s="3">
        <f>($B25*G100+$B26*G100^$B$27+$B$30*(G100/$B$28)^$B$29)*Parameters!$B$29</f>
        <v>4.5183575543440782E-3</v>
      </c>
      <c r="H106" s="3">
        <f>($B25*H100+$B26*H100^$B$27+$B$30*(H100/$B$28)^$B$29)*Parameters!$B$29</f>
        <v>5.0716615616458139E-3</v>
      </c>
      <c r="I106" s="3">
        <f>($B25*I100+$B26*I100^$B$27+$B$30*(I100/$B$28)^$B$29)*Parameters!$B$29</f>
        <v>5.597087164919844E-3</v>
      </c>
      <c r="J106" s="3">
        <f>($B25*J100+$B26*J100^$B$27+$B$30*(J100/$B$28)^$B$29)*Parameters!$B$29</f>
        <v>6.0738609476093447E-3</v>
      </c>
      <c r="K106" s="3">
        <f>($B25*K100+$B26*K100^$B$27+$B$30*(K100/$B$28)^$B$29)*Parameters!$B$29</f>
        <v>6.4779097281518414E-3</v>
      </c>
      <c r="L106" s="3">
        <f>($B25*L100+$B26*L100^$B$27+$B$30*(L100/$B$28)^$B$29)*Parameters!$B$29</f>
        <v>6.8050093407729063E-3</v>
      </c>
      <c r="M106" s="3">
        <f>($B25*M100+$B26*M100^$B$27+$B$30*(M100/$B$28)^$B$29)*Parameters!$B$29</f>
        <v>7.0681036556997064E-3</v>
      </c>
      <c r="N106" s="3">
        <f>($B25*N100+$B26*N100^$B$27+$B$30*(N100/$B$28)^$B$29)*Parameters!$B$29</f>
        <v>7.2795390863934269E-3</v>
      </c>
      <c r="O106" s="3">
        <f>($B25*O100+$B26*O100^$B$27+$B$30*(O100/$B$28)^$B$29)*Parameters!$B$29</f>
        <v>7.4505148439557908E-3</v>
      </c>
      <c r="P106" s="3">
        <f>($B25*P100+$B26*P100^$B$27+$B$30*(P100/$B$28)^$B$29)*Parameters!$B$29</f>
        <v>7.5908450125521483E-3</v>
      </c>
      <c r="Q106" s="3">
        <f>($B25*Q100+$B26*Q100^$B$27+$B$30*(Q100/$B$28)^$B$29)*Parameters!$B$29</f>
        <v>7.7089123454911791E-3</v>
      </c>
      <c r="R106" s="3">
        <f>($B25*R100+$B26*R100^$B$27+$B$30*(R100/$B$28)^$B$29)*Parameters!$B$29</f>
        <v>7.8117333659262298E-3</v>
      </c>
      <c r="S106" s="3">
        <f>($B25*S100+$B26*S100^$B$27+$B$30*(S100/$B$28)^$B$29)*Parameters!$B$29</f>
        <v>7.9050821092935368E-3</v>
      </c>
      <c r="T106" s="3">
        <f>($B25*T100+$B26*T100^$B$27+$B$30*(T100/$B$28)^$B$29)*Parameters!$B$29</f>
        <v>7.9936389971381368E-3</v>
      </c>
      <c r="U106" s="3">
        <f>($B25*U100+$B26*U100^$B$27+$B$30*(U100/$B$28)^$B$29)*Parameters!$B$29</f>
        <v>8.0483662018024094E-3</v>
      </c>
      <c r="V106" s="3">
        <f>($B25*V100+$B26*V100^$B$27+$B$30*(V100/$B$28)^$B$29)*Parameters!$B$29</f>
        <v>8.0762177014077063E-3</v>
      </c>
      <c r="W106" s="3">
        <f>($B25*W100+$B26*W100^$B$27+$B$30*(W100/$B$28)^$B$29)*Parameters!$B$29</f>
        <v>8.0830580838164856E-3</v>
      </c>
      <c r="X106" s="3">
        <f>($B25*X100+$B26*X100^$B$27+$B$30*(X100/$B$28)^$B$29)*Parameters!$B$29</f>
        <v>8.0737698023877237E-3</v>
      </c>
      <c r="Y106" s="3">
        <f>($B25*Y100+$B26*Y100^$B$27+$B$30*(Y100/$B$28)^$B$29)*Parameters!$B$29</f>
        <v>8.052371216519718E-3</v>
      </c>
      <c r="Z106" s="3">
        <f>($B25*Z100+$B26*Z100^$B$27+$B$30*(Z100/$B$28)^$B$29)*Parameters!$B$29</f>
        <v>8.0221342662051155E-3</v>
      </c>
      <c r="AA106" s="3">
        <f>($B25*AA100+$B26*AA100^$B$27+$B$30*(AA100/$B$28)^$B$29)*Parameters!$B$29</f>
        <v>7.9856953462830328E-3</v>
      </c>
      <c r="AB106" s="3">
        <f>($B25*AB100+$B26*AB100^$B$27+$B$30*(AB100/$B$28)^$B$29)*Parameters!$B$29</f>
        <v>7.9451560389394282E-3</v>
      </c>
      <c r="AC106" s="3">
        <f>($B25*AC100+$B26*AC100^$B$27+$B$30*(AC100/$B$28)^$B$29)*Parameters!$B$29</f>
        <v>7.9021723396111351E-3</v>
      </c>
      <c r="AD106" s="3">
        <f>($B25*AD100+$B26*AD100^$B$27+$B$30*(AD100/$B$28)^$B$29)*Parameters!$B$29</f>
        <v>7.8580322300288753E-3</v>
      </c>
      <c r="AE106" s="3">
        <f>($B25*AE100+$B26*AE100^$B$27+$B$30*(AE100/$B$28)^$B$29)*Parameters!$B$29</f>
        <v>7.8137221635988709E-3</v>
      </c>
      <c r="AF106" s="3">
        <f>($B25*AF100+$B26*AF100^$B$27+$B$30*(AF100/$B$28)^$B$29)*Parameters!$B$29</f>
        <v>7.7699834068196234E-3</v>
      </c>
      <c r="AG106" s="3">
        <f>($B25*AG100+$B26*AG100^$B$27+$B$30*(AG100/$B$28)^$B$29)*Parameters!$B$29</f>
        <v>7.7273593455863751E-3</v>
      </c>
      <c r="AH106" s="3">
        <f>($B25*AH100+$B26*AH100^$B$27+$B$30*(AH100/$B$28)^$B$29)*Parameters!$B$29</f>
        <v>7.686234898239626E-3</v>
      </c>
      <c r="AI106" s="3">
        <f>($B25*AI100+$B26*AI100^$B$27+$B$30*(AI100/$B$28)^$B$29)*Parameters!$B$29</f>
        <v>7.6468691323723359E-3</v>
      </c>
      <c r="AJ106" s="3">
        <f>($B25*AJ100+$B26*AJ100^$B$27+$B$30*(AJ100/$B$28)^$B$29)*Parameters!$B$29</f>
        <v>7.6094220953982494E-3</v>
      </c>
      <c r="AK106" s="3">
        <f>($B25*AK100+$B26*AK100^$B$27+$B$30*(AK100/$B$28)^$B$29)*Parameters!$B$29</f>
        <v>7.5739767625931497E-3</v>
      </c>
      <c r="AL106" s="3">
        <f>($B25*AL100+$B26*AL100^$B$27+$B$30*(AL100/$B$28)^$B$29)*Parameters!$B$29</f>
        <v>7.5405568949775421E-3</v>
      </c>
      <c r="AM106" s="3">
        <f>($B25*AM100+$B26*AM100^$B$27+$B$30*(AM100/$B$28)^$B$29)*Parameters!$B$29</f>
        <v>7.5091414914453319E-3</v>
      </c>
      <c r="AN106" s="3">
        <f>($B25*AN100+$B26*AN100^$B$27+$B$30*(AN100/$B$28)^$B$29)*Parameters!$B$29</f>
        <v>7.4796764195865584E-3</v>
      </c>
      <c r="AO106" s="3">
        <f>($B25*AO100+$B26*AO100^$B$27+$B$30*(AO100/$B$28)^$B$29)*Parameters!$B$29</f>
        <v>7.4520837198875974E-3</v>
      </c>
      <c r="AP106" s="3">
        <f>($B25*AP100+$B26*AP100^$B$27+$B$30*(AP100/$B$28)^$B$29)*Parameters!$B$29</f>
        <v>7.4262689990842179E-3</v>
      </c>
      <c r="AQ106" s="3">
        <f>($B25*AQ100+$B26*AQ100^$B$27+$B$30*(AQ100/$B$28)^$B$29)*Parameters!$B$29</f>
        <v>7.4021272601506646E-3</v>
      </c>
      <c r="AR106" s="3">
        <f>($B25*AR100+$B26*AR100^$B$27+$B$30*(AR100/$B$28)^$B$29)*Parameters!$B$29</f>
        <v>7.3795474579903654E-3</v>
      </c>
      <c r="AS106" s="3">
        <f>($B25*AS100+$B26*AS100^$B$27+$B$30*(AS100/$B$28)^$B$29)*Parameters!$B$29</f>
        <v>7.3584160203678745E-3</v>
      </c>
      <c r="AT106" s="3">
        <f>($B25*AT100+$B26*AT100^$B$27+$B$30*(AT100/$B$28)^$B$29)*Parameters!$B$29</f>
        <v>7.3386195319244275E-3</v>
      </c>
      <c r="AU106" s="3">
        <f>($B25*AU100+$B26*AU100^$B$27+$B$30*(AU100/$B$28)^$B$29)*Parameters!$B$29</f>
        <v>7.3200467442038532E-3</v>
      </c>
      <c r="AV106" s="3">
        <f>($B25*AV100+$B26*AV100^$B$27+$B$30*(AV100/$B$28)^$B$29)*Parameters!$B$29</f>
        <v>7.3025900455047235E-3</v>
      </c>
      <c r="AW106" s="3">
        <f>($B25*AW100+$B26*AW100^$B$27+$B$30*(AW100/$B$28)^$B$29)*Parameters!$B$29</f>
        <v>7.2861465001869113E-3</v>
      </c>
      <c r="AX106" s="3">
        <f>($B25*AX100+$B26*AX100^$B$27+$B$30*(AX100/$B$28)^$B$29)*Parameters!$B$29</f>
        <v>7.2706185470197355E-3</v>
      </c>
      <c r="AY106" s="3">
        <f>($B25*AY100+$B26*AY100^$B$27+$B$30*(AY100/$B$28)^$B$29)*Parameters!$B$29</f>
        <v>7.2559144295922563E-3</v>
      </c>
      <c r="AZ106" s="3">
        <f>($B25*AZ100+$B26*AZ100^$B$27+$B$30*(AZ100/$B$28)^$B$29)*Parameters!$B$29</f>
        <v>7.241948418138266E-3</v>
      </c>
      <c r="BA106" s="3">
        <f>($B25*BA100+$B26*BA100^$B$27+$B$30*(BA100/$B$28)^$B$29)*Parameters!$B$29</f>
        <v>7.2286408708716957E-3</v>
      </c>
      <c r="BB106" s="3">
        <f>($B25*BB100+$B26*BB100^$B$27+$B$30*(BB100/$B$28)^$B$29)*Parameters!$B$29</f>
        <v>7.215918173671715E-3</v>
      </c>
      <c r="BC106" s="3">
        <f>($B25*BC100+$B26*BC100^$B$27+$B$30*(BC100/$B$28)^$B$29)*Parameters!$B$29</f>
        <v>7.2037125893571969E-3</v>
      </c>
      <c r="BD106" s="3">
        <f>($B25*BD100+$B26*BD100^$B$27+$B$30*(BD100/$B$28)^$B$29)*Parameters!$B$29</f>
        <v>7.1919620415605611E-3</v>
      </c>
      <c r="BE106" s="3">
        <f>($B25*BE100+$B26*BE100^$B$27+$B$30*(BE100/$B$28)^$B$29)*Parameters!$B$29</f>
        <v>7.1806098531132382E-3</v>
      </c>
      <c r="BF106" s="3">
        <f>($B25*BF100+$B26*BF100^$B$27+$B$30*(BF100/$B$28)^$B$29)*Parameters!$B$29</f>
        <v>7.169604454690965E-3</v>
      </c>
      <c r="BG106" s="3">
        <f>($B25*BG100+$B26*BG100^$B$27+$B$30*(BG100/$B$28)^$B$29)*Parameters!$B$29</f>
        <v>7.158899076073367E-3</v>
      </c>
      <c r="BH106" s="3">
        <f>($B25*BH100+$B26*BH100^$B$27+$B$30*(BH100/$B$28)^$B$29)*Parameters!$B$29</f>
        <v>7.3295531529669082E-3</v>
      </c>
      <c r="BI106" s="3">
        <f>($B25*BI100+$B26*BI100^$B$27+$B$30*(BI100/$B$28)^$B$29)*Parameters!$B$29</f>
        <v>7.9926533918872576E-3</v>
      </c>
    </row>
    <row r="107" spans="1:309" ht="18" customHeight="1" x14ac:dyDescent="0.35">
      <c r="A107" s="50" t="s">
        <v>126</v>
      </c>
      <c r="B107" s="3">
        <f>+B105*B106/(1+B106^Parameters!$B$56)</f>
        <v>0.12270087953270792</v>
      </c>
      <c r="C107" s="3">
        <f>+C105*C106/(1+C106^Parameters!$B$56)</f>
        <v>0.18980529132391952</v>
      </c>
      <c r="D107" s="3">
        <f>+D105*D106/(1+D106^Parameters!$B$56)</f>
        <v>0.27689488858692896</v>
      </c>
      <c r="E107" s="3">
        <f>+E105*E106/(1+E106^Parameters!$B$56)</f>
        <v>0.38770773978842082</v>
      </c>
      <c r="F107" s="3">
        <f>+F105*F106/(1+F106^Parameters!$B$56)</f>
        <v>0.52498209207991486</v>
      </c>
      <c r="G107" s="3">
        <f>+G105*G106/(1+G106^Parameters!$B$56)</f>
        <v>0.6906659933241579</v>
      </c>
      <c r="H107" s="3">
        <f>+H105*H106/(1+H106^Parameters!$B$56)</f>
        <v>0.88537223093261763</v>
      </c>
      <c r="I107" s="3">
        <f>+I105*I106/(1+I106^Parameters!$B$56)</f>
        <v>1.1077092693170656</v>
      </c>
      <c r="J107" s="3">
        <f>+J105*J106/(1+J106^Parameters!$B$56)</f>
        <v>1.353464373609363</v>
      </c>
      <c r="K107" s="3">
        <f>+K105*K106/(1+K106^Parameters!$B$56)</f>
        <v>1.6145885753439582</v>
      </c>
      <c r="L107" s="3">
        <f>+L105*L106/(1+L106^Parameters!$B$56)</f>
        <v>1.887306221084458</v>
      </c>
      <c r="M107" s="3">
        <f>+M105*M106/(1+M106^Parameters!$B$56)</f>
        <v>2.1720279655273722</v>
      </c>
      <c r="N107" s="3">
        <f>+N105*N106/(1+N106^Parameters!$B$56)</f>
        <v>2.4682911813311268</v>
      </c>
      <c r="O107" s="3">
        <f>+O105*O106/(1+O106^Parameters!$B$56)</f>
        <v>2.7762294299217065</v>
      </c>
      <c r="P107" s="3">
        <f>+P105*P106/(1+P106^Parameters!$B$56)</f>
        <v>3.0964747880331722</v>
      </c>
      <c r="Q107" s="3">
        <f>+Q105*Q106/(1+Q106^Parameters!$B$56)</f>
        <v>3.4300607759055519</v>
      </c>
      <c r="R107" s="3">
        <f>+R105*R106/(1+R106^Parameters!$B$56)</f>
        <v>3.7783336637593798</v>
      </c>
      <c r="S107" s="3">
        <f>+S105*S106/(1+S106^Parameters!$B$56)</f>
        <v>4.1428750460190491</v>
      </c>
      <c r="T107" s="3">
        <f>+T105*T106/(1+T106^Parameters!$B$56)</f>
        <v>4.5254358963043391</v>
      </c>
      <c r="U107" s="3">
        <f>+U105*U106/(1+U106^Parameters!$B$56)</f>
        <v>4.9078927390522908</v>
      </c>
      <c r="V107" s="3">
        <f>+V105*V106/(1+V106^Parameters!$B$56)</f>
        <v>5.2904065030968317</v>
      </c>
      <c r="W107" s="3">
        <f>+W105*W106/(1+W106^Parameters!$B$56)</f>
        <v>5.6733082670843462</v>
      </c>
      <c r="X107" s="3">
        <f>+X105*X106/(1+X106^Parameters!$B$56)</f>
        <v>6.0570370387949035</v>
      </c>
      <c r="Y107" s="3">
        <f>+Y105*Y106/(1+Y106^Parameters!$B$56)</f>
        <v>6.442089576214884</v>
      </c>
      <c r="Z107" s="3">
        <f>+Z105*Z106/(1+Z106^Parameters!$B$56)</f>
        <v>6.8289808111637749</v>
      </c>
      <c r="AA107" s="3">
        <f>+AA105*AA106/(1+AA106^Parameters!$B$56)</f>
        <v>7.2182134077664433</v>
      </c>
      <c r="AB107" s="3">
        <f>+AB105*AB106/(1+AB106^Parameters!$B$56)</f>
        <v>7.6102550402647084</v>
      </c>
      <c r="AC107" s="3">
        <f>+AC105*AC106/(1+AC106^Parameters!$B$56)</f>
        <v>8.0055220846664081</v>
      </c>
      <c r="AD107" s="3">
        <f>+AD105*AD106/(1+AD106^Parameters!$B$56)</f>
        <v>8.4043685623763213</v>
      </c>
      <c r="AE107" s="3">
        <f>+AE105*AE106/(1+AE106^Parameters!$B$56)</f>
        <v>8.8070793226846735</v>
      </c>
      <c r="AF107" s="3">
        <f>+AF105*AF106/(1+AF106^Parameters!$B$56)</f>
        <v>9.213866599099795</v>
      </c>
      <c r="AG107" s="3">
        <f>+AG105*AG106/(1+AG106^Parameters!$B$56)</f>
        <v>9.6253097415529147</v>
      </c>
      <c r="AH107" s="3">
        <f>+AH105*AH106/(1+AH106^Parameters!$B$56)</f>
        <v>10.041344601665148</v>
      </c>
      <c r="AI107" s="3">
        <f>+AI105*AI106/(1+AI106^Parameters!$B$56)</f>
        <v>10.461874262979695</v>
      </c>
      <c r="AJ107" s="3">
        <f>+AJ105*AJ106/(1+AJ106^Parameters!$B$56)</f>
        <v>10.886762961447305</v>
      </c>
      <c r="AK107" s="3">
        <f>+AK105*AK106/(1+AK106^Parameters!$B$56)</f>
        <v>11.315833429084796</v>
      </c>
      <c r="AL107" s="3">
        <f>+AL105*AL106/(1+AL106^Parameters!$B$56)</f>
        <v>11.748866726141893</v>
      </c>
      <c r="AM107" s="3">
        <f>+AM105*AM106/(1+AM106^Parameters!$B$56)</f>
        <v>12.185603840236562</v>
      </c>
      <c r="AN107" s="3">
        <f>+AN105*AN106/(1+AN106^Parameters!$B$56)</f>
        <v>12.625748500811934</v>
      </c>
      <c r="AO107" s="3">
        <f>+AO105*AO106/(1+AO106^Parameters!$B$56)</f>
        <v>13.068970790436271</v>
      </c>
      <c r="AP107" s="3">
        <f>+AP105*AP106/(1+AP106^Parameters!$B$56)</f>
        <v>13.514911237724341</v>
      </c>
      <c r="AQ107" s="3">
        <f>+AQ105*AQ106/(1+AQ106^Parameters!$B$56)</f>
        <v>13.963185156182767</v>
      </c>
      <c r="AR107" s="3">
        <f>+AR105*AR106/(1+AR106^Parameters!$B$56)</f>
        <v>14.413387054293418</v>
      </c>
      <c r="AS107" s="3">
        <f>+AS105*AS106/(1+AS106^Parameters!$B$56)</f>
        <v>14.865094988873389</v>
      </c>
      <c r="AT107" s="3">
        <f>+AT105*AT106/(1+AT106^Parameters!$B$56)</f>
        <v>15.317874769521008</v>
      </c>
      <c r="AU107" s="3">
        <f>+AU105*AU106/(1+AU106^Parameters!$B$56)</f>
        <v>15.771283949352584</v>
      </c>
      <c r="AV107" s="3">
        <f>+AV105*AV106/(1+AV106^Parameters!$B$56)</f>
        <v>16.224875558230604</v>
      </c>
      <c r="AW107" s="3">
        <f>+AW105*AW106/(1+AW106^Parameters!$B$56)</f>
        <v>16.678201550778621</v>
      </c>
      <c r="AX107" s="3">
        <f>+AX105*AX106/(1+AX106^Parameters!$B$56)</f>
        <v>17.130815953805506</v>
      </c>
      <c r="AY107" s="3">
        <f>+AY105*AY106/(1+AY106^Parameters!$B$56)</f>
        <v>17.582277707178182</v>
      </c>
      <c r="AZ107" s="3">
        <f>+AZ105*AZ106/(1+AZ106^Parameters!$B$56)</f>
        <v>18.032153199336172</v>
      </c>
      <c r="BA107" s="3">
        <f>+BA105*BA106/(1+BA106^Parameters!$B$56)</f>
        <v>18.480018504024741</v>
      </c>
      <c r="BB107" s="3">
        <f>+BB105*BB106/(1+BB106^Parameters!$B$56)</f>
        <v>18.92546132881381</v>
      </c>
      <c r="BC107" s="3">
        <f>+BC105*BC106/(1+BC106^Parameters!$B$56)</f>
        <v>19.368082688856074</v>
      </c>
      <c r="BD107" s="3">
        <f>+BD105*BD106/(1+BD106^Parameters!$B$56)</f>
        <v>19.807498321347818</v>
      </c>
      <c r="BE107" s="3">
        <f>+BE105*BE106/(1+BE106^Parameters!$B$56)</f>
        <v>20.243339857466275</v>
      </c>
      <c r="BF107" s="3">
        <f>+BF105*BF106/(1+BF106^Parameters!$B$56)</f>
        <v>20.675255769311697</v>
      </c>
      <c r="BG107" s="3">
        <f>+BG105*BG106/(1+BG106^Parameters!$B$56)</f>
        <v>21.102912109693104</v>
      </c>
      <c r="BH107" s="3">
        <f>+BH105*BH106/(1+BH106^Parameters!$B$56)</f>
        <v>22.07269208163542</v>
      </c>
      <c r="BI107" s="3">
        <f>+BI105*BI106/(1+BI106^Parameters!$B$56)</f>
        <v>24.574405538158548</v>
      </c>
    </row>
    <row r="108" spans="1:309" ht="18" customHeight="1" x14ac:dyDescent="0.35">
      <c r="A108" s="50" t="s">
        <v>9</v>
      </c>
      <c r="B108" s="3">
        <f t="shared" ref="B108:BI108" si="14">+B105-B107</f>
        <v>66.742172777460127</v>
      </c>
      <c r="C108" s="3">
        <f t="shared" si="14"/>
        <v>81.368464505515703</v>
      </c>
      <c r="D108" s="3">
        <f t="shared" si="14"/>
        <v>96.905072713857052</v>
      </c>
      <c r="E108" s="3">
        <f t="shared" si="14"/>
        <v>113.8278729420871</v>
      </c>
      <c r="F108" s="3">
        <f t="shared" si="14"/>
        <v>132.22735066355014</v>
      </c>
      <c r="G108" s="3">
        <f t="shared" si="14"/>
        <v>152.16708928992736</v>
      </c>
      <c r="H108" s="3">
        <f t="shared" si="14"/>
        <v>173.68704751178063</v>
      </c>
      <c r="I108" s="3">
        <f t="shared" si="14"/>
        <v>196.8004591543793</v>
      </c>
      <c r="J108" s="3">
        <f t="shared" si="14"/>
        <v>221.48080616432301</v>
      </c>
      <c r="K108" s="3">
        <f t="shared" si="14"/>
        <v>247.63071478651733</v>
      </c>
      <c r="L108" s="3">
        <f t="shared" si="14"/>
        <v>275.45341832083068</v>
      </c>
      <c r="M108" s="3">
        <f t="shared" si="14"/>
        <v>305.12793130655439</v>
      </c>
      <c r="N108" s="3">
        <f t="shared" si="14"/>
        <v>336.60416272509008</v>
      </c>
      <c r="O108" s="3">
        <f t="shared" si="14"/>
        <v>369.84626553415649</v>
      </c>
      <c r="P108" s="3">
        <f t="shared" si="14"/>
        <v>404.82580302331343</v>
      </c>
      <c r="Q108" s="3">
        <f t="shared" si="14"/>
        <v>441.51737437189973</v>
      </c>
      <c r="R108" s="3">
        <f t="shared" si="14"/>
        <v>479.89583783830216</v>
      </c>
      <c r="S108" s="3">
        <f t="shared" si="14"/>
        <v>519.9345461294696</v>
      </c>
      <c r="T108" s="3">
        <f t="shared" si="14"/>
        <v>561.60419516716058</v>
      </c>
      <c r="U108" s="3">
        <f t="shared" si="14"/>
        <v>604.89198663934656</v>
      </c>
      <c r="V108" s="3">
        <f t="shared" si="14"/>
        <v>649.76951123224353</v>
      </c>
      <c r="W108" s="3">
        <f t="shared" si="14"/>
        <v>696.20316079394763</v>
      </c>
      <c r="X108" s="3">
        <f t="shared" si="14"/>
        <v>744.15472116659828</v>
      </c>
      <c r="Y108" s="3">
        <f t="shared" si="14"/>
        <v>793.58182921663888</v>
      </c>
      <c r="Z108" s="3">
        <f t="shared" si="14"/>
        <v>844.43834837481802</v>
      </c>
      <c r="AA108" s="3">
        <f t="shared" si="14"/>
        <v>896.67469694802162</v>
      </c>
      <c r="AB108" s="3">
        <f t="shared" si="14"/>
        <v>950.23815007181099</v>
      </c>
      <c r="AC108" s="3">
        <f t="shared" si="14"/>
        <v>1005.073127761682</v>
      </c>
      <c r="AD108" s="3">
        <f t="shared" si="14"/>
        <v>1061.1214766307323</v>
      </c>
      <c r="AE108" s="3">
        <f t="shared" si="14"/>
        <v>1118.3227492388517</v>
      </c>
      <c r="AF108" s="3">
        <f t="shared" si="14"/>
        <v>1176.6144829200114</v>
      </c>
      <c r="AG108" s="3">
        <f t="shared" si="14"/>
        <v>1235.9890471280535</v>
      </c>
      <c r="AH108" s="3">
        <f t="shared" si="14"/>
        <v>1296.3648132383603</v>
      </c>
      <c r="AI108" s="3">
        <f t="shared" si="14"/>
        <v>1357.6633129054899</v>
      </c>
      <c r="AJ108" s="3">
        <f t="shared" si="14"/>
        <v>1419.8083443622752</v>
      </c>
      <c r="AK108" s="3">
        <f t="shared" si="14"/>
        <v>1482.7253795004522</v>
      </c>
      <c r="AL108" s="3">
        <f t="shared" si="14"/>
        <v>1546.341190782387</v>
      </c>
      <c r="AM108" s="3">
        <f t="shared" si="14"/>
        <v>1610.5836373731318</v>
      </c>
      <c r="AN108" s="3">
        <f t="shared" si="14"/>
        <v>1675.3815652580668</v>
      </c>
      <c r="AO108" s="3">
        <f t="shared" si="14"/>
        <v>1740.6647876694587</v>
      </c>
      <c r="AP108" s="3">
        <f t="shared" si="14"/>
        <v>1806.3641208025847</v>
      </c>
      <c r="AQ108" s="3">
        <f t="shared" si="14"/>
        <v>1872.4114562733887</v>
      </c>
      <c r="AR108" s="3">
        <f t="shared" si="14"/>
        <v>1938.7398566025395</v>
      </c>
      <c r="AS108" s="3">
        <f t="shared" si="14"/>
        <v>2005.2836636199431</v>
      </c>
      <c r="AT108" s="3">
        <f t="shared" si="14"/>
        <v>2071.9786123811296</v>
      </c>
      <c r="AU108" s="3">
        <f t="shared" si="14"/>
        <v>2138.7619452053077</v>
      </c>
      <c r="AV108" s="3">
        <f t="shared" si="14"/>
        <v>2205.5725219580381</v>
      </c>
      <c r="AW108" s="3">
        <f t="shared" si="14"/>
        <v>2272.3509238381735</v>
      </c>
      <c r="AX108" s="3">
        <f t="shared" si="14"/>
        <v>2339.0395487846272</v>
      </c>
      <c r="AY108" s="3">
        <f t="shared" si="14"/>
        <v>2405.5826972643104</v>
      </c>
      <c r="AZ108" s="3">
        <f t="shared" si="14"/>
        <v>2471.9266476908547</v>
      </c>
      <c r="BA108" s="3">
        <f t="shared" si="14"/>
        <v>2538.019721093116</v>
      </c>
      <c r="BB108" s="3">
        <f t="shared" si="14"/>
        <v>2603.812334931958</v>
      </c>
      <c r="BC108" s="3">
        <f t="shared" si="14"/>
        <v>2669.2570461746386</v>
      </c>
      <c r="BD108" s="3">
        <f t="shared" si="14"/>
        <v>2734.3085838944939</v>
      </c>
      <c r="BE108" s="3">
        <f t="shared" si="14"/>
        <v>2798.9238717811854</v>
      </c>
      <c r="BF108" s="3">
        <f t="shared" si="14"/>
        <v>2863.0620410329111</v>
      </c>
      <c r="BG108" s="3">
        <f t="shared" si="14"/>
        <v>2926.6844341631063</v>
      </c>
      <c r="BH108" s="3">
        <f t="shared" si="14"/>
        <v>2989.3922118464684</v>
      </c>
      <c r="BI108" s="3">
        <f t="shared" si="14"/>
        <v>3050.0497941177628</v>
      </c>
    </row>
    <row r="109" spans="1:309" ht="18" customHeight="1" x14ac:dyDescent="0.35">
      <c r="A109" s="50" t="s">
        <v>69</v>
      </c>
      <c r="B109" s="3">
        <f t="shared" ref="B109:BI109" si="15">(B32*(B137)^$B39)*B47^(1-$B$39)</f>
        <v>6.8065352173818985E-6</v>
      </c>
      <c r="C109" s="3">
        <f t="shared" si="15"/>
        <v>1.2268325711783426E-2</v>
      </c>
      <c r="D109" s="3">
        <f t="shared" si="15"/>
        <v>1.4474308752859167E-2</v>
      </c>
      <c r="E109" s="3">
        <f t="shared" si="15"/>
        <v>1.6806823874074759E-2</v>
      </c>
      <c r="F109" s="3">
        <f t="shared" si="15"/>
        <v>1.9281740750610191E-2</v>
      </c>
      <c r="G109" s="3">
        <f t="shared" si="15"/>
        <v>2.1907839046175468E-2</v>
      </c>
      <c r="H109" s="3">
        <f t="shared" si="15"/>
        <v>2.4690572021268235E-2</v>
      </c>
      <c r="I109" s="3">
        <f t="shared" si="15"/>
        <v>2.7637022311754408E-2</v>
      </c>
      <c r="J109" s="3">
        <f t="shared" si="15"/>
        <v>3.0763794703444276E-2</v>
      </c>
      <c r="K109" s="3">
        <f t="shared" si="15"/>
        <v>3.0772199124832176E-2</v>
      </c>
      <c r="L109" s="3">
        <f t="shared" si="15"/>
        <v>2.8602526431127418E-2</v>
      </c>
      <c r="M109" s="3">
        <f t="shared" si="15"/>
        <v>2.6592173981650886E-2</v>
      </c>
      <c r="N109" s="3">
        <f t="shared" si="15"/>
        <v>2.4728988975051856E-2</v>
      </c>
      <c r="O109" s="3">
        <f t="shared" si="15"/>
        <v>2.3001779375133119E-2</v>
      </c>
      <c r="P109" s="3">
        <f t="shared" si="15"/>
        <v>2.1400235350313431E-2</v>
      </c>
      <c r="Q109" s="3">
        <f t="shared" si="15"/>
        <v>1.9914857345015261E-2</v>
      </c>
      <c r="R109" s="3">
        <f t="shared" si="15"/>
        <v>1.8536890205941146E-2</v>
      </c>
      <c r="S109" s="3">
        <f t="shared" si="15"/>
        <v>1.7258262837873999E-2</v>
      </c>
      <c r="T109" s="3">
        <f t="shared" si="15"/>
        <v>1.607153291055036E-2</v>
      </c>
      <c r="U109" s="3">
        <f t="shared" si="15"/>
        <v>1.4969836180765498E-2</v>
      </c>
      <c r="V109" s="3">
        <f t="shared" si="15"/>
        <v>1.3946840032579705E-2</v>
      </c>
      <c r="W109" s="3">
        <f t="shared" si="15"/>
        <v>1.2996700873668386E-2</v>
      </c>
      <c r="X109" s="3">
        <f t="shared" si="15"/>
        <v>1.2114025057832123E-2</v>
      </c>
      <c r="Y109" s="3">
        <f t="shared" si="15"/>
        <v>1.1293833032752996E-2</v>
      </c>
      <c r="Z109" s="3">
        <f t="shared" si="15"/>
        <v>1.0531526438518816E-2</v>
      </c>
      <c r="AA109" s="3">
        <f t="shared" si="15"/>
        <v>9.8228579064871049E-3</v>
      </c>
      <c r="AB109" s="3">
        <f t="shared" si="15"/>
        <v>9.163903329942262E-3</v>
      </c>
      <c r="AC109" s="3">
        <f t="shared" si="15"/>
        <v>8.5510363979174973E-3</v>
      </c>
      <c r="AD109" s="3">
        <f t="shared" si="15"/>
        <v>7.9809052016832499E-3</v>
      </c>
      <c r="AE109" s="3">
        <f t="shared" si="15"/>
        <v>7.4504107399169326E-3</v>
      </c>
      <c r="AF109" s="3">
        <f t="shared" si="15"/>
        <v>6.9566871636085629E-3</v>
      </c>
      <c r="AG109" s="3">
        <f t="shared" si="15"/>
        <v>6.497083615458683E-3</v>
      </c>
      <c r="AH109" s="3">
        <f t="shared" si="15"/>
        <v>6.0691475310152045E-3</v>
      </c>
      <c r="AI109" s="3">
        <f t="shared" si="15"/>
        <v>5.6706092801773935E-3</v>
      </c>
      <c r="AJ109" s="3">
        <f t="shared" si="15"/>
        <v>5.299368038076303E-3</v>
      </c>
      <c r="AK109" s="3">
        <f t="shared" si="15"/>
        <v>4.9534787838078596E-3</v>
      </c>
      <c r="AL109" s="3">
        <f t="shared" si="15"/>
        <v>4.631140334130277E-3</v>
      </c>
      <c r="AM109" s="3">
        <f t="shared" si="15"/>
        <v>4.3306843271184161E-3</v>
      </c>
      <c r="AN109" s="3">
        <f t="shared" si="15"/>
        <v>4.0505650779612068E-3</v>
      </c>
      <c r="AO109" s="3">
        <f t="shared" si="15"/>
        <v>3.7893502356536506E-3</v>
      </c>
      <c r="AP109" s="3">
        <f t="shared" si="15"/>
        <v>3.5457121753327409E-3</v>
      </c>
      <c r="AQ109" s="3">
        <f t="shared" si="15"/>
        <v>3.3184200664834141E-3</v>
      </c>
      <c r="AR109" s="3">
        <f t="shared" si="15"/>
        <v>3.1063325622451227E-3</v>
      </c>
      <c r="AS109" s="3">
        <f t="shared" si="15"/>
        <v>2.9083910596229097E-3</v>
      </c>
      <c r="AT109" s="3">
        <f t="shared" si="15"/>
        <v>2.7236134845870928E-3</v>
      </c>
      <c r="AU109" s="3">
        <f t="shared" si="15"/>
        <v>2.5510885598679436E-3</v>
      </c>
      <c r="AV109" s="3">
        <f t="shared" si="15"/>
        <v>2.3899705167470565E-3</v>
      </c>
      <c r="AW109" s="3">
        <f t="shared" si="15"/>
        <v>2.2394742153443556E-3</v>
      </c>
      <c r="AX109" s="3">
        <f t="shared" si="15"/>
        <v>2.0988706408258074E-3</v>
      </c>
      <c r="AY109" s="3">
        <f t="shared" si="15"/>
        <v>1.9674827456336989E-3</v>
      </c>
      <c r="AZ109" s="3">
        <f t="shared" si="15"/>
        <v>1.8446816102926501E-3</v>
      </c>
      <c r="BA109" s="3">
        <f t="shared" si="15"/>
        <v>1.7298828975886378E-3</v>
      </c>
      <c r="BB109" s="3">
        <f t="shared" si="15"/>
        <v>1.6225435769735177E-3</v>
      </c>
      <c r="BC109" s="3">
        <f t="shared" si="15"/>
        <v>1.5221588979303421E-3</v>
      </c>
      <c r="BD109" s="3">
        <f t="shared" si="15"/>
        <v>1.4282595927598738E-3</v>
      </c>
      <c r="BE109" s="3">
        <f t="shared" si="15"/>
        <v>1.3404092908297566E-3</v>
      </c>
      <c r="BF109" s="3">
        <f t="shared" si="15"/>
        <v>1.2582021277771501E-3</v>
      </c>
      <c r="BG109" s="3">
        <f t="shared" si="15"/>
        <v>7.0287288773705238E-4</v>
      </c>
      <c r="BH109" s="3">
        <f t="shared" si="15"/>
        <v>1.4110885187050218E-4</v>
      </c>
      <c r="BI109" s="3">
        <f t="shared" si="15"/>
        <v>2.6168660493646875E-9</v>
      </c>
    </row>
    <row r="110" spans="1:309" ht="18" customHeight="1" x14ac:dyDescent="0.35">
      <c r="A110" s="50" t="s">
        <v>70</v>
      </c>
      <c r="B110" s="3">
        <f t="shared" ref="B110:BI110" si="16">+B105*B109</f>
        <v>4.5511811735211285E-4</v>
      </c>
      <c r="C110" s="3">
        <f t="shared" si="16"/>
        <v>1.0005834183571372</v>
      </c>
      <c r="D110" s="3">
        <f t="shared" si="16"/>
        <v>1.4066418042881308</v>
      </c>
      <c r="E110" s="3">
        <f t="shared" si="16"/>
        <v>1.9196011481954574</v>
      </c>
      <c r="F110" s="3">
        <f t="shared" si="16"/>
        <v>2.5596960642327962</v>
      </c>
      <c r="G110" s="3">
        <f t="shared" si="16"/>
        <v>3.3487830997051522</v>
      </c>
      <c r="H110" s="3">
        <f t="shared" si="16"/>
        <v>4.3102929025845302</v>
      </c>
      <c r="I110" s="3">
        <f t="shared" si="16"/>
        <v>5.469592466404146</v>
      </c>
      <c r="J110" s="3">
        <f t="shared" si="16"/>
        <v>6.8552277517207134</v>
      </c>
      <c r="K110" s="3">
        <f t="shared" si="16"/>
        <v>7.6698261059803983</v>
      </c>
      <c r="L110" s="3">
        <f t="shared" si="16"/>
        <v>7.9326454041381558</v>
      </c>
      <c r="M110" s="3">
        <f t="shared" si="16"/>
        <v>8.1717739815174291</v>
      </c>
      <c r="N110" s="3">
        <f t="shared" si="16"/>
        <v>8.3849189743956689</v>
      </c>
      <c r="O110" s="3">
        <f t="shared" si="16"/>
        <v>8.5709804193753794</v>
      </c>
      <c r="P110" s="3">
        <f t="shared" si="16"/>
        <v>8.7296327497987551</v>
      </c>
      <c r="Q110" s="3">
        <f t="shared" si="16"/>
        <v>8.8610646969989713</v>
      </c>
      <c r="R110" s="3">
        <f t="shared" si="16"/>
        <v>8.9658150125832634</v>
      </c>
      <c r="S110" s="3">
        <f t="shared" si="16"/>
        <v>9.0446658820417767</v>
      </c>
      <c r="T110" s="3">
        <f t="shared" si="16"/>
        <v>9.0985709972742104</v>
      </c>
      <c r="U110" s="3">
        <f t="shared" si="16"/>
        <v>9.1286042973451913</v>
      </c>
      <c r="V110" s="3">
        <f t="shared" si="16"/>
        <v>9.1360158844096127</v>
      </c>
      <c r="W110" s="3">
        <f t="shared" si="16"/>
        <v>9.1220785186527973</v>
      </c>
      <c r="X110" s="3">
        <f t="shared" si="16"/>
        <v>9.0880840375804262</v>
      </c>
      <c r="Y110" s="3">
        <f t="shared" si="16"/>
        <v>9.0353365610552334</v>
      </c>
      <c r="Z110" s="3">
        <f t="shared" si="16"/>
        <v>8.9651443835694682</v>
      </c>
      <c r="AA110" s="3">
        <f t="shared" si="16"/>
        <v>8.878811621105994</v>
      </c>
      <c r="AB110" s="3">
        <f t="shared" si="16"/>
        <v>8.7776301891864357</v>
      </c>
      <c r="AC110" s="3">
        <f t="shared" si="16"/>
        <v>8.6628724087892408</v>
      </c>
      <c r="AD110" s="3">
        <f t="shared" si="16"/>
        <v>8.5357843812363541</v>
      </c>
      <c r="AE110" s="3">
        <f t="shared" si="16"/>
        <v>8.397580179995602</v>
      </c>
      <c r="AF110" s="3">
        <f t="shared" si="16"/>
        <v>8.2494368573427295</v>
      </c>
      <c r="AG110" s="3">
        <f t="shared" si="16"/>
        <v>8.0928606291976237</v>
      </c>
      <c r="AH110" s="3">
        <f t="shared" si="16"/>
        <v>7.928771707357849</v>
      </c>
      <c r="AI110" s="3">
        <f t="shared" si="16"/>
        <v>7.7581033828019574</v>
      </c>
      <c r="AJ110" s="3">
        <f t="shared" si="16"/>
        <v>7.5817799239834818</v>
      </c>
      <c r="AK110" s="3">
        <f t="shared" si="16"/>
        <v>7.400701450381022</v>
      </c>
      <c r="AL110" s="3">
        <f t="shared" si="16"/>
        <v>7.2157337095351108</v>
      </c>
      <c r="AM110" s="3">
        <f t="shared" si="16"/>
        <v>7.0277013194525786</v>
      </c>
      <c r="AN110" s="3">
        <f t="shared" si="16"/>
        <v>6.8373834764548196</v>
      </c>
      <c r="AO110" s="3">
        <f t="shared" si="16"/>
        <v>6.6455114308937651</v>
      </c>
      <c r="AP110" s="3">
        <f t="shared" si="16"/>
        <v>6.452767241538087</v>
      </c>
      <c r="AQ110" s="3">
        <f t="shared" si="16"/>
        <v>6.2597834630253448</v>
      </c>
      <c r="AR110" s="3">
        <f t="shared" si="16"/>
        <v>6.0671435198259021</v>
      </c>
      <c r="AS110" s="3">
        <f t="shared" si="16"/>
        <v>5.8753825886462012</v>
      </c>
      <c r="AT110" s="3">
        <f t="shared" si="16"/>
        <v>5.6849888587347817</v>
      </c>
      <c r="AU110" s="3">
        <f t="shared" si="16"/>
        <v>5.4964050727517924</v>
      </c>
      <c r="AV110" s="3">
        <f t="shared" si="16"/>
        <v>5.3100302742492218</v>
      </c>
      <c r="AW110" s="3">
        <f t="shared" si="16"/>
        <v>5.1262217044808001</v>
      </c>
      <c r="AX110" s="3">
        <f t="shared" si="16"/>
        <v>4.9452968033333313</v>
      </c>
      <c r="AY110" s="3">
        <f t="shared" si="16"/>
        <v>4.7675352780803175</v>
      </c>
      <c r="AZ110" s="3">
        <f t="shared" si="16"/>
        <v>4.5931812103884733</v>
      </c>
      <c r="BA110" s="3">
        <f t="shared" si="16"/>
        <v>4.4224451772188997</v>
      </c>
      <c r="BB110" s="3">
        <f t="shared" si="16"/>
        <v>4.2555063654085945</v>
      </c>
      <c r="BC110" s="3">
        <f t="shared" si="16"/>
        <v>4.0925146630986813</v>
      </c>
      <c r="BD110" s="3">
        <f t="shared" si="16"/>
        <v>3.9335927139990172</v>
      </c>
      <c r="BE110" s="3">
        <f t="shared" si="16"/>
        <v>3.7788379228830675</v>
      </c>
      <c r="BF110" s="3">
        <f t="shared" si="16"/>
        <v>3.628324402786884</v>
      </c>
      <c r="BG110" s="3">
        <f t="shared" si="16"/>
        <v>2.0719198045095051</v>
      </c>
      <c r="BH110" s="3">
        <f t="shared" si="16"/>
        <v>0.42494435504160688</v>
      </c>
      <c r="BI110" s="3">
        <f t="shared" si="16"/>
        <v>8.0458796826346548E-6</v>
      </c>
    </row>
    <row r="111" spans="1:309" ht="18" customHeight="1" x14ac:dyDescent="0.35">
      <c r="A111" s="50" t="s">
        <v>11</v>
      </c>
      <c r="B111" s="3">
        <f>+B108-B110</f>
        <v>66.741717659342768</v>
      </c>
      <c r="C111" s="3">
        <f>+C108-C110</f>
        <v>80.367881087158565</v>
      </c>
      <c r="D111" s="3">
        <f>+D108-D110</f>
        <v>95.498430909568924</v>
      </c>
      <c r="E111" s="3">
        <f>+E108-E110</f>
        <v>111.90827179389164</v>
      </c>
      <c r="F111" s="3">
        <f>+F108-F110</f>
        <v>129.66765459931733</v>
      </c>
      <c r="G111" s="3">
        <f t="shared" ref="G111:BI111" si="17">+G108-G110</f>
        <v>148.81830619022222</v>
      </c>
      <c r="H111" s="3">
        <f t="shared" si="17"/>
        <v>169.3767546091961</v>
      </c>
      <c r="I111" s="3">
        <f t="shared" si="17"/>
        <v>191.33086668797515</v>
      </c>
      <c r="J111" s="3">
        <f t="shared" si="17"/>
        <v>214.62557841260229</v>
      </c>
      <c r="K111" s="3">
        <f t="shared" si="17"/>
        <v>239.96088868053693</v>
      </c>
      <c r="L111" s="3">
        <f t="shared" si="17"/>
        <v>267.52077291669252</v>
      </c>
      <c r="M111" s="3">
        <f t="shared" si="17"/>
        <v>296.95615732503694</v>
      </c>
      <c r="N111" s="3">
        <f t="shared" si="17"/>
        <v>328.21924375069443</v>
      </c>
      <c r="O111" s="3">
        <f t="shared" si="17"/>
        <v>361.27528511478113</v>
      </c>
      <c r="P111" s="3">
        <f t="shared" si="17"/>
        <v>396.09617027351464</v>
      </c>
      <c r="Q111" s="3">
        <f t="shared" si="17"/>
        <v>432.65630967490074</v>
      </c>
      <c r="R111" s="3">
        <f t="shared" si="17"/>
        <v>470.93002282571888</v>
      </c>
      <c r="S111" s="3">
        <f t="shared" si="17"/>
        <v>510.88988024742781</v>
      </c>
      <c r="T111" s="3">
        <f t="shared" si="17"/>
        <v>552.50562416988635</v>
      </c>
      <c r="U111" s="3">
        <f t="shared" si="17"/>
        <v>595.76338234200136</v>
      </c>
      <c r="V111" s="3">
        <f t="shared" si="17"/>
        <v>640.6334953478339</v>
      </c>
      <c r="W111" s="3">
        <f t="shared" si="17"/>
        <v>687.08108227529488</v>
      </c>
      <c r="X111" s="3">
        <f t="shared" si="17"/>
        <v>735.06663712901786</v>
      </c>
      <c r="Y111" s="3">
        <f t="shared" si="17"/>
        <v>784.54649265558362</v>
      </c>
      <c r="Z111" s="3">
        <f t="shared" si="17"/>
        <v>835.47320399124851</v>
      </c>
      <c r="AA111" s="3">
        <f t="shared" si="17"/>
        <v>887.7958853269156</v>
      </c>
      <c r="AB111" s="3">
        <f t="shared" si="17"/>
        <v>941.46051988262457</v>
      </c>
      <c r="AC111" s="3">
        <f t="shared" si="17"/>
        <v>996.41025535289282</v>
      </c>
      <c r="AD111" s="3">
        <f t="shared" si="17"/>
        <v>1052.5856922494959</v>
      </c>
      <c r="AE111" s="3">
        <f t="shared" si="17"/>
        <v>1109.925169058856</v>
      </c>
      <c r="AF111" s="3">
        <f t="shared" si="17"/>
        <v>1168.3650460626686</v>
      </c>
      <c r="AG111" s="3">
        <f t="shared" si="17"/>
        <v>1227.8961864988557</v>
      </c>
      <c r="AH111" s="3">
        <f t="shared" si="17"/>
        <v>1288.4360415310025</v>
      </c>
      <c r="AI111" s="3">
        <f t="shared" si="17"/>
        <v>1349.905209522688</v>
      </c>
      <c r="AJ111" s="3">
        <f t="shared" si="17"/>
        <v>1412.2265644382917</v>
      </c>
      <c r="AK111" s="3">
        <f t="shared" si="17"/>
        <v>1475.324678050071</v>
      </c>
      <c r="AL111" s="3">
        <f t="shared" si="17"/>
        <v>1539.125457072852</v>
      </c>
      <c r="AM111" s="3">
        <f t="shared" si="17"/>
        <v>1603.5559360536793</v>
      </c>
      <c r="AN111" s="3">
        <f t="shared" si="17"/>
        <v>1668.544181781612</v>
      </c>
      <c r="AO111" s="3">
        <f t="shared" si="17"/>
        <v>1734.019276238565</v>
      </c>
      <c r="AP111" s="3">
        <f t="shared" si="17"/>
        <v>1799.9113535610466</v>
      </c>
      <c r="AQ111" s="3">
        <f t="shared" si="17"/>
        <v>1866.1516728103634</v>
      </c>
      <c r="AR111" s="3">
        <f t="shared" si="17"/>
        <v>1932.6727130827135</v>
      </c>
      <c r="AS111" s="3">
        <f t="shared" si="17"/>
        <v>1999.4082810312968</v>
      </c>
      <c r="AT111" s="3">
        <f t="shared" si="17"/>
        <v>2066.2936235223947</v>
      </c>
      <c r="AU111" s="3">
        <f t="shared" si="17"/>
        <v>2133.265540132556</v>
      </c>
      <c r="AV111" s="3">
        <f t="shared" si="17"/>
        <v>2200.262491683789</v>
      </c>
      <c r="AW111" s="3">
        <f t="shared" si="17"/>
        <v>2267.2247021336925</v>
      </c>
      <c r="AX111" s="3">
        <f t="shared" si="17"/>
        <v>2334.0942519812938</v>
      </c>
      <c r="AY111" s="3">
        <f t="shared" si="17"/>
        <v>2400.8151619862301</v>
      </c>
      <c r="AZ111" s="3">
        <f t="shared" si="17"/>
        <v>2467.3334664804661</v>
      </c>
      <c r="BA111" s="3">
        <f t="shared" si="17"/>
        <v>2533.5972759158972</v>
      </c>
      <c r="BB111" s="3">
        <f t="shared" si="17"/>
        <v>2599.5568285665495</v>
      </c>
      <c r="BC111" s="3">
        <f t="shared" si="17"/>
        <v>2665.1645315115397</v>
      </c>
      <c r="BD111" s="3">
        <f t="shared" si="17"/>
        <v>2730.3749911804948</v>
      </c>
      <c r="BE111" s="3">
        <f t="shared" si="17"/>
        <v>2795.1450338583022</v>
      </c>
      <c r="BF111" s="3">
        <f t="shared" si="17"/>
        <v>2859.4337166301243</v>
      </c>
      <c r="BG111" s="3">
        <f t="shared" si="17"/>
        <v>2924.6125143585969</v>
      </c>
      <c r="BH111" s="3">
        <f t="shared" si="17"/>
        <v>2988.9672674914268</v>
      </c>
      <c r="BI111" s="3">
        <f t="shared" si="17"/>
        <v>3050.0497860718829</v>
      </c>
    </row>
    <row r="112" spans="1:309" ht="18" customHeight="1" thickBot="1" x14ac:dyDescent="0.4">
      <c r="A112" s="54" t="s">
        <v>38</v>
      </c>
      <c r="B112" s="3"/>
    </row>
    <row r="113" spans="1:124" ht="15" thickTop="1" x14ac:dyDescent="0.35">
      <c r="A113" s="50" t="s">
        <v>235</v>
      </c>
      <c r="B113" s="3">
        <f t="shared" ref="B113:BI113" si="18">+B114+B44</f>
        <v>32.961124970496606</v>
      </c>
      <c r="C113" s="3">
        <f t="shared" si="18"/>
        <v>17.07036628936433</v>
      </c>
      <c r="D113" s="3">
        <f t="shared" si="18"/>
        <v>16.696015391963869</v>
      </c>
      <c r="E113" s="3">
        <f t="shared" si="18"/>
        <v>15.815086405752474</v>
      </c>
      <c r="F113" s="3">
        <f t="shared" si="18"/>
        <v>14.378781896616639</v>
      </c>
      <c r="G113" s="3">
        <f t="shared" si="18"/>
        <v>12.339520428826514</v>
      </c>
      <c r="H113" s="3">
        <f t="shared" si="18"/>
        <v>9.6529203103535739</v>
      </c>
      <c r="I113" s="3">
        <f t="shared" si="18"/>
        <v>6.2768406531959036</v>
      </c>
      <c r="J113" s="3">
        <f t="shared" si="18"/>
        <v>2.16710904065109</v>
      </c>
      <c r="K113" s="3">
        <f t="shared" si="18"/>
        <v>0.2066577201561601</v>
      </c>
      <c r="L113" s="3">
        <f t="shared" si="18"/>
        <v>0.16532617612492809</v>
      </c>
      <c r="M113" s="3">
        <f t="shared" si="18"/>
        <v>0.13226094089996199</v>
      </c>
      <c r="N113" s="3">
        <f t="shared" si="18"/>
        <v>0.10580875271995399</v>
      </c>
      <c r="O113" s="3">
        <f t="shared" si="18"/>
        <v>8.4647002175963201E-2</v>
      </c>
      <c r="P113" s="3">
        <f t="shared" si="18"/>
        <v>6.7717601740815536E-2</v>
      </c>
      <c r="Q113" s="3">
        <f t="shared" si="18"/>
        <v>5.4174081392616452E-2</v>
      </c>
      <c r="R113" s="3">
        <f t="shared" si="18"/>
        <v>4.3339265114093167E-2</v>
      </c>
      <c r="S113" s="3">
        <f t="shared" si="18"/>
        <v>3.467141209138766E-2</v>
      </c>
      <c r="T113" s="3">
        <f t="shared" si="18"/>
        <v>2.7737129673084473E-2</v>
      </c>
      <c r="U113" s="3">
        <f t="shared" si="18"/>
        <v>2.2189703738455743E-2</v>
      </c>
      <c r="V113" s="3">
        <f t="shared" si="18"/>
        <v>1.7751762990855853E-2</v>
      </c>
      <c r="W113" s="3">
        <f t="shared" si="18"/>
        <v>1.4201410392628138E-2</v>
      </c>
      <c r="X113" s="3">
        <f t="shared" si="18"/>
        <v>1.1361128314068844E-2</v>
      </c>
      <c r="Y113" s="3">
        <f t="shared" si="18"/>
        <v>9.0889026512550753E-3</v>
      </c>
      <c r="Z113" s="3">
        <f t="shared" si="18"/>
        <v>7.27112212112306E-3</v>
      </c>
      <c r="AA113" s="3">
        <f t="shared" si="18"/>
        <v>5.8168976968032485E-3</v>
      </c>
      <c r="AB113" s="3">
        <f t="shared" si="18"/>
        <v>4.653518157473239E-3</v>
      </c>
      <c r="AC113" s="3">
        <f t="shared" si="18"/>
        <v>3.7228145260316172E-3</v>
      </c>
      <c r="AD113" s="3">
        <f t="shared" si="18"/>
        <v>2.9782516207632632E-3</v>
      </c>
      <c r="AE113" s="3">
        <f t="shared" si="18"/>
        <v>2.3826012968161873E-3</v>
      </c>
      <c r="AF113" s="3">
        <f t="shared" si="18"/>
        <v>1.9060810372884887E-3</v>
      </c>
      <c r="AG113" s="3">
        <f t="shared" si="18"/>
        <v>1.524864829830791E-3</v>
      </c>
      <c r="AH113" s="3">
        <f t="shared" si="18"/>
        <v>1.2198918640096137E-3</v>
      </c>
      <c r="AI113" s="3">
        <f t="shared" si="18"/>
        <v>9.7591349109170638E-4</v>
      </c>
      <c r="AJ113" s="3">
        <f t="shared" si="18"/>
        <v>7.8073079287336515E-4</v>
      </c>
      <c r="AK113" s="3">
        <f t="shared" si="18"/>
        <v>6.2458463450958633E-4</v>
      </c>
      <c r="AL113" s="3">
        <f t="shared" si="18"/>
        <v>4.9966770743895374E-4</v>
      </c>
      <c r="AM113" s="3">
        <f t="shared" si="18"/>
        <v>3.9973416595116303E-4</v>
      </c>
      <c r="AN113" s="3">
        <f t="shared" si="18"/>
        <v>3.1978733276093044E-4</v>
      </c>
      <c r="AO113" s="3">
        <f t="shared" si="18"/>
        <v>2.5582986620874439E-4</v>
      </c>
      <c r="AP113" s="3">
        <f t="shared" si="18"/>
        <v>2.0466389296699552E-4</v>
      </c>
      <c r="AQ113" s="3">
        <f t="shared" si="18"/>
        <v>1.6373111437359642E-4</v>
      </c>
      <c r="AR113" s="3">
        <f t="shared" si="18"/>
        <v>1.3098489156238978E-4</v>
      </c>
      <c r="AS113" s="3">
        <f t="shared" si="18"/>
        <v>1.0478791319910172E-4</v>
      </c>
      <c r="AT113" s="3">
        <f t="shared" si="18"/>
        <v>8.3830330559281379E-5</v>
      </c>
      <c r="AU113" s="3">
        <f t="shared" si="18"/>
        <v>6.7064264742297726E-5</v>
      </c>
      <c r="AV113" s="3">
        <f t="shared" si="18"/>
        <v>5.365141171171819E-5</v>
      </c>
      <c r="AW113" s="3">
        <f t="shared" si="18"/>
        <v>4.2921129246352076E-5</v>
      </c>
      <c r="AX113" s="3">
        <f t="shared" si="18"/>
        <v>3.4336903397081661E-5</v>
      </c>
      <c r="AY113" s="3">
        <f t="shared" si="18"/>
        <v>2.7469522717665329E-5</v>
      </c>
      <c r="AZ113" s="3">
        <f t="shared" si="18"/>
        <v>2.1975618174132264E-5</v>
      </c>
      <c r="BA113" s="3">
        <f t="shared" si="18"/>
        <v>1.7580494539305812E-5</v>
      </c>
      <c r="BB113" s="3">
        <f t="shared" si="18"/>
        <v>1.4064395631444651E-5</v>
      </c>
      <c r="BC113" s="3">
        <f t="shared" si="18"/>
        <v>1.1251516505155721E-5</v>
      </c>
      <c r="BD113" s="3">
        <f t="shared" si="18"/>
        <v>9.0012132041245777E-6</v>
      </c>
      <c r="BE113" s="3">
        <f t="shared" si="18"/>
        <v>7.2009705632996627E-6</v>
      </c>
      <c r="BF113" s="3">
        <f t="shared" si="18"/>
        <v>5.7607764506397308E-6</v>
      </c>
      <c r="BG113" s="3">
        <f t="shared" si="18"/>
        <v>20.308711339750218</v>
      </c>
      <c r="BH113" s="3">
        <f t="shared" si="18"/>
        <v>61.532452723262764</v>
      </c>
      <c r="BI113" s="3">
        <f t="shared" si="18"/>
        <v>114.95715367478066</v>
      </c>
    </row>
    <row r="114" spans="1:124" ht="14.5" x14ac:dyDescent="0.35">
      <c r="A114" s="50" t="s">
        <v>236</v>
      </c>
      <c r="B114" s="51">
        <f t="shared" ref="B114:BI114" si="19">+B41*B105*(1-B137)</f>
        <v>31.421404970496607</v>
      </c>
      <c r="C114" s="51">
        <f t="shared" si="19"/>
        <v>15.83859028936433</v>
      </c>
      <c r="D114" s="51">
        <f t="shared" si="19"/>
        <v>15.710594591963869</v>
      </c>
      <c r="E114" s="51">
        <f t="shared" si="19"/>
        <v>15.026749765752474</v>
      </c>
      <c r="F114" s="51">
        <f t="shared" si="19"/>
        <v>13.748112584616639</v>
      </c>
      <c r="G114" s="51">
        <f t="shared" si="19"/>
        <v>11.834984979226514</v>
      </c>
      <c r="H114" s="51">
        <f t="shared" si="19"/>
        <v>9.2492919506735731</v>
      </c>
      <c r="I114" s="51">
        <f t="shared" si="19"/>
        <v>5.9539379654519031</v>
      </c>
      <c r="J114" s="51">
        <f t="shared" si="19"/>
        <v>1.90878689045589</v>
      </c>
      <c r="K114" s="51">
        <f t="shared" si="19"/>
        <v>0</v>
      </c>
      <c r="L114" s="51">
        <f t="shared" si="19"/>
        <v>0</v>
      </c>
      <c r="M114" s="51">
        <f t="shared" si="19"/>
        <v>1.9512161762945275E-14</v>
      </c>
      <c r="N114" s="51">
        <f t="shared" si="19"/>
        <v>0</v>
      </c>
      <c r="O114" s="51">
        <f t="shared" si="19"/>
        <v>0</v>
      </c>
      <c r="P114" s="51">
        <f t="shared" si="19"/>
        <v>4.4978106010917824E-14</v>
      </c>
      <c r="Q114" s="51">
        <f t="shared" si="19"/>
        <v>0</v>
      </c>
      <c r="R114" s="51">
        <f t="shared" si="19"/>
        <v>0</v>
      </c>
      <c r="S114" s="51">
        <f t="shared" si="19"/>
        <v>1.1312703103252878E-13</v>
      </c>
      <c r="T114" s="51">
        <f t="shared" si="19"/>
        <v>6.4844019636108057E-14</v>
      </c>
      <c r="U114" s="51">
        <f t="shared" si="19"/>
        <v>4.0035730478801989E-14</v>
      </c>
      <c r="V114" s="51">
        <f t="shared" si="19"/>
        <v>1.2328687941406035E-13</v>
      </c>
      <c r="W114" s="51">
        <f t="shared" si="19"/>
        <v>4.2085059910749243E-14</v>
      </c>
      <c r="X114" s="51">
        <f t="shared" si="19"/>
        <v>0</v>
      </c>
      <c r="Y114" s="51">
        <f t="shared" si="19"/>
        <v>0</v>
      </c>
      <c r="Z114" s="51">
        <f t="shared" si="19"/>
        <v>1.189998234508402E-13</v>
      </c>
      <c r="AA114" s="51">
        <f t="shared" si="19"/>
        <v>0</v>
      </c>
      <c r="AB114" s="51">
        <f t="shared" si="19"/>
        <v>3.064058732546226E-14</v>
      </c>
      <c r="AC114" s="51">
        <f t="shared" si="19"/>
        <v>7.753845032401205E-14</v>
      </c>
      <c r="AD114" s="51">
        <f t="shared" si="19"/>
        <v>0</v>
      </c>
      <c r="AE114" s="51">
        <f t="shared" si="19"/>
        <v>2.0557650331594944E-13</v>
      </c>
      <c r="AF114" s="51">
        <f t="shared" si="19"/>
        <v>0</v>
      </c>
      <c r="AG114" s="51">
        <f t="shared" si="19"/>
        <v>0</v>
      </c>
      <c r="AH114" s="51">
        <f t="shared" si="19"/>
        <v>1.4498081576847557E-13</v>
      </c>
      <c r="AI114" s="51">
        <f t="shared" si="19"/>
        <v>0</v>
      </c>
      <c r="AJ114" s="51">
        <f t="shared" si="19"/>
        <v>0</v>
      </c>
      <c r="AK114" s="51">
        <f t="shared" si="19"/>
        <v>2.1089413701093324E-13</v>
      </c>
      <c r="AL114" s="51">
        <f t="shared" si="19"/>
        <v>0</v>
      </c>
      <c r="AM114" s="51">
        <f t="shared" si="19"/>
        <v>0</v>
      </c>
      <c r="AN114" s="51">
        <f t="shared" si="19"/>
        <v>0</v>
      </c>
      <c r="AO114" s="51">
        <f t="shared" si="19"/>
        <v>0</v>
      </c>
      <c r="AP114" s="51">
        <f t="shared" si="19"/>
        <v>0</v>
      </c>
      <c r="AQ114" s="51">
        <f t="shared" si="19"/>
        <v>0</v>
      </c>
      <c r="AR114" s="51">
        <f t="shared" si="19"/>
        <v>6.3512647860984724E-14</v>
      </c>
      <c r="AS114" s="51">
        <f t="shared" si="19"/>
        <v>0</v>
      </c>
      <c r="AT114" s="51">
        <f t="shared" si="19"/>
        <v>0</v>
      </c>
      <c r="AU114" s="51">
        <f t="shared" si="19"/>
        <v>2.9487261746468011E-13</v>
      </c>
      <c r="AV114" s="51">
        <f t="shared" si="19"/>
        <v>1.5377810102765896E-13</v>
      </c>
      <c r="AW114" s="51">
        <f t="shared" si="19"/>
        <v>0</v>
      </c>
      <c r="AX114" s="51">
        <f t="shared" si="19"/>
        <v>0</v>
      </c>
      <c r="AY114" s="51">
        <f t="shared" si="19"/>
        <v>0</v>
      </c>
      <c r="AZ114" s="51">
        <f t="shared" si="19"/>
        <v>0</v>
      </c>
      <c r="BA114" s="51">
        <f t="shared" si="19"/>
        <v>0</v>
      </c>
      <c r="BB114" s="51">
        <f t="shared" si="19"/>
        <v>0</v>
      </c>
      <c r="BC114" s="51">
        <f t="shared" si="19"/>
        <v>0</v>
      </c>
      <c r="BD114" s="51">
        <f t="shared" si="19"/>
        <v>0</v>
      </c>
      <c r="BE114" s="51">
        <f t="shared" si="19"/>
        <v>0</v>
      </c>
      <c r="BF114" s="51">
        <f t="shared" si="19"/>
        <v>0</v>
      </c>
      <c r="BG114" s="51">
        <f t="shared" si="19"/>
        <v>20.308706731129057</v>
      </c>
      <c r="BH114" s="51">
        <f t="shared" si="19"/>
        <v>61.532449036365833</v>
      </c>
      <c r="BI114" s="51">
        <f t="shared" si="19"/>
        <v>114.95715072526312</v>
      </c>
    </row>
    <row r="115" spans="1:124" s="69" customFormat="1" ht="14.5" x14ac:dyDescent="0.35">
      <c r="A115" s="50" t="s">
        <v>100</v>
      </c>
      <c r="B115" s="51">
        <f t="shared" ref="B115:BI115" si="20">+B114/B105</f>
        <v>0.46992394140582527</v>
      </c>
      <c r="C115" s="51">
        <f t="shared" si="20"/>
        <v>0.19419968482433492</v>
      </c>
      <c r="D115" s="51">
        <f t="shared" si="20"/>
        <v>0.16166162282526961</v>
      </c>
      <c r="E115" s="51">
        <f t="shared" si="20"/>
        <v>0.1315647976925885</v>
      </c>
      <c r="F115" s="51">
        <f t="shared" si="20"/>
        <v>0.10356211675710518</v>
      </c>
      <c r="G115" s="51">
        <f t="shared" si="20"/>
        <v>7.7424825173546569E-2</v>
      </c>
      <c r="H115" s="51">
        <f t="shared" si="20"/>
        <v>5.2982549960098393E-2</v>
      </c>
      <c r="I115" s="51">
        <f t="shared" si="20"/>
        <v>3.0084346759782419E-2</v>
      </c>
      <c r="J115" s="51">
        <f t="shared" si="20"/>
        <v>8.5659485224063112E-3</v>
      </c>
      <c r="K115" s="51">
        <f t="shared" si="20"/>
        <v>0</v>
      </c>
      <c r="L115" s="51">
        <f t="shared" si="20"/>
        <v>0</v>
      </c>
      <c r="M115" s="51">
        <f t="shared" si="20"/>
        <v>6.3495490885077895E-17</v>
      </c>
      <c r="N115" s="51">
        <f t="shared" si="20"/>
        <v>0</v>
      </c>
      <c r="O115" s="51">
        <f t="shared" si="20"/>
        <v>0</v>
      </c>
      <c r="P115" s="51">
        <f t="shared" si="20"/>
        <v>1.1026146022777168E-16</v>
      </c>
      <c r="Q115" s="51">
        <f t="shared" si="20"/>
        <v>0</v>
      </c>
      <c r="R115" s="51">
        <f t="shared" si="20"/>
        <v>0</v>
      </c>
      <c r="S115" s="51">
        <f t="shared" si="20"/>
        <v>2.158593872996637E-16</v>
      </c>
      <c r="T115" s="51">
        <f t="shared" si="20"/>
        <v>1.1453917279386995E-16</v>
      </c>
      <c r="U115" s="51">
        <f t="shared" si="20"/>
        <v>6.5653883893208571E-17</v>
      </c>
      <c r="V115" s="51">
        <f t="shared" si="20"/>
        <v>1.8820702667976573E-16</v>
      </c>
      <c r="W115" s="51">
        <f t="shared" si="20"/>
        <v>5.9960779091298637E-17</v>
      </c>
      <c r="X115" s="51">
        <f t="shared" si="20"/>
        <v>0</v>
      </c>
      <c r="Y115" s="51">
        <f t="shared" si="20"/>
        <v>0</v>
      </c>
      <c r="Z115" s="51">
        <f t="shared" si="20"/>
        <v>1.397913667903042E-16</v>
      </c>
      <c r="AA115" s="51">
        <f t="shared" si="20"/>
        <v>0</v>
      </c>
      <c r="AB115" s="51">
        <f t="shared" si="20"/>
        <v>3.1988973580717164E-17</v>
      </c>
      <c r="AC115" s="51">
        <f t="shared" si="20"/>
        <v>7.6537443895172555E-17</v>
      </c>
      <c r="AD115" s="51">
        <f t="shared" si="20"/>
        <v>0</v>
      </c>
      <c r="AE115" s="51">
        <f t="shared" si="20"/>
        <v>1.8238937352790132E-16</v>
      </c>
      <c r="AF115" s="51">
        <f t="shared" si="20"/>
        <v>0</v>
      </c>
      <c r="AG115" s="51">
        <f t="shared" si="20"/>
        <v>0</v>
      </c>
      <c r="AH115" s="51">
        <f t="shared" si="20"/>
        <v>1.1097683128513624E-16</v>
      </c>
      <c r="AI115" s="51">
        <f t="shared" si="20"/>
        <v>0</v>
      </c>
      <c r="AJ115" s="51">
        <f t="shared" si="20"/>
        <v>0</v>
      </c>
      <c r="AK115" s="51">
        <f t="shared" si="20"/>
        <v>1.411568403775215E-16</v>
      </c>
      <c r="AL115" s="51">
        <f t="shared" si="20"/>
        <v>0</v>
      </c>
      <c r="AM115" s="51">
        <f t="shared" si="20"/>
        <v>0</v>
      </c>
      <c r="AN115" s="51">
        <f t="shared" si="20"/>
        <v>0</v>
      </c>
      <c r="AO115" s="51">
        <f t="shared" si="20"/>
        <v>0</v>
      </c>
      <c r="AP115" s="51">
        <f t="shared" si="20"/>
        <v>0</v>
      </c>
      <c r="AQ115" s="51">
        <f t="shared" si="20"/>
        <v>0</v>
      </c>
      <c r="AR115" s="51">
        <f t="shared" si="20"/>
        <v>3.2518005470001834E-17</v>
      </c>
      <c r="AS115" s="51">
        <f t="shared" si="20"/>
        <v>0</v>
      </c>
      <c r="AT115" s="51">
        <f t="shared" si="20"/>
        <v>0</v>
      </c>
      <c r="AU115" s="51">
        <f t="shared" si="20"/>
        <v>1.3686148511173093E-16</v>
      </c>
      <c r="AV115" s="51">
        <f t="shared" si="20"/>
        <v>6.9213377061097652E-17</v>
      </c>
      <c r="AW115" s="51">
        <f t="shared" si="20"/>
        <v>0</v>
      </c>
      <c r="AX115" s="51">
        <f t="shared" si="20"/>
        <v>0</v>
      </c>
      <c r="AY115" s="51">
        <f t="shared" si="20"/>
        <v>0</v>
      </c>
      <c r="AZ115" s="51">
        <f t="shared" si="20"/>
        <v>0</v>
      </c>
      <c r="BA115" s="51">
        <f t="shared" si="20"/>
        <v>0</v>
      </c>
      <c r="BB115" s="51">
        <f t="shared" si="20"/>
        <v>0</v>
      </c>
      <c r="BC115" s="51">
        <f t="shared" si="20"/>
        <v>0</v>
      </c>
      <c r="BD115" s="51">
        <f t="shared" si="20"/>
        <v>0</v>
      </c>
      <c r="BE115" s="51">
        <f t="shared" si="20"/>
        <v>0</v>
      </c>
      <c r="BF115" s="51">
        <f t="shared" si="20"/>
        <v>0</v>
      </c>
      <c r="BG115" s="51">
        <f t="shared" si="20"/>
        <v>6.8894748316249855E-3</v>
      </c>
      <c r="BH115" s="51">
        <f t="shared" si="20"/>
        <v>2.0432729916959665E-2</v>
      </c>
      <c r="BI115" s="51">
        <f t="shared" si="20"/>
        <v>3.7389008626851981E-2</v>
      </c>
      <c r="BJ115" s="3"/>
      <c r="BK115" s="3"/>
      <c r="BL115" s="3"/>
      <c r="BM115" s="3"/>
      <c r="BN115" s="3"/>
      <c r="BO115" s="3"/>
      <c r="BP115" s="3"/>
      <c r="BQ115" s="3"/>
      <c r="BR115" s="3"/>
      <c r="BS115" s="3"/>
      <c r="BT115" s="3"/>
      <c r="BU115" s="3"/>
      <c r="BV115" s="3"/>
      <c r="BW115" s="3"/>
      <c r="BX115" s="3"/>
      <c r="BY115" s="3"/>
      <c r="BZ115" s="3"/>
      <c r="CA115" s="3"/>
      <c r="CB115" s="3"/>
      <c r="CC115" s="3"/>
      <c r="CD115" s="3"/>
      <c r="CE115" s="3"/>
      <c r="CF115" s="3"/>
      <c r="CG115" s="3"/>
      <c r="CH115" s="3"/>
      <c r="CI115" s="3"/>
      <c r="CJ115" s="3"/>
      <c r="CK115" s="3"/>
      <c r="CL115" s="3"/>
      <c r="CM115" s="3"/>
      <c r="CN115" s="3"/>
      <c r="CO115" s="3"/>
      <c r="CP115" s="3"/>
      <c r="CQ115" s="3"/>
      <c r="CR115" s="3"/>
      <c r="CS115" s="3"/>
      <c r="CT115" s="3"/>
      <c r="CU115" s="3"/>
      <c r="CV115" s="3"/>
      <c r="CW115" s="3"/>
      <c r="CX115" s="3"/>
      <c r="CY115" s="3"/>
      <c r="CZ115" s="3"/>
      <c r="DA115" s="3"/>
      <c r="DB115" s="3"/>
      <c r="DC115" s="3"/>
      <c r="DD115" s="3"/>
      <c r="DE115" s="3"/>
      <c r="DF115" s="3"/>
      <c r="DG115" s="3"/>
      <c r="DH115" s="3"/>
      <c r="DI115" s="3"/>
      <c r="DJ115" s="3"/>
      <c r="DK115" s="3"/>
      <c r="DL115" s="3"/>
      <c r="DM115" s="3"/>
      <c r="DN115" s="3"/>
      <c r="DO115" s="3"/>
      <c r="DP115" s="3"/>
      <c r="DQ115" s="3"/>
      <c r="DR115" s="3"/>
      <c r="DS115" s="3"/>
      <c r="DT115" s="3"/>
    </row>
    <row r="116" spans="1:124" ht="15" thickBot="1" x14ac:dyDescent="0.4">
      <c r="A116" s="54" t="s">
        <v>12</v>
      </c>
    </row>
    <row r="117" spans="1:124" ht="15" thickTop="1" x14ac:dyDescent="0.35">
      <c r="A117" s="50" t="s">
        <v>132</v>
      </c>
      <c r="B117" s="51">
        <f t="shared" ref="B117:BI117" si="21">(B132)*B111</f>
        <v>22.326569114318893</v>
      </c>
      <c r="C117" s="3">
        <f t="shared" si="21"/>
        <v>26.101411919040522</v>
      </c>
      <c r="D117" s="3">
        <f t="shared" si="21"/>
        <v>30.593735645075906</v>
      </c>
      <c r="E117" s="3">
        <f t="shared" si="21"/>
        <v>35.505477356951417</v>
      </c>
      <c r="F117" s="3">
        <f t="shared" si="21"/>
        <v>40.855703558976771</v>
      </c>
      <c r="G117" s="3">
        <f t="shared" si="21"/>
        <v>46.647416950561002</v>
      </c>
      <c r="H117" s="3">
        <f t="shared" si="21"/>
        <v>52.858217270809369</v>
      </c>
      <c r="I117" s="3">
        <f t="shared" si="21"/>
        <v>59.418290265564679</v>
      </c>
      <c r="J117" s="3">
        <f t="shared" si="21"/>
        <v>66.164807940963939</v>
      </c>
      <c r="K117" s="3">
        <f t="shared" si="21"/>
        <v>73.587232557076447</v>
      </c>
      <c r="L117" s="3">
        <f t="shared" si="21"/>
        <v>81.811765668661721</v>
      </c>
      <c r="M117" s="3">
        <f t="shared" si="21"/>
        <v>90.555949962634969</v>
      </c>
      <c r="N117" s="3">
        <f t="shared" si="21"/>
        <v>99.817807883727127</v>
      </c>
      <c r="O117" s="3">
        <f t="shared" si="21"/>
        <v>109.59516003401251</v>
      </c>
      <c r="P117" s="3">
        <f t="shared" si="21"/>
        <v>119.88512058058684</v>
      </c>
      <c r="Q117" s="3">
        <f t="shared" si="21"/>
        <v>130.68373575047423</v>
      </c>
      <c r="R117" s="3">
        <f t="shared" si="21"/>
        <v>141.98570659256518</v>
      </c>
      <c r="S117" s="3">
        <f t="shared" si="21"/>
        <v>153.78411871530719</v>
      </c>
      <c r="T117" s="3">
        <f t="shared" si="21"/>
        <v>166.07007971590858</v>
      </c>
      <c r="U117" s="3">
        <f t="shared" si="21"/>
        <v>178.84582041662063</v>
      </c>
      <c r="V117" s="3">
        <f t="shared" si="21"/>
        <v>192.10230333143957</v>
      </c>
      <c r="W117" s="3">
        <f t="shared" si="21"/>
        <v>205.82908520526209</v>
      </c>
      <c r="X117" s="3">
        <f t="shared" si="21"/>
        <v>220.01441728261034</v>
      </c>
      <c r="Y117" s="3">
        <f t="shared" si="21"/>
        <v>234.64533711723286</v>
      </c>
      <c r="Z117" s="3">
        <f t="shared" si="21"/>
        <v>249.70775686824572</v>
      </c>
      <c r="AA117" s="3">
        <f t="shared" si="21"/>
        <v>265.18655004654238</v>
      </c>
      <c r="AB117" s="3">
        <f t="shared" si="21"/>
        <v>281.06563781424188</v>
      </c>
      <c r="AC117" s="3">
        <f t="shared" si="21"/>
        <v>297.32807626058417</v>
      </c>
      <c r="AD117" s="3">
        <f t="shared" si="21"/>
        <v>313.95614470975585</v>
      </c>
      <c r="AE117" s="3">
        <f t="shared" si="21"/>
        <v>330.93143518749133</v>
      </c>
      <c r="AF117" s="3">
        <f t="shared" si="21"/>
        <v>348.35566603491941</v>
      </c>
      <c r="AG117" s="3">
        <f t="shared" si="21"/>
        <v>366.10526419891136</v>
      </c>
      <c r="AH117" s="3">
        <f t="shared" si="21"/>
        <v>384.1556172049784</v>
      </c>
      <c r="AI117" s="3">
        <f t="shared" si="21"/>
        <v>402.48305093685622</v>
      </c>
      <c r="AJ117" s="3">
        <f t="shared" si="21"/>
        <v>421.06456976351518</v>
      </c>
      <c r="AK117" s="3">
        <f t="shared" si="21"/>
        <v>439.87768426642833</v>
      </c>
      <c r="AL117" s="3">
        <f t="shared" si="21"/>
        <v>458.9003030489107</v>
      </c>
      <c r="AM117" s="3">
        <f t="shared" si="21"/>
        <v>478.11067098481612</v>
      </c>
      <c r="AN117" s="3">
        <f t="shared" si="21"/>
        <v>497.48734071769405</v>
      </c>
      <c r="AO117" s="3">
        <f t="shared" si="21"/>
        <v>517.00916757747132</v>
      </c>
      <c r="AP117" s="3">
        <f t="shared" si="21"/>
        <v>536.65532060083581</v>
      </c>
      <c r="AQ117" s="3">
        <f t="shared" si="21"/>
        <v>556.40530422814788</v>
      </c>
      <c r="AR117" s="3">
        <f t="shared" si="21"/>
        <v>576.23898666113575</v>
      </c>
      <c r="AS117" s="3">
        <f t="shared" si="21"/>
        <v>596.13663192131457</v>
      </c>
      <c r="AT117" s="3">
        <f t="shared" si="21"/>
        <v>616.07893343913167</v>
      </c>
      <c r="AU117" s="3">
        <f t="shared" si="21"/>
        <v>636.04704759573792</v>
      </c>
      <c r="AV117" s="3">
        <f t="shared" si="21"/>
        <v>656.02262608346268</v>
      </c>
      <c r="AW117" s="3">
        <f t="shared" si="21"/>
        <v>675.98784628502233</v>
      </c>
      <c r="AX117" s="3">
        <f t="shared" si="21"/>
        <v>695.92543912308031</v>
      </c>
      <c r="AY117" s="3">
        <f t="shared" si="21"/>
        <v>715.8187140216678</v>
      </c>
      <c r="AZ117" s="3">
        <f t="shared" si="21"/>
        <v>735.65158076455077</v>
      </c>
      <c r="BA117" s="3">
        <f t="shared" si="21"/>
        <v>755.40856814420613</v>
      </c>
      <c r="BB117" s="3">
        <f t="shared" si="21"/>
        <v>775.07483937717041</v>
      </c>
      <c r="BC117" s="3">
        <f t="shared" si="21"/>
        <v>794.63620432337689</v>
      </c>
      <c r="BD117" s="3">
        <f t="shared" si="21"/>
        <v>814.07912859347152</v>
      </c>
      <c r="BE117" s="3">
        <f t="shared" si="21"/>
        <v>833.39073966243836</v>
      </c>
      <c r="BF117" s="3">
        <f t="shared" si="21"/>
        <v>852.55883013292691</v>
      </c>
      <c r="BG117" s="3">
        <f t="shared" si="21"/>
        <v>871.99231418876491</v>
      </c>
      <c r="BH117" s="3">
        <f t="shared" si="21"/>
        <v>891.1801039687216</v>
      </c>
      <c r="BI117" s="3">
        <f t="shared" si="21"/>
        <v>909.39225565444031</v>
      </c>
    </row>
    <row r="118" spans="1:124" ht="14.5" x14ac:dyDescent="0.35">
      <c r="A118" s="50" t="s">
        <v>133</v>
      </c>
      <c r="B118" s="51">
        <f>+B12</f>
        <v>160</v>
      </c>
      <c r="C118" s="3">
        <f t="shared" ref="C118:BI118" si="22">+B118*(1-$B$10)^(C2-B2)+B117*(C2-B2)</f>
        <v>206.11124557159448</v>
      </c>
      <c r="D118" s="3">
        <f t="shared" si="22"/>
        <v>252.21368899277348</v>
      </c>
      <c r="E118" s="3">
        <f t="shared" si="22"/>
        <v>301.89833943872236</v>
      </c>
      <c r="F118" s="3">
        <f t="shared" si="22"/>
        <v>355.7953372399283</v>
      </c>
      <c r="G118" s="3">
        <f t="shared" si="22"/>
        <v>414.37210648168917</v>
      </c>
      <c r="H118" s="3">
        <f t="shared" si="22"/>
        <v>477.91966990917774</v>
      </c>
      <c r="I118" s="3">
        <f t="shared" si="22"/>
        <v>546.49787223871726</v>
      </c>
      <c r="J118" s="3">
        <f t="shared" si="22"/>
        <v>619.79297990606369</v>
      </c>
      <c r="K118" s="3">
        <f t="shared" si="22"/>
        <v>696.8055964095513</v>
      </c>
      <c r="L118" s="3">
        <f t="shared" si="22"/>
        <v>779.39289940925823</v>
      </c>
      <c r="M118" s="3">
        <f t="shared" si="22"/>
        <v>869.28254151548163</v>
      </c>
      <c r="N118" s="3">
        <f t="shared" si="22"/>
        <v>966.08239775265167</v>
      </c>
      <c r="O118" s="3">
        <f t="shared" si="22"/>
        <v>1069.551034467599</v>
      </c>
      <c r="P118" s="3">
        <f t="shared" si="22"/>
        <v>1179.5349905128351</v>
      </c>
      <c r="Q118" s="3">
        <f t="shared" si="22"/>
        <v>1295.9292194508585</v>
      </c>
      <c r="R118" s="3">
        <f t="shared" si="22"/>
        <v>1418.6519235459086</v>
      </c>
      <c r="S118" s="3">
        <f t="shared" si="22"/>
        <v>1547.6283072974497</v>
      </c>
      <c r="T118" s="3">
        <f t="shared" si="22"/>
        <v>1682.7796327526073</v>
      </c>
      <c r="U118" s="3">
        <f t="shared" si="22"/>
        <v>1824.0149439236302</v>
      </c>
      <c r="V118" s="3">
        <f t="shared" si="22"/>
        <v>1971.2916863205678</v>
      </c>
      <c r="W118" s="3">
        <f t="shared" si="22"/>
        <v>2124.5395445126301</v>
      </c>
      <c r="X118" s="3">
        <f t="shared" si="22"/>
        <v>2283.6647816655736</v>
      </c>
      <c r="Y118" s="3">
        <f t="shared" si="22"/>
        <v>2448.5533033387565</v>
      </c>
      <c r="Z118" s="3">
        <f t="shared" si="22"/>
        <v>2619.0729256746672</v>
      </c>
      <c r="AA118" s="3">
        <f t="shared" si="22"/>
        <v>2795.0751562228634</v>
      </c>
      <c r="AB118" s="3">
        <f t="shared" si="22"/>
        <v>2976.396679230751</v>
      </c>
      <c r="AC118" s="3">
        <f t="shared" si="22"/>
        <v>3162.8606641901761</v>
      </c>
      <c r="AD118" s="3">
        <f t="shared" si="22"/>
        <v>3354.2779749005786</v>
      </c>
      <c r="AE118" s="3">
        <f t="shared" si="22"/>
        <v>3550.4483249478226</v>
      </c>
      <c r="AF118" s="3">
        <f t="shared" si="22"/>
        <v>3751.1614073358969</v>
      </c>
      <c r="AG118" s="3">
        <f t="shared" si="22"/>
        <v>3956.8016295923717</v>
      </c>
      <c r="AH118" s="3">
        <f t="shared" si="22"/>
        <v>4166.9781152525566</v>
      </c>
      <c r="AI118" s="3">
        <f t="shared" si="22"/>
        <v>4381.3369933003751</v>
      </c>
      <c r="AJ118" s="3">
        <f t="shared" si="22"/>
        <v>4599.5509358582203</v>
      </c>
      <c r="AK118" s="3">
        <f t="shared" si="22"/>
        <v>4821.3116809324974</v>
      </c>
      <c r="AL118" s="3">
        <f t="shared" si="22"/>
        <v>5046.3247558059729</v>
      </c>
      <c r="AM118" s="3">
        <f t="shared" si="22"/>
        <v>5274.3058203004239</v>
      </c>
      <c r="AN118" s="3">
        <f t="shared" si="22"/>
        <v>5504.9781987532788</v>
      </c>
      <c r="AO118" s="3">
        <f t="shared" si="22"/>
        <v>5738.0712801702948</v>
      </c>
      <c r="AP118" s="3">
        <f t="shared" si="22"/>
        <v>5973.3195481151142</v>
      </c>
      <c r="AQ118" s="3">
        <f t="shared" si="22"/>
        <v>6210.4620629706733</v>
      </c>
      <c r="AR118" s="3">
        <f t="shared" si="22"/>
        <v>6449.2422647042931</v>
      </c>
      <c r="AS118" s="3">
        <f t="shared" si="22"/>
        <v>6689.4079981909181</v>
      </c>
      <c r="AT118" s="3">
        <f t="shared" si="22"/>
        <v>6930.7116884583302</v>
      </c>
      <c r="AU118" s="3">
        <f t="shared" si="22"/>
        <v>7172.9106121134191</v>
      </c>
      <c r="AV118" s="3">
        <f t="shared" si="22"/>
        <v>7415.7672253255441</v>
      </c>
      <c r="AW118" s="3">
        <f t="shared" si="22"/>
        <v>7659.0495192997951</v>
      </c>
      <c r="AX118" s="3">
        <f t="shared" si="22"/>
        <v>7902.5313820764495</v>
      </c>
      <c r="AY118" s="3">
        <f t="shared" si="22"/>
        <v>8145.9929514177256</v>
      </c>
      <c r="AZ118" s="3">
        <f t="shared" si="22"/>
        <v>8389.2209479909943</v>
      </c>
      <c r="BA118" s="3">
        <f t="shared" si="22"/>
        <v>8632.0089814019575</v>
      </c>
      <c r="BB118" s="3">
        <f t="shared" si="22"/>
        <v>8874.1578241490733</v>
      </c>
      <c r="BC118" s="3">
        <f t="shared" si="22"/>
        <v>9115.4756504676407</v>
      </c>
      <c r="BD118" s="3">
        <f t="shared" si="22"/>
        <v>9355.7782384615239</v>
      </c>
      <c r="BE118" s="3">
        <f t="shared" si="22"/>
        <v>9594.8891349965052</v>
      </c>
      <c r="BF118" s="3">
        <f t="shared" si="22"/>
        <v>9832.6397836362794</v>
      </c>
      <c r="BG118" s="3">
        <f t="shared" si="22"/>
        <v>10068.869616504024</v>
      </c>
      <c r="BH118" s="3">
        <f t="shared" si="22"/>
        <v>10305.528390793288</v>
      </c>
      <c r="BI118" s="3">
        <f t="shared" si="22"/>
        <v>10541.21197932314</v>
      </c>
    </row>
    <row r="119" spans="1:124" ht="15" thickBot="1" x14ac:dyDescent="0.4">
      <c r="A119" s="54" t="s">
        <v>96</v>
      </c>
    </row>
    <row r="120" spans="1:124" ht="15" thickTop="1" x14ac:dyDescent="0.35">
      <c r="A120" s="50" t="s">
        <v>97</v>
      </c>
      <c r="B120" s="51">
        <f t="shared" ref="B120:BI120" si="23">+B15</f>
        <v>1E-3</v>
      </c>
      <c r="C120" s="3">
        <f t="shared" si="23"/>
        <v>1E-3</v>
      </c>
      <c r="D120" s="3">
        <f t="shared" si="23"/>
        <v>1E-3</v>
      </c>
      <c r="E120" s="3">
        <f t="shared" si="23"/>
        <v>1E-3</v>
      </c>
      <c r="F120" s="3">
        <f t="shared" si="23"/>
        <v>1E-3</v>
      </c>
      <c r="G120" s="3">
        <f t="shared" si="23"/>
        <v>1E-3</v>
      </c>
      <c r="H120" s="3">
        <f t="shared" si="23"/>
        <v>1E-3</v>
      </c>
      <c r="I120" s="3">
        <f t="shared" si="23"/>
        <v>1E-3</v>
      </c>
      <c r="J120" s="3">
        <f t="shared" si="23"/>
        <v>1E-3</v>
      </c>
      <c r="K120" s="3">
        <f t="shared" si="23"/>
        <v>1E-3</v>
      </c>
      <c r="L120" s="3">
        <f t="shared" si="23"/>
        <v>1E-3</v>
      </c>
      <c r="M120" s="3">
        <f t="shared" si="23"/>
        <v>1E-3</v>
      </c>
      <c r="N120" s="3">
        <f t="shared" si="23"/>
        <v>1E-3</v>
      </c>
      <c r="O120" s="3">
        <f t="shared" si="23"/>
        <v>1E-3</v>
      </c>
      <c r="P120" s="3">
        <f t="shared" si="23"/>
        <v>1E-3</v>
      </c>
      <c r="Q120" s="3">
        <f t="shared" si="23"/>
        <v>1E-3</v>
      </c>
      <c r="R120" s="3">
        <f t="shared" si="23"/>
        <v>1E-3</v>
      </c>
      <c r="S120" s="3">
        <f t="shared" si="23"/>
        <v>1E-3</v>
      </c>
      <c r="T120" s="3">
        <f t="shared" si="23"/>
        <v>1E-3</v>
      </c>
      <c r="U120" s="3">
        <f t="shared" si="23"/>
        <v>1E-3</v>
      </c>
      <c r="V120" s="3">
        <f t="shared" si="23"/>
        <v>1E-3</v>
      </c>
      <c r="W120" s="3">
        <f t="shared" si="23"/>
        <v>1E-3</v>
      </c>
      <c r="X120" s="3">
        <f t="shared" si="23"/>
        <v>1E-3</v>
      </c>
      <c r="Y120" s="3">
        <f t="shared" si="23"/>
        <v>1E-3</v>
      </c>
      <c r="Z120" s="3">
        <f t="shared" si="23"/>
        <v>1E-3</v>
      </c>
      <c r="AA120" s="3">
        <f t="shared" si="23"/>
        <v>1E-3</v>
      </c>
      <c r="AB120" s="3">
        <f t="shared" si="23"/>
        <v>1E-3</v>
      </c>
      <c r="AC120" s="3">
        <f t="shared" si="23"/>
        <v>1E-3</v>
      </c>
      <c r="AD120" s="3">
        <f t="shared" si="23"/>
        <v>1E-3</v>
      </c>
      <c r="AE120" s="3">
        <f t="shared" si="23"/>
        <v>1E-3</v>
      </c>
      <c r="AF120" s="3">
        <f t="shared" si="23"/>
        <v>1E-3</v>
      </c>
      <c r="AG120" s="3">
        <f t="shared" si="23"/>
        <v>1E-3</v>
      </c>
      <c r="AH120" s="3">
        <f t="shared" si="23"/>
        <v>1E-3</v>
      </c>
      <c r="AI120" s="3">
        <f t="shared" si="23"/>
        <v>1E-3</v>
      </c>
      <c r="AJ120" s="3">
        <f t="shared" si="23"/>
        <v>1E-3</v>
      </c>
      <c r="AK120" s="3">
        <f t="shared" si="23"/>
        <v>1E-3</v>
      </c>
      <c r="AL120" s="3">
        <f t="shared" si="23"/>
        <v>1E-3</v>
      </c>
      <c r="AM120" s="3">
        <f t="shared" si="23"/>
        <v>1E-3</v>
      </c>
      <c r="AN120" s="3">
        <f t="shared" si="23"/>
        <v>1E-3</v>
      </c>
      <c r="AO120" s="3">
        <f t="shared" si="23"/>
        <v>1E-3</v>
      </c>
      <c r="AP120" s="3">
        <f t="shared" si="23"/>
        <v>1E-3</v>
      </c>
      <c r="AQ120" s="3">
        <f t="shared" si="23"/>
        <v>1E-3</v>
      </c>
      <c r="AR120" s="3">
        <f t="shared" si="23"/>
        <v>1E-3</v>
      </c>
      <c r="AS120" s="3">
        <f t="shared" si="23"/>
        <v>1E-3</v>
      </c>
      <c r="AT120" s="3">
        <f t="shared" si="23"/>
        <v>1E-3</v>
      </c>
      <c r="AU120" s="3">
        <f t="shared" si="23"/>
        <v>1E-3</v>
      </c>
      <c r="AV120" s="3">
        <f t="shared" si="23"/>
        <v>1E-3</v>
      </c>
      <c r="AW120" s="3">
        <f t="shared" si="23"/>
        <v>1E-3</v>
      </c>
      <c r="AX120" s="3">
        <f t="shared" si="23"/>
        <v>1E-3</v>
      </c>
      <c r="AY120" s="3">
        <f t="shared" si="23"/>
        <v>1E-3</v>
      </c>
      <c r="AZ120" s="3">
        <f t="shared" si="23"/>
        <v>1E-3</v>
      </c>
      <c r="BA120" s="3">
        <f t="shared" si="23"/>
        <v>1E-3</v>
      </c>
      <c r="BB120" s="3">
        <f t="shared" si="23"/>
        <v>1E-3</v>
      </c>
      <c r="BC120" s="3">
        <f t="shared" si="23"/>
        <v>1E-3</v>
      </c>
      <c r="BD120" s="3">
        <f t="shared" si="23"/>
        <v>1E-3</v>
      </c>
      <c r="BE120" s="3">
        <f t="shared" si="23"/>
        <v>1E-3</v>
      </c>
      <c r="BF120" s="3">
        <f t="shared" si="23"/>
        <v>1E-3</v>
      </c>
      <c r="BG120" s="3">
        <f t="shared" si="23"/>
        <v>1E-3</v>
      </c>
      <c r="BH120" s="3">
        <f t="shared" si="23"/>
        <v>1E-3</v>
      </c>
      <c r="BI120" s="3">
        <f t="shared" si="23"/>
        <v>1E-3</v>
      </c>
    </row>
    <row r="121" spans="1:124" ht="14.5" x14ac:dyDescent="0.35">
      <c r="A121" s="50" t="s">
        <v>32</v>
      </c>
      <c r="B121" s="51">
        <f t="shared" ref="B121:BI121" si="24">+$B$5*B105/B118</f>
        <v>0.12537163810686153</v>
      </c>
      <c r="C121" s="3">
        <f t="shared" si="24"/>
        <v>0.11871007266584539</v>
      </c>
      <c r="D121" s="3">
        <f t="shared" si="24"/>
        <v>0.11559479740042397</v>
      </c>
      <c r="E121" s="3">
        <f t="shared" si="24"/>
        <v>0.11349739209651236</v>
      </c>
      <c r="F121" s="3">
        <f t="shared" si="24"/>
        <v>0.11193429384329678</v>
      </c>
      <c r="G121" s="3">
        <f t="shared" si="24"/>
        <v>0.11066702094003487</v>
      </c>
      <c r="H121" s="3">
        <f t="shared" si="24"/>
        <v>0.10958269604757329</v>
      </c>
      <c r="I121" s="3">
        <f t="shared" si="24"/>
        <v>0.10864168653372956</v>
      </c>
      <c r="J121" s="3">
        <f t="shared" si="24"/>
        <v>0.10785904863186994</v>
      </c>
      <c r="K121" s="3">
        <f t="shared" si="24"/>
        <v>0.1073091137525965</v>
      </c>
      <c r="L121" s="3">
        <f t="shared" si="24"/>
        <v>0.10675259862597895</v>
      </c>
      <c r="M121" s="3">
        <f t="shared" si="24"/>
        <v>0.1060529613546629</v>
      </c>
      <c r="N121" s="3">
        <f t="shared" si="24"/>
        <v>0.10529302304705734</v>
      </c>
      <c r="O121" s="3">
        <f t="shared" si="24"/>
        <v>0.10451745160984174</v>
      </c>
      <c r="P121" s="3">
        <f t="shared" si="24"/>
        <v>0.10374993902486722</v>
      </c>
      <c r="Q121" s="3">
        <f t="shared" si="24"/>
        <v>0.10300271692377201</v>
      </c>
      <c r="R121" s="3">
        <f t="shared" si="24"/>
        <v>0.10228178529370094</v>
      </c>
      <c r="S121" s="3">
        <f t="shared" si="24"/>
        <v>0.10158978458283573</v>
      </c>
      <c r="T121" s="3">
        <f t="shared" si="24"/>
        <v>0.10092758791073876</v>
      </c>
      <c r="U121" s="3">
        <f t="shared" si="24"/>
        <v>0.10029521107979431</v>
      </c>
      <c r="V121" s="3">
        <f t="shared" si="24"/>
        <v>9.9689952879274069E-2</v>
      </c>
      <c r="W121" s="3">
        <f t="shared" si="24"/>
        <v>9.9109918317200715E-2</v>
      </c>
      <c r="X121" s="3">
        <f t="shared" si="24"/>
        <v>9.8553662196195699E-2</v>
      </c>
      <c r="Y121" s="3">
        <f t="shared" si="24"/>
        <v>9.8019992176846329E-2</v>
      </c>
      <c r="Z121" s="3">
        <f t="shared" si="24"/>
        <v>9.7507860988639394E-2</v>
      </c>
      <c r="AA121" s="3">
        <f t="shared" si="24"/>
        <v>9.7016308310356944E-2</v>
      </c>
      <c r="AB121" s="3">
        <f t="shared" si="24"/>
        <v>9.6544430229605474E-2</v>
      </c>
      <c r="AC121" s="3">
        <f t="shared" si="24"/>
        <v>9.6091363870346655E-2</v>
      </c>
      <c r="AD121" s="3">
        <f t="shared" si="24"/>
        <v>9.5656280117166745E-2</v>
      </c>
      <c r="AE121" s="3">
        <f t="shared" si="24"/>
        <v>9.5238380514503118E-2</v>
      </c>
      <c r="AF121" s="3">
        <f t="shared" si="24"/>
        <v>9.4836896157019443E-2</v>
      </c>
      <c r="AG121" s="3">
        <f t="shared" si="24"/>
        <v>9.4441001102038749E-2</v>
      </c>
      <c r="AH121" s="3">
        <f t="shared" si="24"/>
        <v>9.4054213032086831E-2</v>
      </c>
      <c r="AI121" s="3">
        <f t="shared" si="24"/>
        <v>9.3678609241460417E-2</v>
      </c>
      <c r="AJ121" s="3">
        <f t="shared" si="24"/>
        <v>9.3315312338644998E-2</v>
      </c>
      <c r="AK121" s="3">
        <f t="shared" si="24"/>
        <v>9.2964818194904916E-2</v>
      </c>
      <c r="AL121" s="3">
        <f t="shared" si="24"/>
        <v>9.2627216810564461E-2</v>
      </c>
      <c r="AM121" s="3">
        <f t="shared" si="24"/>
        <v>9.2302340620870685E-2</v>
      </c>
      <c r="AN121" s="3">
        <f t="shared" si="24"/>
        <v>9.1989863691440105E-2</v>
      </c>
      <c r="AO121" s="3">
        <f t="shared" si="24"/>
        <v>9.1689367707254096E-2</v>
      </c>
      <c r="AP121" s="3">
        <f t="shared" si="24"/>
        <v>9.1400385533429551E-2</v>
      </c>
      <c r="AQ121" s="3">
        <f t="shared" si="24"/>
        <v>9.1122429650295045E-2</v>
      </c>
      <c r="AR121" s="3">
        <f t="shared" si="24"/>
        <v>9.0855010410113096E-2</v>
      </c>
      <c r="AS121" s="3">
        <f t="shared" si="24"/>
        <v>9.0597647466942294E-2</v>
      </c>
      <c r="AT121" s="3">
        <f t="shared" si="24"/>
        <v>9.0349876649462077E-2</v>
      </c>
      <c r="AU121" s="3">
        <f t="shared" si="24"/>
        <v>9.0111253813039666E-2</v>
      </c>
      <c r="AV121" s="3">
        <f t="shared" si="24"/>
        <v>8.9881356709604676E-2</v>
      </c>
      <c r="AW121" s="3">
        <f t="shared" si="24"/>
        <v>8.9659785576039194E-2</v>
      </c>
      <c r="AX121" s="3">
        <f t="shared" si="24"/>
        <v>8.9446162912395724E-2</v>
      </c>
      <c r="AY121" s="3">
        <f t="shared" si="24"/>
        <v>8.9240132765512445E-2</v>
      </c>
      <c r="AZ121" s="3">
        <f t="shared" si="24"/>
        <v>8.9041359727918698E-2</v>
      </c>
      <c r="BA121" s="3">
        <f t="shared" si="24"/>
        <v>8.8849527790294189E-2</v>
      </c>
      <c r="BB121" s="3">
        <f t="shared" si="24"/>
        <v>8.8664339137294809E-2</v>
      </c>
      <c r="BC121" s="3">
        <f t="shared" si="24"/>
        <v>8.8485512943876826E-2</v>
      </c>
      <c r="BD121" s="3">
        <f t="shared" si="24"/>
        <v>8.831278420731567E-2</v>
      </c>
      <c r="BE121" s="3">
        <f t="shared" si="24"/>
        <v>8.8145902635476725E-2</v>
      </c>
      <c r="BF121" s="3">
        <f t="shared" si="24"/>
        <v>8.7984631602229815E-2</v>
      </c>
      <c r="BG121" s="3">
        <f t="shared" si="24"/>
        <v>8.7828747174589689E-2</v>
      </c>
      <c r="BH121" s="3">
        <f t="shared" si="24"/>
        <v>8.7665516693500381E-2</v>
      </c>
      <c r="BI121" s="3">
        <f t="shared" si="24"/>
        <v>8.7502960921956877E-2</v>
      </c>
    </row>
    <row r="122" spans="1:124" ht="14.5" x14ac:dyDescent="0.35">
      <c r="A122" s="50" t="s">
        <v>33</v>
      </c>
      <c r="B122" s="3">
        <f>+AVERAGE($B121:B121)</f>
        <v>0.12537163810686153</v>
      </c>
      <c r="C122" s="3">
        <f>+AVERAGE($B121:C121)</f>
        <v>0.12204085538635345</v>
      </c>
      <c r="D122" s="3">
        <f>+AVERAGE($B121:D121)</f>
        <v>0.11989216939104363</v>
      </c>
      <c r="E122" s="3">
        <f>+AVERAGE($B121:E121)</f>
        <v>0.11829347506741081</v>
      </c>
      <c r="F122" s="3">
        <f>+AVERAGE($B121:F121)</f>
        <v>0.11702163882258801</v>
      </c>
      <c r="G122" s="3">
        <f>+AVERAGE($B121:G121)</f>
        <v>0.11596253584216248</v>
      </c>
      <c r="H122" s="3">
        <f>+AVERAGE($B121:H121)</f>
        <v>0.11505113015722117</v>
      </c>
      <c r="I122" s="3">
        <f>+AVERAGE($B121:I121)</f>
        <v>0.11424994970428472</v>
      </c>
      <c r="J122" s="3">
        <f>+AVERAGE($B121:J121)</f>
        <v>0.11353984958512751</v>
      </c>
      <c r="K122" s="3">
        <f>+AVERAGE($B121:K121)</f>
        <v>0.11291677600187441</v>
      </c>
      <c r="L122" s="3">
        <f>+AVERAGE($B121:L121)</f>
        <v>0.11235639624042938</v>
      </c>
      <c r="M122" s="3">
        <f>+AVERAGE($B121:M121)</f>
        <v>0.11183110999994883</v>
      </c>
      <c r="N122" s="3">
        <f>+AVERAGE($B121:N121)</f>
        <v>0.11132818023434178</v>
      </c>
      <c r="O122" s="3">
        <f>+AVERAGE($B121:O121)</f>
        <v>0.11084169961830606</v>
      </c>
      <c r="P122" s="3">
        <f>+AVERAGE($B121:P121)</f>
        <v>0.11036891557874348</v>
      </c>
      <c r="Q122" s="3">
        <f>+AVERAGE($B121:Q121)</f>
        <v>0.10990852816280776</v>
      </c>
      <c r="R122" s="3">
        <f>+AVERAGE($B121:R121)</f>
        <v>0.10945989622933089</v>
      </c>
      <c r="S122" s="3">
        <f>+AVERAGE($B121:S121)</f>
        <v>0.1090226678045256</v>
      </c>
      <c r="T122" s="3">
        <f>+AVERAGE($B121:T121)</f>
        <v>0.1085966109680105</v>
      </c>
      <c r="U122" s="3">
        <f>+AVERAGE($B121:U121)</f>
        <v>0.10818154097359969</v>
      </c>
      <c r="V122" s="3">
        <f>+AVERAGE($B121:V121)</f>
        <v>0.10777717963577464</v>
      </c>
      <c r="W122" s="3">
        <f>+AVERAGE($B121:W121)</f>
        <v>0.10738321321220311</v>
      </c>
      <c r="X122" s="3">
        <f>+AVERAGE($B121:X121)</f>
        <v>0.106999319689768</v>
      </c>
      <c r="Y122" s="3">
        <f>+AVERAGE($B121:Y121)</f>
        <v>0.10662518104339626</v>
      </c>
      <c r="Z122" s="3">
        <f>+AVERAGE($B121:Z121)</f>
        <v>0.10626048824120599</v>
      </c>
      <c r="AA122" s="3">
        <f>+AVERAGE($B121:AA121)</f>
        <v>0.10590494285925024</v>
      </c>
      <c r="AB122" s="3">
        <f>+AVERAGE($B121:AB121)</f>
        <v>0.10555825720630044</v>
      </c>
      <c r="AC122" s="3">
        <f>+AVERAGE($B121:AC121)</f>
        <v>0.10522015387287352</v>
      </c>
      <c r="AD122" s="3">
        <f>+AVERAGE($B121:AD121)</f>
        <v>0.10489036512267673</v>
      </c>
      <c r="AE122" s="3">
        <f>+AVERAGE($B121:AE121)</f>
        <v>0.10456863230240428</v>
      </c>
      <c r="AF122" s="3">
        <f>+AVERAGE($B121:AF121)</f>
        <v>0.10425470532997252</v>
      </c>
      <c r="AG122" s="3">
        <f>+AVERAGE($B121:AG121)</f>
        <v>0.10394802707284959</v>
      </c>
      <c r="AH122" s="3">
        <f>+AVERAGE($B121:AH121)</f>
        <v>0.10364821452615981</v>
      </c>
      <c r="AI122" s="3">
        <f>+AVERAGE($B121:AI121)</f>
        <v>0.10335499084131572</v>
      </c>
      <c r="AJ122" s="3">
        <f>+AVERAGE($B121:AJ121)</f>
        <v>0.10306814288409656</v>
      </c>
      <c r="AK122" s="3">
        <f>+AVERAGE($B121:AK121)</f>
        <v>0.10278749497606346</v>
      </c>
      <c r="AL122" s="3">
        <f>+AVERAGE($B121:AL121)</f>
        <v>0.1025128928634824</v>
      </c>
      <c r="AM122" s="3">
        <f>+AVERAGE($B121:AM121)</f>
        <v>0.10224419412025577</v>
      </c>
      <c r="AN122" s="3">
        <f>+AVERAGE($B121:AN121)</f>
        <v>0.10198126257079897</v>
      </c>
      <c r="AO122" s="3">
        <f>+AVERAGE($B121:AO121)</f>
        <v>0.10172396519921034</v>
      </c>
      <c r="AP122" s="3">
        <f>+AVERAGE($B121:AP121)</f>
        <v>0.10147217057321568</v>
      </c>
      <c r="AQ122" s="3">
        <f>+AVERAGE($B121:AQ121)</f>
        <v>0.10122574817028901</v>
      </c>
      <c r="AR122" s="3">
        <f>+AVERAGE($B121:AR121)</f>
        <v>0.10098456822237795</v>
      </c>
      <c r="AS122" s="3">
        <f>+AVERAGE($B121:AS121)</f>
        <v>0.10074850184157258</v>
      </c>
      <c r="AT122" s="3">
        <f>+AVERAGE($B121:AT121)</f>
        <v>0.1005174212817479</v>
      </c>
      <c r="AU122" s="3">
        <f>+AVERAGE($B121:AU121)</f>
        <v>0.10029120024981945</v>
      </c>
      <c r="AV122" s="3">
        <f>+AVERAGE($B121:AV121)</f>
        <v>0.10006971421704894</v>
      </c>
      <c r="AW122" s="3">
        <f>+AVERAGE($B121:AW121)</f>
        <v>9.9852840703694559E-2</v>
      </c>
      <c r="AX122" s="3">
        <f>+AVERAGE($B121:AX121)</f>
        <v>9.9640459524280314E-2</v>
      </c>
      <c r="AY122" s="3">
        <f>+AVERAGE($B121:AY121)</f>
        <v>9.9432452989104955E-2</v>
      </c>
      <c r="AZ122" s="3">
        <f>+AVERAGE($B121:AZ121)</f>
        <v>9.9228706062415031E-2</v>
      </c>
      <c r="BA122" s="3">
        <f>+AVERAGE($B121:BA121)</f>
        <v>9.9029106480258852E-2</v>
      </c>
      <c r="BB122" s="3">
        <f>+AVERAGE($B121:BB121)</f>
        <v>9.8833544832278394E-2</v>
      </c>
      <c r="BC122" s="3">
        <f>+AVERAGE($B121:BC121)</f>
        <v>9.8641914612122808E-2</v>
      </c>
      <c r="BD122" s="3">
        <f>+AVERAGE($B121:BD121)</f>
        <v>9.845411224112631E-2</v>
      </c>
      <c r="BE122" s="3">
        <f>+AVERAGE($B121:BE121)</f>
        <v>9.8270037069596847E-2</v>
      </c>
      <c r="BF122" s="3">
        <f>+AVERAGE($B121:BF121)</f>
        <v>9.8089591359643041E-2</v>
      </c>
      <c r="BG122" s="3">
        <f>+AVERAGE($B121:BG121)</f>
        <v>9.7912680253004189E-2</v>
      </c>
      <c r="BH122" s="3">
        <f>+AVERAGE($B121:BH121)</f>
        <v>9.773899951470752E-2</v>
      </c>
      <c r="BI122" s="3">
        <f>+AVERAGE($B121:BI121)</f>
        <v>9.7568398871495016E-2</v>
      </c>
    </row>
    <row r="123" spans="1:124" ht="14.5" x14ac:dyDescent="0.35">
      <c r="A123" s="70" t="s">
        <v>52</v>
      </c>
    </row>
    <row r="124" spans="1:124" ht="14.5" x14ac:dyDescent="0.35">
      <c r="A124" s="50" t="s">
        <v>45</v>
      </c>
      <c r="B124" s="51">
        <f>B111-B117</f>
        <v>44.415148545023875</v>
      </c>
      <c r="C124" s="3">
        <f t="shared" ref="C124:BI124" si="25">C111-C117</f>
        <v>54.266469168118043</v>
      </c>
      <c r="D124" s="3">
        <f t="shared" si="25"/>
        <v>64.904695264493014</v>
      </c>
      <c r="E124" s="3">
        <f t="shared" si="25"/>
        <v>76.402794436940226</v>
      </c>
      <c r="F124" s="3">
        <f t="shared" si="25"/>
        <v>88.81195104034056</v>
      </c>
      <c r="G124" s="3">
        <f t="shared" si="25"/>
        <v>102.17088923966122</v>
      </c>
      <c r="H124" s="3">
        <f t="shared" si="25"/>
        <v>116.51853733838672</v>
      </c>
      <c r="I124" s="3">
        <f t="shared" si="25"/>
        <v>131.91257642241047</v>
      </c>
      <c r="J124" s="3">
        <f t="shared" si="25"/>
        <v>148.46077047163834</v>
      </c>
      <c r="K124" s="3">
        <f t="shared" si="25"/>
        <v>166.37365612346048</v>
      </c>
      <c r="L124" s="3">
        <f t="shared" si="25"/>
        <v>185.70900724803079</v>
      </c>
      <c r="M124" s="3">
        <f t="shared" si="25"/>
        <v>206.40020736240197</v>
      </c>
      <c r="N124" s="3">
        <f t="shared" si="25"/>
        <v>228.40143586696729</v>
      </c>
      <c r="O124" s="3">
        <f t="shared" si="25"/>
        <v>251.68012508076862</v>
      </c>
      <c r="P124" s="3">
        <f t="shared" si="25"/>
        <v>276.21104969292782</v>
      </c>
      <c r="Q124" s="3">
        <f t="shared" si="25"/>
        <v>301.97257392442651</v>
      </c>
      <c r="R124" s="3">
        <f t="shared" si="25"/>
        <v>328.9443162331537</v>
      </c>
      <c r="S124" s="3">
        <f t="shared" si="25"/>
        <v>357.1057615321206</v>
      </c>
      <c r="T124" s="3">
        <f t="shared" si="25"/>
        <v>386.43554445397774</v>
      </c>
      <c r="U124" s="3">
        <f t="shared" si="25"/>
        <v>416.91756192538071</v>
      </c>
      <c r="V124" s="3">
        <f t="shared" si="25"/>
        <v>448.53119201639436</v>
      </c>
      <c r="W124" s="3">
        <f t="shared" si="25"/>
        <v>481.25199707003276</v>
      </c>
      <c r="X124" s="3">
        <f t="shared" si="25"/>
        <v>515.05221984640752</v>
      </c>
      <c r="Y124" s="3">
        <f t="shared" si="25"/>
        <v>549.90115553835074</v>
      </c>
      <c r="Z124" s="3">
        <f t="shared" si="25"/>
        <v>585.76544712300279</v>
      </c>
      <c r="AA124" s="3">
        <f t="shared" si="25"/>
        <v>622.60933528037322</v>
      </c>
      <c r="AB124" s="3">
        <f t="shared" si="25"/>
        <v>660.39488206838269</v>
      </c>
      <c r="AC124" s="3">
        <f t="shared" si="25"/>
        <v>699.08217909230871</v>
      </c>
      <c r="AD124" s="3">
        <f t="shared" si="25"/>
        <v>738.62954753974009</v>
      </c>
      <c r="AE124" s="3">
        <f t="shared" si="25"/>
        <v>778.99373387136461</v>
      </c>
      <c r="AF124" s="3">
        <f t="shared" si="25"/>
        <v>820.00938002774922</v>
      </c>
      <c r="AG124" s="3">
        <f t="shared" si="25"/>
        <v>861.79092229994444</v>
      </c>
      <c r="AH124" s="3">
        <f t="shared" si="25"/>
        <v>904.2804243260241</v>
      </c>
      <c r="AI124" s="3">
        <f t="shared" si="25"/>
        <v>947.42215858583177</v>
      </c>
      <c r="AJ124" s="3">
        <f t="shared" si="25"/>
        <v>991.16199467477645</v>
      </c>
      <c r="AK124" s="3">
        <f t="shared" si="25"/>
        <v>1035.4469937836427</v>
      </c>
      <c r="AL124" s="3">
        <f t="shared" si="25"/>
        <v>1080.2251540239413</v>
      </c>
      <c r="AM124" s="3">
        <f t="shared" si="25"/>
        <v>1125.4452650688631</v>
      </c>
      <c r="AN124" s="3">
        <f t="shared" si="25"/>
        <v>1171.056841063918</v>
      </c>
      <c r="AO124" s="3">
        <f t="shared" si="25"/>
        <v>1217.0101086610937</v>
      </c>
      <c r="AP124" s="3">
        <f t="shared" si="25"/>
        <v>1263.2560329602106</v>
      </c>
      <c r="AQ124" s="3">
        <f t="shared" si="25"/>
        <v>1309.7463685822154</v>
      </c>
      <c r="AR124" s="3">
        <f t="shared" si="25"/>
        <v>1356.4337264215778</v>
      </c>
      <c r="AS124" s="3">
        <f t="shared" si="25"/>
        <v>1403.2716491099823</v>
      </c>
      <c r="AT124" s="3">
        <f t="shared" si="25"/>
        <v>1450.2146900832631</v>
      </c>
      <c r="AU124" s="3">
        <f t="shared" si="25"/>
        <v>1497.2184925368181</v>
      </c>
      <c r="AV124" s="3">
        <f t="shared" si="25"/>
        <v>1544.2398656003263</v>
      </c>
      <c r="AW124" s="3">
        <f t="shared" si="25"/>
        <v>1591.2368558486701</v>
      </c>
      <c r="AX124" s="3">
        <f t="shared" si="25"/>
        <v>1638.1688128582136</v>
      </c>
      <c r="AY124" s="3">
        <f t="shared" si="25"/>
        <v>1684.9964479645623</v>
      </c>
      <c r="AZ124" s="3">
        <f t="shared" si="25"/>
        <v>1731.6818857159153</v>
      </c>
      <c r="BA124" s="3">
        <f t="shared" si="25"/>
        <v>1778.188707771691</v>
      </c>
      <c r="BB124" s="3">
        <f t="shared" si="25"/>
        <v>1824.481989189379</v>
      </c>
      <c r="BC124" s="3">
        <f t="shared" si="25"/>
        <v>1870.5283271881628</v>
      </c>
      <c r="BD124" s="3">
        <f t="shared" si="25"/>
        <v>1916.2958625870233</v>
      </c>
      <c r="BE124" s="3">
        <f t="shared" si="25"/>
        <v>1961.7542941958638</v>
      </c>
      <c r="BF124" s="3">
        <f t="shared" si="25"/>
        <v>2006.8748864971974</v>
      </c>
      <c r="BG124" s="3">
        <f t="shared" si="25"/>
        <v>2052.6202001698321</v>
      </c>
      <c r="BH124" s="3">
        <f t="shared" si="25"/>
        <v>2097.7871635227052</v>
      </c>
      <c r="BI124" s="3">
        <f t="shared" si="25"/>
        <v>2140.6575304174426</v>
      </c>
    </row>
    <row r="125" spans="1:124" ht="14.5" x14ac:dyDescent="0.35">
      <c r="A125" s="50" t="s">
        <v>108</v>
      </c>
      <c r="B125" s="51">
        <f>+C125</f>
        <v>9.2222491143188954</v>
      </c>
      <c r="C125" s="51">
        <f t="shared" ref="C125:BI125" si="26">+(C118-B118)/(C2-B2)</f>
        <v>9.2222491143188954</v>
      </c>
      <c r="D125" s="51">
        <f t="shared" si="26"/>
        <v>9.2204886842358</v>
      </c>
      <c r="E125" s="51">
        <f t="shared" si="26"/>
        <v>9.9369300891897758</v>
      </c>
      <c r="F125" s="51">
        <f t="shared" si="26"/>
        <v>10.779399560241188</v>
      </c>
      <c r="G125" s="51">
        <f t="shared" si="26"/>
        <v>11.715353848352175</v>
      </c>
      <c r="H125" s="51">
        <f t="shared" si="26"/>
        <v>12.709512685497714</v>
      </c>
      <c r="I125" s="51">
        <f t="shared" si="26"/>
        <v>13.715640465907905</v>
      </c>
      <c r="J125" s="51">
        <f t="shared" si="26"/>
        <v>14.659021533469286</v>
      </c>
      <c r="K125" s="51">
        <f t="shared" si="26"/>
        <v>15.402523300697521</v>
      </c>
      <c r="L125" s="51">
        <f t="shared" si="26"/>
        <v>16.517460599941387</v>
      </c>
      <c r="M125" s="51">
        <f t="shared" si="26"/>
        <v>17.977928421244677</v>
      </c>
      <c r="N125" s="51">
        <f t="shared" si="26"/>
        <v>19.359971247434011</v>
      </c>
      <c r="O125" s="51">
        <f t="shared" si="26"/>
        <v>20.693727342989472</v>
      </c>
      <c r="P125" s="51">
        <f t="shared" si="26"/>
        <v>21.996791209047206</v>
      </c>
      <c r="Q125" s="51">
        <f t="shared" si="26"/>
        <v>23.278845787604677</v>
      </c>
      <c r="R125" s="51">
        <f t="shared" si="26"/>
        <v>24.544540819010034</v>
      </c>
      <c r="S125" s="51">
        <f t="shared" si="26"/>
        <v>25.795276750308222</v>
      </c>
      <c r="T125" s="51">
        <f t="shared" si="26"/>
        <v>27.030265091031517</v>
      </c>
      <c r="U125" s="51">
        <f t="shared" si="26"/>
        <v>28.247062234204577</v>
      </c>
      <c r="V125" s="51">
        <f t="shared" si="26"/>
        <v>29.455348479387521</v>
      </c>
      <c r="W125" s="51">
        <f t="shared" si="26"/>
        <v>30.649571638412453</v>
      </c>
      <c r="X125" s="51">
        <f t="shared" si="26"/>
        <v>31.825047430588711</v>
      </c>
      <c r="Y125" s="51">
        <f t="shared" si="26"/>
        <v>32.977704334636563</v>
      </c>
      <c r="Z125" s="51">
        <f t="shared" si="26"/>
        <v>34.103924467182154</v>
      </c>
      <c r="AA125" s="51">
        <f t="shared" si="26"/>
        <v>35.20044610963923</v>
      </c>
      <c r="AB125" s="51">
        <f t="shared" si="26"/>
        <v>36.264304601577535</v>
      </c>
      <c r="AC125" s="51">
        <f t="shared" si="26"/>
        <v>37.292796991885005</v>
      </c>
      <c r="AD125" s="51">
        <f t="shared" si="26"/>
        <v>38.283462142080495</v>
      </c>
      <c r="AE125" s="51">
        <f t="shared" si="26"/>
        <v>39.234070009448807</v>
      </c>
      <c r="AF125" s="51">
        <f t="shared" si="26"/>
        <v>40.142616477614865</v>
      </c>
      <c r="AG125" s="51">
        <f t="shared" si="26"/>
        <v>41.128044451294954</v>
      </c>
      <c r="AH125" s="51">
        <f t="shared" si="26"/>
        <v>42.035297132036973</v>
      </c>
      <c r="AI125" s="51">
        <f t="shared" si="26"/>
        <v>42.871775609563699</v>
      </c>
      <c r="AJ125" s="51">
        <f t="shared" si="26"/>
        <v>43.642788511569051</v>
      </c>
      <c r="AK125" s="51">
        <f t="shared" si="26"/>
        <v>44.352149014855421</v>
      </c>
      <c r="AL125" s="51">
        <f t="shared" si="26"/>
        <v>45.002614974695099</v>
      </c>
      <c r="AM125" s="51">
        <f t="shared" si="26"/>
        <v>45.596212898890187</v>
      </c>
      <c r="AN125" s="51">
        <f t="shared" si="26"/>
        <v>46.13447569057098</v>
      </c>
      <c r="AO125" s="51">
        <f t="shared" si="26"/>
        <v>46.618616283403206</v>
      </c>
      <c r="AP125" s="51">
        <f t="shared" si="26"/>
        <v>47.049653588963885</v>
      </c>
      <c r="AQ125" s="51">
        <f t="shared" si="26"/>
        <v>47.428502971111811</v>
      </c>
      <c r="AR125" s="51">
        <f t="shared" si="26"/>
        <v>47.756040346723964</v>
      </c>
      <c r="AS125" s="51">
        <f t="shared" si="26"/>
        <v>48.033146697324995</v>
      </c>
      <c r="AT125" s="51">
        <f t="shared" si="26"/>
        <v>48.26073805348242</v>
      </c>
      <c r="AU125" s="51">
        <f t="shared" si="26"/>
        <v>48.439784731017788</v>
      </c>
      <c r="AV125" s="51">
        <f t="shared" si="26"/>
        <v>48.571322642425002</v>
      </c>
      <c r="AW125" s="51">
        <f t="shared" si="26"/>
        <v>48.656458794850188</v>
      </c>
      <c r="AX125" s="51">
        <f t="shared" si="26"/>
        <v>48.696372555330889</v>
      </c>
      <c r="AY125" s="51">
        <f t="shared" si="26"/>
        <v>48.692313868255226</v>
      </c>
      <c r="AZ125" s="51">
        <f t="shared" si="26"/>
        <v>48.645599314653737</v>
      </c>
      <c r="BA125" s="51">
        <f t="shared" si="26"/>
        <v>48.557606682192635</v>
      </c>
      <c r="BB125" s="51">
        <f t="shared" si="26"/>
        <v>48.429768549423173</v>
      </c>
      <c r="BC125" s="51">
        <f t="shared" si="26"/>
        <v>48.26356526371346</v>
      </c>
      <c r="BD125" s="51">
        <f t="shared" si="26"/>
        <v>48.060517598776642</v>
      </c>
      <c r="BE125" s="51">
        <f t="shared" si="26"/>
        <v>47.822179306996262</v>
      </c>
      <c r="BF125" s="51">
        <f t="shared" si="26"/>
        <v>47.550129727954847</v>
      </c>
      <c r="BG125" s="51">
        <f t="shared" si="26"/>
        <v>47.24596657354887</v>
      </c>
      <c r="BH125" s="51">
        <f t="shared" si="26"/>
        <v>47.331754857852864</v>
      </c>
      <c r="BI125" s="51">
        <f t="shared" si="26"/>
        <v>47.136717705970298</v>
      </c>
    </row>
    <row r="126" spans="1:124" ht="14.5" x14ac:dyDescent="0.35">
      <c r="A126" s="50" t="s">
        <v>229</v>
      </c>
      <c r="B126" s="51">
        <f t="shared" ref="B126:AG126" si="27">+SUM(B124:B125)</f>
        <v>53.637397659342767</v>
      </c>
      <c r="C126" s="51">
        <f t="shared" si="27"/>
        <v>63.488718282436935</v>
      </c>
      <c r="D126" s="51">
        <f t="shared" si="27"/>
        <v>74.125183948728818</v>
      </c>
      <c r="E126" s="51">
        <f t="shared" si="27"/>
        <v>86.339724526129999</v>
      </c>
      <c r="F126" s="51">
        <f t="shared" si="27"/>
        <v>99.591350600581748</v>
      </c>
      <c r="G126" s="51">
        <f t="shared" si="27"/>
        <v>113.8862430880134</v>
      </c>
      <c r="H126" s="51">
        <f t="shared" si="27"/>
        <v>129.22805002388444</v>
      </c>
      <c r="I126" s="51">
        <f t="shared" si="27"/>
        <v>145.62821688831838</v>
      </c>
      <c r="J126" s="51">
        <f t="shared" si="27"/>
        <v>163.11979200510763</v>
      </c>
      <c r="K126" s="51">
        <f t="shared" si="27"/>
        <v>181.77617942415799</v>
      </c>
      <c r="L126" s="51">
        <f t="shared" si="27"/>
        <v>202.22646784797217</v>
      </c>
      <c r="M126" s="51">
        <f t="shared" si="27"/>
        <v>224.37813578364666</v>
      </c>
      <c r="N126" s="51">
        <f t="shared" si="27"/>
        <v>247.76140711440129</v>
      </c>
      <c r="O126" s="51">
        <f t="shared" si="27"/>
        <v>272.37385242375808</v>
      </c>
      <c r="P126" s="51">
        <f t="shared" si="27"/>
        <v>298.20784090197503</v>
      </c>
      <c r="Q126" s="51">
        <f t="shared" si="27"/>
        <v>325.25141971203118</v>
      </c>
      <c r="R126" s="51">
        <f t="shared" si="27"/>
        <v>353.48885705216372</v>
      </c>
      <c r="S126" s="51">
        <f t="shared" si="27"/>
        <v>382.90103828242883</v>
      </c>
      <c r="T126" s="51">
        <f t="shared" si="27"/>
        <v>413.46580954500928</v>
      </c>
      <c r="U126" s="51">
        <f t="shared" si="27"/>
        <v>445.16462415958529</v>
      </c>
      <c r="V126" s="51">
        <f t="shared" si="27"/>
        <v>477.98654049578187</v>
      </c>
      <c r="W126" s="51">
        <f t="shared" si="27"/>
        <v>511.90156870844521</v>
      </c>
      <c r="X126" s="51">
        <f t="shared" si="27"/>
        <v>546.87726727699624</v>
      </c>
      <c r="Y126" s="51">
        <f t="shared" si="27"/>
        <v>582.87885987298728</v>
      </c>
      <c r="Z126" s="51">
        <f t="shared" si="27"/>
        <v>619.86937159018498</v>
      </c>
      <c r="AA126" s="51">
        <f t="shared" si="27"/>
        <v>657.8097813900124</v>
      </c>
      <c r="AB126" s="51">
        <f t="shared" si="27"/>
        <v>696.65918666996026</v>
      </c>
      <c r="AC126" s="51">
        <f t="shared" si="27"/>
        <v>736.37497608419369</v>
      </c>
      <c r="AD126" s="51">
        <f t="shared" si="27"/>
        <v>776.91300968182054</v>
      </c>
      <c r="AE126" s="51">
        <f t="shared" si="27"/>
        <v>818.22780388081344</v>
      </c>
      <c r="AF126" s="51">
        <f t="shared" si="27"/>
        <v>860.15199650536408</v>
      </c>
      <c r="AG126" s="51">
        <f t="shared" si="27"/>
        <v>902.9189667512394</v>
      </c>
      <c r="AH126" s="51">
        <f t="shared" ref="AH126:BI126" si="28">+SUM(AH124:AH125)</f>
        <v>946.31572145806103</v>
      </c>
      <c r="AI126" s="51">
        <f t="shared" si="28"/>
        <v>990.29393419539542</v>
      </c>
      <c r="AJ126" s="51">
        <f t="shared" si="28"/>
        <v>1034.8047831863455</v>
      </c>
      <c r="AK126" s="51">
        <f t="shared" si="28"/>
        <v>1079.7991427984982</v>
      </c>
      <c r="AL126" s="51">
        <f t="shared" si="28"/>
        <v>1125.2277689986363</v>
      </c>
      <c r="AM126" s="51">
        <f t="shared" si="28"/>
        <v>1171.0414779677533</v>
      </c>
      <c r="AN126" s="51">
        <f t="shared" si="28"/>
        <v>1217.191316754489</v>
      </c>
      <c r="AO126" s="51">
        <f t="shared" si="28"/>
        <v>1263.628724944497</v>
      </c>
      <c r="AP126" s="51">
        <f t="shared" si="28"/>
        <v>1310.3056865491744</v>
      </c>
      <c r="AQ126" s="51">
        <f t="shared" si="28"/>
        <v>1357.1748715533272</v>
      </c>
      <c r="AR126" s="51">
        <f t="shared" si="28"/>
        <v>1404.1897667683018</v>
      </c>
      <c r="AS126" s="51">
        <f t="shared" si="28"/>
        <v>1451.3047958073073</v>
      </c>
      <c r="AT126" s="51">
        <f t="shared" si="28"/>
        <v>1498.4754281367454</v>
      </c>
      <c r="AU126" s="51">
        <f t="shared" si="28"/>
        <v>1545.658277267836</v>
      </c>
      <c r="AV126" s="51">
        <f t="shared" si="28"/>
        <v>1592.8111882427513</v>
      </c>
      <c r="AW126" s="51">
        <f t="shared" si="28"/>
        <v>1639.8933146435202</v>
      </c>
      <c r="AX126" s="51">
        <f t="shared" si="28"/>
        <v>1686.8651854135446</v>
      </c>
      <c r="AY126" s="51">
        <f t="shared" si="28"/>
        <v>1733.6887618328176</v>
      </c>
      <c r="AZ126" s="51">
        <f t="shared" si="28"/>
        <v>1780.3274850305691</v>
      </c>
      <c r="BA126" s="51">
        <f t="shared" si="28"/>
        <v>1826.7463144538838</v>
      </c>
      <c r="BB126" s="51">
        <f t="shared" si="28"/>
        <v>1872.9117577388022</v>
      </c>
      <c r="BC126" s="51">
        <f t="shared" si="28"/>
        <v>1918.7918924518763</v>
      </c>
      <c r="BD126" s="51">
        <f t="shared" si="28"/>
        <v>1964.3563801857999</v>
      </c>
      <c r="BE126" s="51">
        <f t="shared" si="28"/>
        <v>2009.5764735028602</v>
      </c>
      <c r="BF126" s="51">
        <f t="shared" si="28"/>
        <v>2054.4250162251524</v>
      </c>
      <c r="BG126" s="51">
        <f t="shared" si="28"/>
        <v>2099.8661667433807</v>
      </c>
      <c r="BH126" s="51">
        <f t="shared" si="28"/>
        <v>2145.1189183805582</v>
      </c>
      <c r="BI126" s="51">
        <f t="shared" si="28"/>
        <v>2187.7942481234127</v>
      </c>
    </row>
    <row r="127" spans="1:124" ht="14.5" x14ac:dyDescent="0.35">
      <c r="A127" s="50" t="s">
        <v>65</v>
      </c>
      <c r="B127" s="3">
        <f t="shared" ref="B127:BI127" si="29">(B124/B53)*1000</f>
        <v>6.4953419925451703</v>
      </c>
      <c r="C127" s="3">
        <f t="shared" si="29"/>
        <v>7.4912162509315303</v>
      </c>
      <c r="D127" s="3">
        <f t="shared" si="29"/>
        <v>8.523456362577452</v>
      </c>
      <c r="E127" s="3">
        <f t="shared" si="29"/>
        <v>9.6091201741567076</v>
      </c>
      <c r="F127" s="3">
        <f t="shared" si="29"/>
        <v>10.759802134758985</v>
      </c>
      <c r="G127" s="3">
        <f t="shared" si="29"/>
        <v>11.984029250203774</v>
      </c>
      <c r="H127" s="3">
        <f t="shared" si="29"/>
        <v>13.289360277189944</v>
      </c>
      <c r="I127" s="3">
        <f t="shared" si="29"/>
        <v>14.68469425827181</v>
      </c>
      <c r="J127" s="3">
        <f t="shared" si="29"/>
        <v>16.183643278036442</v>
      </c>
      <c r="K127" s="3">
        <f t="shared" si="29"/>
        <v>17.809871514975303</v>
      </c>
      <c r="L127" s="3">
        <f t="shared" si="29"/>
        <v>19.569590535594319</v>
      </c>
      <c r="M127" s="3">
        <f t="shared" si="29"/>
        <v>21.456044869755363</v>
      </c>
      <c r="N127" s="3">
        <f t="shared" si="29"/>
        <v>23.465178960603481</v>
      </c>
      <c r="O127" s="3">
        <f t="shared" si="29"/>
        <v>25.594539052318748</v>
      </c>
      <c r="P127" s="3">
        <f t="shared" si="29"/>
        <v>27.8424937097226</v>
      </c>
      <c r="Q127" s="3">
        <f t="shared" si="29"/>
        <v>30.207761657169304</v>
      </c>
      <c r="R127" s="3">
        <f t="shared" si="29"/>
        <v>32.689130507404286</v>
      </c>
      <c r="S127" s="3">
        <f t="shared" si="29"/>
        <v>35.285296513834581</v>
      </c>
      <c r="T127" s="3">
        <f t="shared" si="29"/>
        <v>37.994785274227908</v>
      </c>
      <c r="U127" s="3">
        <f t="shared" si="29"/>
        <v>40.816549073090471</v>
      </c>
      <c r="V127" s="3">
        <f t="shared" si="29"/>
        <v>43.749004368368361</v>
      </c>
      <c r="W127" s="3">
        <f t="shared" si="29"/>
        <v>46.790113991211875</v>
      </c>
      <c r="X127" s="3">
        <f t="shared" si="29"/>
        <v>49.937446475112537</v>
      </c>
      <c r="Y127" s="3">
        <f t="shared" si="29"/>
        <v>53.188221715714839</v>
      </c>
      <c r="Z127" s="3">
        <f t="shared" si="29"/>
        <v>56.539348135596953</v>
      </c>
      <c r="AA127" s="3">
        <f t="shared" si="29"/>
        <v>59.98745465491325</v>
      </c>
      <c r="AB127" s="3">
        <f t="shared" si="29"/>
        <v>63.528919450276234</v>
      </c>
      <c r="AC127" s="3">
        <f t="shared" si="29"/>
        <v>67.159896594925598</v>
      </c>
      <c r="AD127" s="3">
        <f t="shared" si="29"/>
        <v>70.876341316749787</v>
      </c>
      <c r="AE127" s="3">
        <f t="shared" si="29"/>
        <v>74.674034254466491</v>
      </c>
      <c r="AF127" s="3">
        <f t="shared" si="29"/>
        <v>78.537042565652044</v>
      </c>
      <c r="AG127" s="3">
        <f t="shared" si="29"/>
        <v>82.476231135556887</v>
      </c>
      <c r="AH127" s="3">
        <f t="shared" si="29"/>
        <v>86.48592103742503</v>
      </c>
      <c r="AI127" s="3">
        <f t="shared" si="29"/>
        <v>90.560642182623482</v>
      </c>
      <c r="AJ127" s="3">
        <f t="shared" si="29"/>
        <v>94.695075732224339</v>
      </c>
      <c r="AK127" s="3">
        <f t="shared" si="29"/>
        <v>98.884016578223807</v>
      </c>
      <c r="AL127" s="3">
        <f t="shared" si="29"/>
        <v>103.12235033841499</v>
      </c>
      <c r="AM127" s="3">
        <f t="shared" si="29"/>
        <v>107.40504074348681</v>
      </c>
      <c r="AN127" s="3">
        <f t="shared" si="29"/>
        <v>111.7271243675183</v>
      </c>
      <c r="AO127" s="3">
        <f t="shared" si="29"/>
        <v>116.0837104517335</v>
      </c>
      <c r="AP127" s="3">
        <f t="shared" si="29"/>
        <v>120.46998416465958</v>
      </c>
      <c r="AQ127" s="3">
        <f t="shared" si="29"/>
        <v>124.88121208193569</v>
      </c>
      <c r="AR127" s="3">
        <f t="shared" si="29"/>
        <v>129.31274899533278</v>
      </c>
      <c r="AS127" s="3">
        <f t="shared" si="29"/>
        <v>133.76004540250844</v>
      </c>
      <c r="AT127" s="3">
        <f t="shared" si="29"/>
        <v>138.21865520854499</v>
      </c>
      <c r="AU127" s="3">
        <f t="shared" si="29"/>
        <v>142.68424330362942</v>
      </c>
      <c r="AV127" s="3">
        <f t="shared" si="29"/>
        <v>147.15259278034586</v>
      </c>
      <c r="AW127" s="3">
        <f t="shared" si="29"/>
        <v>151.61961162782336</v>
      </c>
      <c r="AX127" s="3">
        <f t="shared" si="29"/>
        <v>156.08133879495898</v>
      </c>
      <c r="AY127" s="3">
        <f t="shared" si="29"/>
        <v>160.53394955592842</v>
      </c>
      <c r="AZ127" s="3">
        <f t="shared" si="29"/>
        <v>164.97376014178272</v>
      </c>
      <c r="BA127" s="3">
        <f t="shared" si="29"/>
        <v>169.39723162470565</v>
      </c>
      <c r="BB127" s="3">
        <f t="shared" si="29"/>
        <v>173.80097305844131</v>
      </c>
      <c r="BC127" s="3">
        <f t="shared" si="29"/>
        <v>178.18174389090413</v>
      </c>
      <c r="BD127" s="3">
        <f t="shared" si="29"/>
        <v>182.5364556741421</v>
      </c>
      <c r="BE127" s="3">
        <f t="shared" si="29"/>
        <v>186.86217310341266</v>
      </c>
      <c r="BF127" s="3">
        <f t="shared" si="29"/>
        <v>191.15611442176169</v>
      </c>
      <c r="BG127" s="3">
        <f t="shared" si="29"/>
        <v>195.50992189552815</v>
      </c>
      <c r="BH127" s="3">
        <f t="shared" si="29"/>
        <v>199.80896475373129</v>
      </c>
      <c r="BI127" s="3">
        <f t="shared" si="29"/>
        <v>203.88955442059341</v>
      </c>
    </row>
    <row r="128" spans="1:124" ht="14.5" x14ac:dyDescent="0.35">
      <c r="A128" s="50" t="s">
        <v>230</v>
      </c>
      <c r="B128" s="3">
        <f t="shared" ref="B128:BI128" si="30">(B127)^(1-$B$19)/(1-$B$19)+1</f>
        <v>-97.146310829791545</v>
      </c>
      <c r="C128" s="3">
        <f t="shared" si="30"/>
        <v>-97.006408982378929</v>
      </c>
      <c r="D128" s="3">
        <f t="shared" si="30"/>
        <v>-96.879973382933656</v>
      </c>
      <c r="E128" s="3">
        <f t="shared" si="30"/>
        <v>-96.762694684829924</v>
      </c>
      <c r="F128" s="3">
        <f t="shared" si="30"/>
        <v>-96.652183186371218</v>
      </c>
      <c r="G128" s="3">
        <f t="shared" si="30"/>
        <v>-96.547012113016478</v>
      </c>
      <c r="H128" s="3">
        <f t="shared" si="30"/>
        <v>-96.44621147835916</v>
      </c>
      <c r="I128" s="3">
        <f t="shared" si="30"/>
        <v>-96.34896777670599</v>
      </c>
      <c r="J128" s="3">
        <f t="shared" si="30"/>
        <v>-96.254395109786117</v>
      </c>
      <c r="K128" s="3">
        <f t="shared" si="30"/>
        <v>-96.161316820680099</v>
      </c>
      <c r="L128" s="3">
        <f t="shared" si="30"/>
        <v>-96.069810682886896</v>
      </c>
      <c r="M128" s="3">
        <f t="shared" si="30"/>
        <v>-95.980518857292296</v>
      </c>
      <c r="N128" s="3">
        <f t="shared" si="30"/>
        <v>-95.893749311700191</v>
      </c>
      <c r="O128" s="3">
        <f t="shared" si="30"/>
        <v>-95.809622553212407</v>
      </c>
      <c r="P128" s="3">
        <f t="shared" si="30"/>
        <v>-95.728158254153115</v>
      </c>
      <c r="Q128" s="3">
        <f t="shared" si="30"/>
        <v>-95.649322614901266</v>
      </c>
      <c r="R128" s="3">
        <f t="shared" si="30"/>
        <v>-95.573054150512093</v>
      </c>
      <c r="S128" s="3">
        <f t="shared" si="30"/>
        <v>-95.49927761962762</v>
      </c>
      <c r="T128" s="3">
        <f t="shared" si="30"/>
        <v>-95.427911373790934</v>
      </c>
      <c r="U128" s="3">
        <f t="shared" si="30"/>
        <v>-95.358856416360837</v>
      </c>
      <c r="V128" s="3">
        <f t="shared" si="30"/>
        <v>-95.292024632484228</v>
      </c>
      <c r="W128" s="3">
        <f t="shared" si="30"/>
        <v>-95.227335159594432</v>
      </c>
      <c r="X128" s="3">
        <f t="shared" si="30"/>
        <v>-95.164712309742498</v>
      </c>
      <c r="Y128" s="3">
        <f t="shared" si="30"/>
        <v>-95.104084361461176</v>
      </c>
      <c r="Z128" s="3">
        <f t="shared" si="30"/>
        <v>-95.045382847642387</v>
      </c>
      <c r="AA128" s="3">
        <f t="shared" si="30"/>
        <v>-94.988542124539819</v>
      </c>
      <c r="AB128" s="3">
        <f t="shared" si="30"/>
        <v>-94.933499100189621</v>
      </c>
      <c r="AC128" s="3">
        <f t="shared" si="30"/>
        <v>-94.880193054253155</v>
      </c>
      <c r="AD128" s="3">
        <f t="shared" si="30"/>
        <v>-94.828565508725291</v>
      </c>
      <c r="AE128" s="3">
        <f t="shared" si="30"/>
        <v>-94.77856012708888</v>
      </c>
      <c r="AF128" s="3">
        <f t="shared" si="30"/>
        <v>-94.730263554317105</v>
      </c>
      <c r="AG128" s="3">
        <f t="shared" si="30"/>
        <v>-94.683424863932743</v>
      </c>
      <c r="AH128" s="3">
        <f t="shared" si="30"/>
        <v>-94.638013292520981</v>
      </c>
      <c r="AI128" s="3">
        <f t="shared" si="30"/>
        <v>-94.593993533057258</v>
      </c>
      <c r="AJ128" s="3">
        <f t="shared" si="30"/>
        <v>-94.551327705086408</v>
      </c>
      <c r="AK128" s="3">
        <f t="shared" si="30"/>
        <v>-94.509976676962836</v>
      </c>
      <c r="AL128" s="3">
        <f t="shared" si="30"/>
        <v>-94.469900947232418</v>
      </c>
      <c r="AM128" s="3">
        <f t="shared" si="30"/>
        <v>-94.431061226266678</v>
      </c>
      <c r="AN128" s="3">
        <f t="shared" si="30"/>
        <v>-94.393418814258212</v>
      </c>
      <c r="AO128" s="3">
        <f t="shared" si="30"/>
        <v>-94.356935841040723</v>
      </c>
      <c r="AP128" s="3">
        <f t="shared" si="30"/>
        <v>-94.32157541233849</v>
      </c>
      <c r="AQ128" s="3">
        <f t="shared" si="30"/>
        <v>-94.287301692851102</v>
      </c>
      <c r="AR128" s="3">
        <f t="shared" si="30"/>
        <v>-94.254079946908305</v>
      </c>
      <c r="AS128" s="3">
        <f t="shared" si="30"/>
        <v>-94.221876550836996</v>
      </c>
      <c r="AT128" s="3">
        <f t="shared" si="30"/>
        <v>-94.190658986684596</v>
      </c>
      <c r="AU128" s="3">
        <f t="shared" si="30"/>
        <v>-94.160395823869464</v>
      </c>
      <c r="AV128" s="3">
        <f t="shared" si="30"/>
        <v>-94.131056693228928</v>
      </c>
      <c r="AW128" s="3">
        <f t="shared" si="30"/>
        <v>-94.102612256498134</v>
      </c>
      <c r="AX128" s="3">
        <f t="shared" si="30"/>
        <v>-94.075034173268278</v>
      </c>
      <c r="AY128" s="3">
        <f t="shared" si="30"/>
        <v>-94.048295066799483</v>
      </c>
      <c r="AZ128" s="3">
        <f t="shared" si="30"/>
        <v>-94.022368489601604</v>
      </c>
      <c r="BA128" s="3">
        <f t="shared" si="30"/>
        <v>-93.997228889380978</v>
      </c>
      <c r="BB128" s="3">
        <f t="shared" si="30"/>
        <v>-93.97285157573441</v>
      </c>
      <c r="BC128" s="3">
        <f t="shared" si="30"/>
        <v>-93.949212687826559</v>
      </c>
      <c r="BD128" s="3">
        <f t="shared" si="30"/>
        <v>-93.926289163184876</v>
      </c>
      <c r="BE128" s="3">
        <f t="shared" si="30"/>
        <v>-93.904058707681088</v>
      </c>
      <c r="BF128" s="3">
        <f t="shared" si="30"/>
        <v>-93.882499766722106</v>
      </c>
      <c r="BG128" s="3">
        <f t="shared" si="30"/>
        <v>-93.861133986310762</v>
      </c>
      <c r="BH128" s="3">
        <f t="shared" si="30"/>
        <v>-93.8405033601246</v>
      </c>
      <c r="BI128" s="3">
        <f t="shared" si="30"/>
        <v>-93.821331665296285</v>
      </c>
    </row>
    <row r="129" spans="1:124" ht="14.5" x14ac:dyDescent="0.35">
      <c r="A129" s="50" t="s">
        <v>231</v>
      </c>
      <c r="B129" s="51">
        <f t="shared" ref="B129:BI129" si="31">B$18*B$53*B128</f>
        <v>-664286.47345411463</v>
      </c>
      <c r="C129" s="51">
        <f t="shared" si="31"/>
        <v>-699212.64174432936</v>
      </c>
      <c r="D129" s="51">
        <f t="shared" si="31"/>
        <v>-730387.96616619185</v>
      </c>
      <c r="E129" s="51">
        <f t="shared" si="31"/>
        <v>-757918.33001099527</v>
      </c>
      <c r="F129" s="51">
        <f t="shared" si="31"/>
        <v>-781982.8790027441</v>
      </c>
      <c r="G129" s="51">
        <f t="shared" si="31"/>
        <v>-802807.11699298956</v>
      </c>
      <c r="H129" s="51">
        <f t="shared" si="31"/>
        <v>-820642.1078331368</v>
      </c>
      <c r="I129" s="51">
        <f t="shared" si="31"/>
        <v>-835748.58213835093</v>
      </c>
      <c r="J129" s="51">
        <f t="shared" si="31"/>
        <v>-848384.80787635711</v>
      </c>
      <c r="K129" s="51">
        <f t="shared" si="31"/>
        <v>-858797.33770499751</v>
      </c>
      <c r="L129" s="51">
        <f t="shared" si="31"/>
        <v>-867229.99507683748</v>
      </c>
      <c r="M129" s="51">
        <f t="shared" si="31"/>
        <v>-873915.1988607368</v>
      </c>
      <c r="N129" s="51">
        <f t="shared" si="31"/>
        <v>-879064.23205236637</v>
      </c>
      <c r="O129" s="51">
        <f t="shared" si="31"/>
        <v>-882867.84924752195</v>
      </c>
      <c r="P129" s="51">
        <f t="shared" si="31"/>
        <v>-885497.21175538376</v>
      </c>
      <c r="Q129" s="51">
        <f t="shared" si="31"/>
        <v>-887105.03164100961</v>
      </c>
      <c r="R129" s="51">
        <f t="shared" si="31"/>
        <v>-887826.86837679427</v>
      </c>
      <c r="S129" s="51">
        <f t="shared" si="31"/>
        <v>-887782.51356294786</v>
      </c>
      <c r="T129" s="51">
        <f t="shared" si="31"/>
        <v>-887077.4044206643</v>
      </c>
      <c r="U129" s="51">
        <f t="shared" si="31"/>
        <v>-885803.88260997168</v>
      </c>
      <c r="V129" s="51">
        <f t="shared" si="31"/>
        <v>-884042.78265445086</v>
      </c>
      <c r="W129" s="51">
        <f t="shared" si="31"/>
        <v>-881864.65679100808</v>
      </c>
      <c r="X129" s="51">
        <f t="shared" si="31"/>
        <v>-879330.92784459493</v>
      </c>
      <c r="Y129" s="51">
        <f t="shared" si="31"/>
        <v>-876494.95434677531</v>
      </c>
      <c r="Z129" s="51">
        <f t="shared" si="31"/>
        <v>-873403.00129268272</v>
      </c>
      <c r="AA129" s="51">
        <f t="shared" si="31"/>
        <v>-870095.11575042247</v>
      </c>
      <c r="AB129" s="51">
        <f t="shared" si="31"/>
        <v>-866605.91026150121</v>
      </c>
      <c r="AC129" s="51">
        <f t="shared" si="31"/>
        <v>-862965.25922865036</v>
      </c>
      <c r="AD129" s="51">
        <f t="shared" si="31"/>
        <v>-859198.91470681271</v>
      </c>
      <c r="AE129" s="51">
        <f t="shared" si="31"/>
        <v>-855329.04858531978</v>
      </c>
      <c r="AF129" s="51">
        <f t="shared" si="31"/>
        <v>-851375.99480548187</v>
      </c>
      <c r="AG129" s="51">
        <f t="shared" si="31"/>
        <v>-847354.33869344834</v>
      </c>
      <c r="AH129" s="51">
        <f t="shared" si="31"/>
        <v>-843278.31514637917</v>
      </c>
      <c r="AI129" s="51">
        <f t="shared" si="31"/>
        <v>-839160.09034177777</v>
      </c>
      <c r="AJ129" s="51">
        <f t="shared" si="31"/>
        <v>-835010.0555417632</v>
      </c>
      <c r="AK129" s="51">
        <f t="shared" si="31"/>
        <v>-830837.07846502436</v>
      </c>
      <c r="AL129" s="51">
        <f t="shared" si="31"/>
        <v>-826648.7187095636</v>
      </c>
      <c r="AM129" s="51">
        <f t="shared" si="31"/>
        <v>-822451.41259307903</v>
      </c>
      <c r="AN129" s="51">
        <f t="shared" si="31"/>
        <v>-818250.63189266121</v>
      </c>
      <c r="AO129" s="51">
        <f t="shared" si="31"/>
        <v>-814051.02025371627</v>
      </c>
      <c r="AP129" s="51">
        <f t="shared" si="31"/>
        <v>-809856.51045808941</v>
      </c>
      <c r="AQ129" s="51">
        <f t="shared" si="31"/>
        <v>-805670.42526325642</v>
      </c>
      <c r="AR129" s="51">
        <f t="shared" si="31"/>
        <v>-801495.56412630179</v>
      </c>
      <c r="AS129" s="51">
        <f t="shared" si="31"/>
        <v>-797334.2777921001</v>
      </c>
      <c r="AT129" s="51">
        <f t="shared" si="31"/>
        <v>-793188.53244256962</v>
      </c>
      <c r="AU129" s="51">
        <f t="shared" si="31"/>
        <v>-789059.96486378601</v>
      </c>
      <c r="AV129" s="51">
        <f t="shared" si="31"/>
        <v>-784949.92988299252</v>
      </c>
      <c r="AW129" s="51">
        <f t="shared" si="31"/>
        <v>-780859.54115235736</v>
      </c>
      <c r="AX129" s="51">
        <f t="shared" si="31"/>
        <v>-776789.70620612532</v>
      </c>
      <c r="AY129" s="51">
        <f t="shared" si="31"/>
        <v>-772741.15658883424</v>
      </c>
      <c r="AZ129" s="51">
        <f t="shared" si="31"/>
        <v>-768714.47374136827</v>
      </c>
      <c r="BA129" s="51">
        <f t="shared" si="31"/>
        <v>-764710.11123620789</v>
      </c>
      <c r="BB129" s="51">
        <f t="shared" si="31"/>
        <v>-760728.41387109726</v>
      </c>
      <c r="BC129" s="51">
        <f t="shared" si="31"/>
        <v>-756769.63405962731</v>
      </c>
      <c r="BD129" s="51">
        <f t="shared" si="31"/>
        <v>-752833.94589629374</v>
      </c>
      <c r="BE129" s="51">
        <f t="shared" si="31"/>
        <v>-748921.45722112746</v>
      </c>
      <c r="BF129" s="51">
        <f t="shared" si="31"/>
        <v>-745032.21996378049</v>
      </c>
      <c r="BG129" s="51">
        <f t="shared" si="31"/>
        <v>-741162.62632737437</v>
      </c>
      <c r="BH129" s="51">
        <f t="shared" si="31"/>
        <v>-737317.11249746766</v>
      </c>
      <c r="BI129" s="51">
        <f t="shared" si="31"/>
        <v>-733501.40940683696</v>
      </c>
      <c r="BJ129" s="51"/>
      <c r="BK129" s="51"/>
      <c r="BL129" s="51"/>
      <c r="BM129" s="51"/>
      <c r="BN129" s="51"/>
      <c r="BO129" s="51"/>
      <c r="BP129" s="51"/>
      <c r="BQ129" s="51"/>
      <c r="BR129" s="51"/>
      <c r="BS129" s="51"/>
      <c r="BT129" s="51"/>
      <c r="BU129" s="51"/>
      <c r="BV129" s="51"/>
      <c r="BW129" s="51"/>
      <c r="BX129" s="51"/>
      <c r="BY129" s="51"/>
      <c r="BZ129" s="51"/>
      <c r="CA129" s="51"/>
      <c r="CB129" s="51"/>
      <c r="CC129" s="51"/>
      <c r="CD129" s="51"/>
      <c r="CE129" s="51"/>
      <c r="CF129" s="51"/>
      <c r="CG129" s="51"/>
      <c r="CH129" s="51"/>
      <c r="CI129" s="51"/>
      <c r="CJ129" s="51"/>
      <c r="CK129" s="51"/>
      <c r="CL129" s="51"/>
      <c r="CM129" s="51"/>
      <c r="CN129" s="51"/>
      <c r="CO129" s="51"/>
      <c r="CP129" s="51"/>
      <c r="CQ129" s="51"/>
      <c r="CR129" s="51"/>
      <c r="CS129" s="51"/>
      <c r="CT129" s="51"/>
      <c r="CU129" s="51"/>
      <c r="CV129" s="51"/>
      <c r="CW129" s="51"/>
      <c r="CX129" s="51"/>
      <c r="CY129" s="51"/>
      <c r="CZ129" s="51"/>
      <c r="DA129" s="51"/>
      <c r="DB129" s="51"/>
      <c r="DC129" s="51"/>
      <c r="DD129" s="51"/>
      <c r="DE129" s="51"/>
      <c r="DF129" s="51"/>
      <c r="DG129" s="51"/>
      <c r="DH129" s="51"/>
      <c r="DI129" s="51"/>
      <c r="DJ129" s="51"/>
      <c r="DK129" s="51"/>
      <c r="DL129" s="51"/>
      <c r="DM129" s="51"/>
      <c r="DN129" s="51"/>
      <c r="DO129" s="51"/>
      <c r="DP129" s="51"/>
      <c r="DQ129" s="51"/>
      <c r="DR129" s="51"/>
      <c r="DS129" s="51"/>
      <c r="DT129" s="51"/>
    </row>
    <row r="130" spans="1:124" s="79" customFormat="1" ht="14.5" x14ac:dyDescent="0.35">
      <c r="A130" s="77" t="s">
        <v>232</v>
      </c>
      <c r="B130" s="11">
        <f>SUM(B129:DQ129)*5*B49+B50</f>
        <v>-4027879.296109539</v>
      </c>
      <c r="C130" s="78">
        <v>30700.394727082923</v>
      </c>
      <c r="D130" s="78">
        <f>+B130-C130</f>
        <v>-4058579.6908366219</v>
      </c>
      <c r="F130" s="79">
        <f>+B130+B167</f>
        <v>-4011466.4749691114</v>
      </c>
      <c r="U130" s="79">
        <f>+D130</f>
        <v>-4058579.6908366219</v>
      </c>
    </row>
    <row r="131" spans="1:124" ht="15" thickBot="1" x14ac:dyDescent="0.4">
      <c r="A131" s="71" t="s">
        <v>27</v>
      </c>
      <c r="C131" s="72"/>
      <c r="D131" s="72"/>
    </row>
    <row r="132" spans="1:124" s="28" customFormat="1" ht="15" thickTop="1" x14ac:dyDescent="0.35">
      <c r="A132" s="26" t="s">
        <v>90</v>
      </c>
      <c r="B132" s="166">
        <v>0.33452194365563398</v>
      </c>
      <c r="C132" s="166">
        <v>0.32477417055121399</v>
      </c>
      <c r="D132" s="166">
        <v>0.32035851640375401</v>
      </c>
      <c r="E132" s="166">
        <v>0.31727303788896</v>
      </c>
      <c r="F132" s="166">
        <v>0.315080146126063</v>
      </c>
      <c r="G132" s="166">
        <v>0.313452142715127</v>
      </c>
      <c r="H132" s="166">
        <v>0.31207480266562798</v>
      </c>
      <c r="I132" s="166">
        <v>0.31055255899961398</v>
      </c>
      <c r="J132" s="166">
        <v>0.30828016134109998</v>
      </c>
      <c r="K132" s="166">
        <v>0.306663444037516</v>
      </c>
      <c r="L132" s="166">
        <v>0.30581462806306398</v>
      </c>
      <c r="M132" s="166">
        <v>0.30494720425519201</v>
      </c>
      <c r="N132" s="166">
        <v>0.30411930374059898</v>
      </c>
      <c r="O132" s="166">
        <v>0.30335637268736199</v>
      </c>
      <c r="P132" s="166">
        <v>0.30266669959924902</v>
      </c>
      <c r="Q132" s="166">
        <v>0.302049762890712</v>
      </c>
      <c r="R132" s="166">
        <v>0.30150064704010399</v>
      </c>
      <c r="S132" s="166">
        <v>0.30101226244847201</v>
      </c>
      <c r="T132" s="166">
        <v>0.30057627008851001</v>
      </c>
      <c r="U132" s="166">
        <v>0.300196060579556</v>
      </c>
      <c r="V132" s="166">
        <v>0.29986303358543098</v>
      </c>
      <c r="W132" s="166">
        <v>0.29957029892840498</v>
      </c>
      <c r="X132" s="166">
        <v>0.29931220677070902</v>
      </c>
      <c r="Y132" s="166">
        <v>0.29908404321965698</v>
      </c>
      <c r="Z132" s="166">
        <v>0.29888182610206299</v>
      </c>
      <c r="AA132" s="166">
        <v>0.29870216164483798</v>
      </c>
      <c r="AB132" s="166">
        <v>0.29854213945082198</v>
      </c>
      <c r="AC132" s="166">
        <v>0.29839925338311701</v>
      </c>
      <c r="AD132" s="166">
        <v>0.29827133982678</v>
      </c>
      <c r="AE132" s="166">
        <v>0.29815652839740497</v>
      </c>
      <c r="AF132" s="27">
        <f t="shared" ref="AF132:BI132" si="32">+AE132</f>
        <v>0.29815652839740497</v>
      </c>
      <c r="AG132" s="27">
        <f t="shared" si="32"/>
        <v>0.29815652839740497</v>
      </c>
      <c r="AH132" s="27">
        <f t="shared" si="32"/>
        <v>0.29815652839740497</v>
      </c>
      <c r="AI132" s="27">
        <f t="shared" si="32"/>
        <v>0.29815652839740497</v>
      </c>
      <c r="AJ132" s="27">
        <f t="shared" si="32"/>
        <v>0.29815652839740497</v>
      </c>
      <c r="AK132" s="27">
        <f t="shared" si="32"/>
        <v>0.29815652839740497</v>
      </c>
      <c r="AL132" s="27">
        <f t="shared" si="32"/>
        <v>0.29815652839740497</v>
      </c>
      <c r="AM132" s="27">
        <f t="shared" si="32"/>
        <v>0.29815652839740497</v>
      </c>
      <c r="AN132" s="27">
        <f t="shared" si="32"/>
        <v>0.29815652839740497</v>
      </c>
      <c r="AO132" s="27">
        <f t="shared" si="32"/>
        <v>0.29815652839740497</v>
      </c>
      <c r="AP132" s="27">
        <f t="shared" si="32"/>
        <v>0.29815652839740497</v>
      </c>
      <c r="AQ132" s="27">
        <f t="shared" si="32"/>
        <v>0.29815652839740497</v>
      </c>
      <c r="AR132" s="27">
        <f t="shared" si="32"/>
        <v>0.29815652839740497</v>
      </c>
      <c r="AS132" s="27">
        <f t="shared" si="32"/>
        <v>0.29815652839740497</v>
      </c>
      <c r="AT132" s="27">
        <f t="shared" si="32"/>
        <v>0.29815652839740497</v>
      </c>
      <c r="AU132" s="27">
        <f t="shared" si="32"/>
        <v>0.29815652839740497</v>
      </c>
      <c r="AV132" s="27">
        <f t="shared" si="32"/>
        <v>0.29815652839740497</v>
      </c>
      <c r="AW132" s="27">
        <f t="shared" si="32"/>
        <v>0.29815652839740497</v>
      </c>
      <c r="AX132" s="27">
        <f t="shared" si="32"/>
        <v>0.29815652839740497</v>
      </c>
      <c r="AY132" s="27">
        <f t="shared" si="32"/>
        <v>0.29815652839740497</v>
      </c>
      <c r="AZ132" s="27">
        <f t="shared" si="32"/>
        <v>0.29815652839740497</v>
      </c>
      <c r="BA132" s="27">
        <f t="shared" si="32"/>
        <v>0.29815652839740497</v>
      </c>
      <c r="BB132" s="27">
        <f t="shared" si="32"/>
        <v>0.29815652839740497</v>
      </c>
      <c r="BC132" s="27">
        <f t="shared" si="32"/>
        <v>0.29815652839740497</v>
      </c>
      <c r="BD132" s="27">
        <f t="shared" si="32"/>
        <v>0.29815652839740497</v>
      </c>
      <c r="BE132" s="27">
        <f t="shared" si="32"/>
        <v>0.29815652839740497</v>
      </c>
      <c r="BF132" s="27">
        <f t="shared" si="32"/>
        <v>0.29815652839740497</v>
      </c>
      <c r="BG132" s="27">
        <f t="shared" si="32"/>
        <v>0.29815652839740497</v>
      </c>
      <c r="BH132" s="27">
        <f t="shared" si="32"/>
        <v>0.29815652839740497</v>
      </c>
      <c r="BI132" s="27">
        <f t="shared" si="32"/>
        <v>0.29815652839740497</v>
      </c>
      <c r="BJ132" s="27"/>
      <c r="BK132" s="27"/>
      <c r="BL132" s="27"/>
      <c r="BM132" s="27"/>
      <c r="BN132" s="27"/>
      <c r="BO132" s="27"/>
      <c r="BP132" s="27"/>
      <c r="BQ132" s="27"/>
      <c r="BR132" s="27"/>
      <c r="BS132" s="27"/>
      <c r="BT132" s="27"/>
      <c r="BU132" s="27"/>
      <c r="BV132" s="27"/>
      <c r="BW132" s="27"/>
      <c r="BX132" s="27"/>
      <c r="BY132" s="27"/>
      <c r="BZ132" s="27"/>
      <c r="CA132" s="27"/>
      <c r="CB132" s="27"/>
      <c r="CC132" s="27"/>
      <c r="CD132" s="27"/>
      <c r="CE132" s="27"/>
      <c r="CF132" s="27"/>
      <c r="CG132" s="27"/>
      <c r="CH132" s="27"/>
      <c r="CI132" s="27"/>
      <c r="CJ132" s="27"/>
      <c r="CK132" s="27"/>
      <c r="CL132" s="27"/>
      <c r="CM132" s="27"/>
      <c r="CN132" s="27"/>
      <c r="CO132" s="27"/>
      <c r="CP132" s="27"/>
      <c r="CQ132" s="27"/>
      <c r="CR132" s="27"/>
      <c r="CS132" s="27"/>
      <c r="CT132" s="27"/>
      <c r="CU132" s="27"/>
      <c r="CV132" s="27"/>
      <c r="CW132" s="27"/>
      <c r="CX132" s="27"/>
      <c r="CY132" s="27"/>
      <c r="CZ132" s="27"/>
      <c r="DA132" s="27"/>
      <c r="DB132" s="27"/>
      <c r="DC132" s="27"/>
      <c r="DD132" s="27"/>
      <c r="DE132" s="27"/>
      <c r="DF132" s="27"/>
      <c r="DG132" s="27"/>
      <c r="DH132" s="27"/>
      <c r="DI132" s="27"/>
      <c r="DJ132" s="27"/>
      <c r="DK132" s="27"/>
      <c r="DL132" s="27"/>
      <c r="DM132" s="27"/>
      <c r="DN132" s="27"/>
      <c r="DO132" s="27"/>
      <c r="DP132" s="27"/>
      <c r="DQ132" s="27"/>
      <c r="DR132" s="27"/>
      <c r="DS132" s="27"/>
      <c r="DT132" s="27"/>
    </row>
    <row r="133" spans="1:124" s="28" customFormat="1" ht="14.5" x14ac:dyDescent="0.35">
      <c r="A133" s="29" t="s">
        <v>301</v>
      </c>
      <c r="B133" s="148">
        <v>0.99998508507415795</v>
      </c>
      <c r="C133" s="148">
        <v>126.788075242266</v>
      </c>
      <c r="D133" s="148">
        <v>144.280119886877</v>
      </c>
      <c r="E133" s="148">
        <v>162.48514610488101</v>
      </c>
      <c r="F133" s="148">
        <v>181.54801796100401</v>
      </c>
      <c r="G133" s="148">
        <v>201.556149469492</v>
      </c>
      <c r="H133" s="148">
        <v>222.57089452011601</v>
      </c>
      <c r="I133" s="148">
        <v>244.65973122700501</v>
      </c>
      <c r="J133" s="148">
        <v>267.94077324839901</v>
      </c>
      <c r="K133" s="148">
        <v>273.90501494832301</v>
      </c>
      <c r="L133" s="148">
        <v>267.057389574615</v>
      </c>
      <c r="M133" s="148">
        <v>260.38095483524899</v>
      </c>
      <c r="N133" s="148">
        <v>253.87143096436799</v>
      </c>
      <c r="O133" s="148">
        <v>247.52464519025901</v>
      </c>
      <c r="P133" s="148">
        <v>241.33652906050199</v>
      </c>
      <c r="Q133" s="148">
        <v>235.30311583399001</v>
      </c>
      <c r="R133" s="148">
        <v>229.42053793814</v>
      </c>
      <c r="S133" s="148">
        <v>223.68502448968599</v>
      </c>
      <c r="T133" s="148">
        <v>218.09289887744399</v>
      </c>
      <c r="U133" s="148">
        <v>212.640576405508</v>
      </c>
      <c r="V133" s="148">
        <v>207.32456199537</v>
      </c>
      <c r="W133" s="148">
        <v>202.14144794548599</v>
      </c>
      <c r="X133" s="148">
        <v>197.08791174684899</v>
      </c>
      <c r="Y133" s="148">
        <v>192.160713953178</v>
      </c>
      <c r="Z133" s="148">
        <v>187.356696104348</v>
      </c>
      <c r="AA133" s="148">
        <v>182.67277870173999</v>
      </c>
      <c r="AB133" s="148">
        <v>178.10595923419601</v>
      </c>
      <c r="AC133" s="148">
        <v>173.653310253341</v>
      </c>
      <c r="AD133" s="148">
        <v>169.311977497008</v>
      </c>
      <c r="AE133" s="148">
        <v>165.07917805958201</v>
      </c>
      <c r="AF133" s="148">
        <v>160.952198608093</v>
      </c>
      <c r="AG133" s="148">
        <v>156.928393642891</v>
      </c>
      <c r="AH133" s="148">
        <v>153.00518380181799</v>
      </c>
      <c r="AI133" s="148">
        <v>149.18005420677301</v>
      </c>
      <c r="AJ133" s="148">
        <v>145.45055285160399</v>
      </c>
      <c r="AK133" s="148">
        <v>141.81428903031301</v>
      </c>
      <c r="AL133" s="148">
        <v>138.26893180455599</v>
      </c>
      <c r="AM133" s="148">
        <v>134.812208509442</v>
      </c>
      <c r="AN133" s="148">
        <v>131.44190329670599</v>
      </c>
      <c r="AO133" s="148">
        <v>128.15585571428801</v>
      </c>
      <c r="AP133" s="148">
        <v>124.951959321431</v>
      </c>
      <c r="AQ133" s="148">
        <v>121.82816033839499</v>
      </c>
      <c r="AR133" s="148">
        <v>118.782456329935</v>
      </c>
      <c r="AS133" s="148">
        <v>115.812894921687</v>
      </c>
      <c r="AT133" s="148">
        <v>112.917572548645</v>
      </c>
      <c r="AU133" s="148">
        <v>110.094633234928</v>
      </c>
      <c r="AV133" s="148">
        <v>107.34226740405499</v>
      </c>
      <c r="AW133" s="148">
        <v>104.658710718954</v>
      </c>
      <c r="AX133" s="148">
        <v>102.04224295098</v>
      </c>
      <c r="AY133" s="148">
        <v>99.491186877205607</v>
      </c>
      <c r="AZ133" s="148">
        <v>97.003907205275397</v>
      </c>
      <c r="BA133" s="148">
        <v>94.578809525143498</v>
      </c>
      <c r="BB133" s="148">
        <v>92.214339287014894</v>
      </c>
      <c r="BC133" s="148">
        <v>89.908980804839501</v>
      </c>
      <c r="BD133" s="148">
        <v>87.661256284718604</v>
      </c>
      <c r="BE133" s="148">
        <v>85.469724877600598</v>
      </c>
      <c r="BF133" s="148">
        <v>83.332981755660597</v>
      </c>
      <c r="BG133" s="148">
        <v>58.193870393987801</v>
      </c>
      <c r="BH133" s="148">
        <v>21.045912886459298</v>
      </c>
      <c r="BI133" s="148">
        <v>1.9401297213399001E-2</v>
      </c>
      <c r="BJ133" s="27"/>
      <c r="BK133" s="27"/>
      <c r="BL133" s="27"/>
      <c r="BM133" s="27"/>
      <c r="BN133" s="27"/>
      <c r="BO133" s="27"/>
      <c r="BP133" s="27"/>
      <c r="BQ133" s="27"/>
      <c r="BR133" s="27"/>
      <c r="BS133" s="27"/>
      <c r="BT133" s="27"/>
      <c r="BU133" s="27"/>
      <c r="BV133" s="27"/>
      <c r="BW133" s="27"/>
      <c r="BX133" s="27"/>
      <c r="BY133" s="27"/>
      <c r="BZ133" s="27"/>
      <c r="CA133" s="27"/>
      <c r="CB133" s="27"/>
      <c r="CC133" s="27"/>
      <c r="CD133" s="27"/>
      <c r="CE133" s="27"/>
      <c r="CF133" s="27"/>
      <c r="CG133" s="27"/>
      <c r="CH133" s="27"/>
      <c r="CI133" s="27"/>
      <c r="CJ133" s="27"/>
      <c r="CK133" s="27"/>
      <c r="CL133" s="27"/>
      <c r="CM133" s="27"/>
      <c r="CN133" s="27"/>
      <c r="CO133" s="27"/>
      <c r="CP133" s="27"/>
      <c r="CQ133" s="27"/>
      <c r="CR133" s="27"/>
      <c r="CS133" s="27"/>
      <c r="CT133" s="27"/>
      <c r="CU133" s="27"/>
      <c r="CV133" s="27"/>
      <c r="CW133" s="27"/>
      <c r="CX133" s="27"/>
      <c r="CY133" s="27"/>
      <c r="CZ133" s="27"/>
      <c r="DA133" s="27"/>
      <c r="DB133" s="27"/>
      <c r="DC133" s="27"/>
      <c r="DD133" s="27"/>
      <c r="DE133" s="27"/>
      <c r="DF133" s="27"/>
      <c r="DG133" s="27"/>
      <c r="DH133" s="27"/>
      <c r="DI133" s="27"/>
      <c r="DJ133" s="27"/>
      <c r="DK133" s="27"/>
      <c r="DL133" s="27"/>
      <c r="DM133" s="27"/>
      <c r="DN133" s="27"/>
      <c r="DO133" s="27"/>
      <c r="DP133" s="27"/>
      <c r="DQ133" s="27"/>
      <c r="DR133" s="27"/>
      <c r="DS133" s="27"/>
      <c r="DT133" s="27"/>
    </row>
    <row r="134" spans="1:124" s="2" customFormat="1" ht="14.5" x14ac:dyDescent="0.35">
      <c r="A134" s="47" t="s">
        <v>307</v>
      </c>
      <c r="B134" s="8">
        <f>+MIN(B133,B34)</f>
        <v>0.99998508507415795</v>
      </c>
      <c r="C134" s="8">
        <f>+MIN(C133,C34)</f>
        <v>126.788075242266</v>
      </c>
      <c r="D134" s="8">
        <f t="shared" ref="D134:BI134" si="33">+MIN(D133,D34)</f>
        <v>144.280119886877</v>
      </c>
      <c r="E134" s="8">
        <f t="shared" si="33"/>
        <v>162.48514610488101</v>
      </c>
      <c r="F134" s="8">
        <f t="shared" si="33"/>
        <v>181.54801796100401</v>
      </c>
      <c r="G134" s="8">
        <f t="shared" si="33"/>
        <v>201.556149469492</v>
      </c>
      <c r="H134" s="8">
        <f t="shared" si="33"/>
        <v>222.57089452011601</v>
      </c>
      <c r="I134" s="8">
        <f t="shared" si="33"/>
        <v>244.65973122700501</v>
      </c>
      <c r="J134" s="8">
        <f t="shared" si="33"/>
        <v>267.94077324839901</v>
      </c>
      <c r="K134" s="8">
        <f t="shared" si="33"/>
        <v>273.90501494832256</v>
      </c>
      <c r="L134" s="8">
        <f t="shared" si="33"/>
        <v>267.05738957461449</v>
      </c>
      <c r="M134" s="8">
        <f t="shared" si="33"/>
        <v>260.38095483524899</v>
      </c>
      <c r="N134" s="8">
        <f t="shared" si="33"/>
        <v>253.87143096436787</v>
      </c>
      <c r="O134" s="8">
        <f t="shared" si="33"/>
        <v>247.52464519025867</v>
      </c>
      <c r="P134" s="8">
        <f t="shared" si="33"/>
        <v>241.33652906050199</v>
      </c>
      <c r="Q134" s="8">
        <f t="shared" si="33"/>
        <v>235.30311583398964</v>
      </c>
      <c r="R134" s="8">
        <f t="shared" si="33"/>
        <v>229.42053793813989</v>
      </c>
      <c r="S134" s="8">
        <f t="shared" si="33"/>
        <v>223.68502448968599</v>
      </c>
      <c r="T134" s="8">
        <f t="shared" si="33"/>
        <v>218.09289887744399</v>
      </c>
      <c r="U134" s="8">
        <f t="shared" si="33"/>
        <v>212.640576405508</v>
      </c>
      <c r="V134" s="8">
        <f t="shared" si="33"/>
        <v>207.32456199537</v>
      </c>
      <c r="W134" s="8">
        <f t="shared" si="33"/>
        <v>202.14144794548599</v>
      </c>
      <c r="X134" s="8">
        <f t="shared" si="33"/>
        <v>197.08791174684899</v>
      </c>
      <c r="Y134" s="8">
        <f t="shared" si="33"/>
        <v>192.16071395317775</v>
      </c>
      <c r="Z134" s="8">
        <f t="shared" si="33"/>
        <v>187.356696104348</v>
      </c>
      <c r="AA134" s="8">
        <f t="shared" si="33"/>
        <v>182.67277870173959</v>
      </c>
      <c r="AB134" s="8">
        <f t="shared" si="33"/>
        <v>178.10595923419601</v>
      </c>
      <c r="AC134" s="8">
        <f t="shared" si="33"/>
        <v>173.653310253341</v>
      </c>
      <c r="AD134" s="8">
        <f t="shared" si="33"/>
        <v>169.31197749700763</v>
      </c>
      <c r="AE134" s="8">
        <f t="shared" si="33"/>
        <v>165.07917805958201</v>
      </c>
      <c r="AF134" s="8">
        <f t="shared" si="33"/>
        <v>160.95219860809286</v>
      </c>
      <c r="AG134" s="8">
        <f t="shared" si="33"/>
        <v>156.92839364289054</v>
      </c>
      <c r="AH134" s="8">
        <f t="shared" si="33"/>
        <v>153.00518380181799</v>
      </c>
      <c r="AI134" s="8">
        <f t="shared" si="33"/>
        <v>149.18005420677281</v>
      </c>
      <c r="AJ134" s="8">
        <f t="shared" si="33"/>
        <v>145.45055285160348</v>
      </c>
      <c r="AK134" s="8">
        <f t="shared" si="33"/>
        <v>141.81428903031301</v>
      </c>
      <c r="AL134" s="8">
        <f t="shared" si="33"/>
        <v>138.26893180455554</v>
      </c>
      <c r="AM134" s="8">
        <f t="shared" si="33"/>
        <v>134.81220850944163</v>
      </c>
      <c r="AN134" s="8">
        <f t="shared" si="33"/>
        <v>131.44190329670559</v>
      </c>
      <c r="AO134" s="8">
        <f t="shared" si="33"/>
        <v>128.15585571428795</v>
      </c>
      <c r="AP134" s="8">
        <f t="shared" si="33"/>
        <v>124.95195932143075</v>
      </c>
      <c r="AQ134" s="8">
        <f t="shared" si="33"/>
        <v>121.82816033839498</v>
      </c>
      <c r="AR134" s="8">
        <f t="shared" si="33"/>
        <v>118.782456329935</v>
      </c>
      <c r="AS134" s="8">
        <f t="shared" si="33"/>
        <v>115.81289492168672</v>
      </c>
      <c r="AT134" s="8">
        <f t="shared" si="33"/>
        <v>112.91757254864454</v>
      </c>
      <c r="AU134" s="8">
        <f t="shared" si="33"/>
        <v>110.094633234928</v>
      </c>
      <c r="AV134" s="8">
        <f t="shared" si="33"/>
        <v>107.34226740405499</v>
      </c>
      <c r="AW134" s="8">
        <f t="shared" si="33"/>
        <v>104.65871071895383</v>
      </c>
      <c r="AX134" s="8">
        <f t="shared" si="33"/>
        <v>102.04224295097998</v>
      </c>
      <c r="AY134" s="8">
        <f t="shared" si="33"/>
        <v>99.491186877205479</v>
      </c>
      <c r="AZ134" s="8">
        <f t="shared" si="33"/>
        <v>97.00390720527534</v>
      </c>
      <c r="BA134" s="8">
        <f t="shared" si="33"/>
        <v>94.578809525143456</v>
      </c>
      <c r="BB134" s="8">
        <f t="shared" si="33"/>
        <v>92.214339287014866</v>
      </c>
      <c r="BC134" s="8">
        <f t="shared" si="33"/>
        <v>89.908980804839487</v>
      </c>
      <c r="BD134" s="8">
        <f t="shared" si="33"/>
        <v>87.661256284718505</v>
      </c>
      <c r="BE134" s="8">
        <f t="shared" si="33"/>
        <v>85.469724877600541</v>
      </c>
      <c r="BF134" s="8">
        <f t="shared" si="33"/>
        <v>83.332981755660526</v>
      </c>
      <c r="BG134" s="8">
        <f t="shared" si="33"/>
        <v>58.193870393987801</v>
      </c>
      <c r="BH134" s="8">
        <f t="shared" si="33"/>
        <v>21.045912886459298</v>
      </c>
      <c r="BI134" s="8">
        <f t="shared" si="33"/>
        <v>1.9401297213399001E-2</v>
      </c>
      <c r="BJ134" s="8"/>
      <c r="BK134" s="8"/>
      <c r="BL134" s="8"/>
      <c r="BM134" s="8"/>
      <c r="BN134" s="8"/>
      <c r="BO134" s="8"/>
      <c r="BP134" s="8"/>
      <c r="BQ134" s="8"/>
      <c r="BR134" s="8"/>
      <c r="BS134" s="8"/>
      <c r="BT134" s="8"/>
      <c r="BU134" s="8"/>
      <c r="BV134" s="8"/>
      <c r="BW134" s="8"/>
      <c r="BX134" s="8"/>
      <c r="BY134" s="8"/>
      <c r="BZ134" s="8"/>
      <c r="CA134" s="8"/>
      <c r="CB134" s="8"/>
      <c r="CC134" s="8"/>
      <c r="CD134" s="8"/>
      <c r="CE134" s="8"/>
      <c r="CF134" s="8"/>
      <c r="CG134" s="8"/>
      <c r="CH134" s="8"/>
      <c r="CI134" s="8"/>
      <c r="CJ134" s="8"/>
      <c r="CK134" s="8"/>
      <c r="CL134" s="8"/>
      <c r="CM134" s="8"/>
      <c r="CN134" s="8"/>
      <c r="CO134" s="8"/>
      <c r="CP134" s="8"/>
      <c r="CQ134" s="8"/>
      <c r="CR134" s="8"/>
      <c r="CS134" s="8"/>
      <c r="CT134" s="8"/>
      <c r="CU134" s="8"/>
      <c r="CV134" s="8"/>
      <c r="CW134" s="8"/>
      <c r="CX134" s="8"/>
      <c r="CY134" s="8"/>
      <c r="CZ134" s="8"/>
      <c r="DA134" s="8"/>
      <c r="DB134" s="8"/>
      <c r="DC134" s="8"/>
      <c r="DD134" s="8"/>
      <c r="DE134" s="8"/>
      <c r="DF134" s="8"/>
      <c r="DG134" s="8"/>
      <c r="DH134" s="8"/>
      <c r="DI134" s="8"/>
      <c r="DJ134" s="8"/>
      <c r="DK134" s="8"/>
      <c r="DL134" s="8"/>
      <c r="DM134" s="8"/>
      <c r="DN134" s="8"/>
      <c r="DO134" s="8"/>
      <c r="DP134" s="8"/>
      <c r="DQ134" s="8"/>
      <c r="DR134" s="8"/>
      <c r="DS134" s="8"/>
      <c r="DT134" s="8"/>
    </row>
    <row r="135" spans="1:124" s="2" customFormat="1" ht="13.25" customHeight="1" x14ac:dyDescent="0.35">
      <c r="A135" s="13" t="s">
        <v>305</v>
      </c>
      <c r="B135" s="8">
        <f t="shared" ref="B135" si="34">+B133*3.666</f>
        <v>3.6659453218818632</v>
      </c>
      <c r="C135" s="8">
        <f t="shared" ref="C135:BI135" si="35">+C133*3.666</f>
        <v>464.80508383814714</v>
      </c>
      <c r="D135" s="8">
        <f t="shared" si="35"/>
        <v>528.93091950529106</v>
      </c>
      <c r="E135" s="8">
        <f t="shared" si="35"/>
        <v>595.67054562049373</v>
      </c>
      <c r="F135" s="8">
        <f t="shared" si="35"/>
        <v>665.55503384504073</v>
      </c>
      <c r="G135" s="8">
        <f t="shared" si="35"/>
        <v>738.90484395515762</v>
      </c>
      <c r="H135" s="8">
        <f t="shared" si="35"/>
        <v>815.94489931074531</v>
      </c>
      <c r="I135" s="8">
        <f t="shared" si="35"/>
        <v>896.92257467820036</v>
      </c>
      <c r="J135" s="8">
        <f t="shared" si="35"/>
        <v>982.2708747286307</v>
      </c>
      <c r="K135" s="8">
        <f t="shared" si="35"/>
        <v>1004.1357848005522</v>
      </c>
      <c r="L135" s="8">
        <f t="shared" si="35"/>
        <v>979.03239018053853</v>
      </c>
      <c r="M135" s="8">
        <f t="shared" si="35"/>
        <v>954.55658042602272</v>
      </c>
      <c r="N135" s="8">
        <f t="shared" si="35"/>
        <v>930.69266591537303</v>
      </c>
      <c r="O135" s="8">
        <f t="shared" si="35"/>
        <v>907.42534926748954</v>
      </c>
      <c r="P135" s="8">
        <f t="shared" si="35"/>
        <v>884.73971553580031</v>
      </c>
      <c r="Q135" s="8">
        <f t="shared" si="35"/>
        <v>862.62122264740731</v>
      </c>
      <c r="R135" s="8">
        <f t="shared" si="35"/>
        <v>841.0556920812212</v>
      </c>
      <c r="S135" s="8">
        <f t="shared" si="35"/>
        <v>820.02929977918882</v>
      </c>
      <c r="T135" s="8">
        <f t="shared" si="35"/>
        <v>799.52856728470965</v>
      </c>
      <c r="U135" s="8">
        <f t="shared" si="35"/>
        <v>779.54035310259235</v>
      </c>
      <c r="V135" s="8">
        <f t="shared" si="35"/>
        <v>760.05184427502638</v>
      </c>
      <c r="W135" s="8">
        <f t="shared" si="35"/>
        <v>741.05054816815164</v>
      </c>
      <c r="X135" s="8">
        <f t="shared" si="35"/>
        <v>722.52428446394833</v>
      </c>
      <c r="Y135" s="8">
        <f t="shared" si="35"/>
        <v>704.46117735235055</v>
      </c>
      <c r="Z135" s="8">
        <f t="shared" si="35"/>
        <v>686.84964791853974</v>
      </c>
      <c r="AA135" s="8">
        <f t="shared" si="35"/>
        <v>669.67840672057878</v>
      </c>
      <c r="AB135" s="8">
        <f t="shared" si="35"/>
        <v>652.93644655256253</v>
      </c>
      <c r="AC135" s="8">
        <f t="shared" si="35"/>
        <v>636.61303538874813</v>
      </c>
      <c r="AD135" s="8">
        <f t="shared" si="35"/>
        <v>620.69770950403131</v>
      </c>
      <c r="AE135" s="8">
        <f t="shared" si="35"/>
        <v>605.18026676642762</v>
      </c>
      <c r="AF135" s="8">
        <f t="shared" si="35"/>
        <v>590.05076009726895</v>
      </c>
      <c r="AG135" s="8">
        <f t="shared" si="35"/>
        <v>575.29949109483834</v>
      </c>
      <c r="AH135" s="8">
        <f t="shared" si="35"/>
        <v>560.91700381746477</v>
      </c>
      <c r="AI135" s="8">
        <f t="shared" si="35"/>
        <v>546.8940787220298</v>
      </c>
      <c r="AJ135" s="8">
        <f t="shared" si="35"/>
        <v>533.22172675398019</v>
      </c>
      <c r="AK135" s="8">
        <f t="shared" si="35"/>
        <v>519.89118358512746</v>
      </c>
      <c r="AL135" s="8">
        <f t="shared" si="35"/>
        <v>506.89390399550223</v>
      </c>
      <c r="AM135" s="8">
        <f t="shared" si="35"/>
        <v>494.22155639561436</v>
      </c>
      <c r="AN135" s="8">
        <f t="shared" si="35"/>
        <v>481.86601748572411</v>
      </c>
      <c r="AO135" s="8">
        <f t="shared" si="35"/>
        <v>469.81936704857981</v>
      </c>
      <c r="AP135" s="8">
        <f t="shared" si="35"/>
        <v>458.07388287236603</v>
      </c>
      <c r="AQ135" s="8">
        <f t="shared" si="35"/>
        <v>446.62203580055603</v>
      </c>
      <c r="AR135" s="8">
        <f t="shared" si="35"/>
        <v>435.45648490554169</v>
      </c>
      <c r="AS135" s="8">
        <f t="shared" si="35"/>
        <v>424.57007278290456</v>
      </c>
      <c r="AT135" s="8">
        <f t="shared" si="35"/>
        <v>413.95582096333254</v>
      </c>
      <c r="AU135" s="8">
        <f t="shared" si="35"/>
        <v>403.60692543924603</v>
      </c>
      <c r="AV135" s="8">
        <f t="shared" si="35"/>
        <v>393.5167523032656</v>
      </c>
      <c r="AW135" s="8">
        <f t="shared" si="35"/>
        <v>383.67883349568535</v>
      </c>
      <c r="AX135" s="8">
        <f t="shared" si="35"/>
        <v>374.08686265829266</v>
      </c>
      <c r="AY135" s="8">
        <f t="shared" si="35"/>
        <v>364.73469109183577</v>
      </c>
      <c r="AZ135" s="8">
        <f t="shared" si="35"/>
        <v>355.61632381453961</v>
      </c>
      <c r="BA135" s="8">
        <f t="shared" si="35"/>
        <v>346.72591571917604</v>
      </c>
      <c r="BB135" s="8">
        <f t="shared" si="35"/>
        <v>338.0577678261966</v>
      </c>
      <c r="BC135" s="8">
        <f t="shared" si="35"/>
        <v>329.60632363054162</v>
      </c>
      <c r="BD135" s="8">
        <f t="shared" si="35"/>
        <v>321.36616553977842</v>
      </c>
      <c r="BE135" s="8">
        <f t="shared" si="35"/>
        <v>313.33201140128381</v>
      </c>
      <c r="BF135" s="8">
        <f t="shared" si="35"/>
        <v>305.49871111625174</v>
      </c>
      <c r="BG135" s="8">
        <f t="shared" si="35"/>
        <v>213.33872886435927</v>
      </c>
      <c r="BH135" s="8">
        <f t="shared" si="35"/>
        <v>77.154316641759792</v>
      </c>
      <c r="BI135" s="8">
        <f t="shared" si="35"/>
        <v>7.112515558432074E-2</v>
      </c>
      <c r="BJ135" s="8"/>
      <c r="BK135" s="8"/>
      <c r="BL135" s="8"/>
      <c r="BM135" s="8"/>
      <c r="BN135" s="8"/>
      <c r="BO135" s="8"/>
      <c r="BP135" s="8"/>
      <c r="BQ135" s="8"/>
      <c r="BR135" s="8"/>
      <c r="BS135" s="8"/>
      <c r="BT135" s="8"/>
      <c r="BU135" s="8"/>
      <c r="BV135" s="8"/>
      <c r="BW135" s="8"/>
      <c r="BX135" s="8"/>
      <c r="BY135" s="8"/>
      <c r="BZ135" s="8"/>
      <c r="CA135" s="8"/>
      <c r="CB135" s="8"/>
      <c r="CC135" s="8"/>
      <c r="CD135" s="8"/>
      <c r="CE135" s="8"/>
      <c r="CF135" s="8"/>
      <c r="CG135" s="8"/>
      <c r="CH135" s="8"/>
      <c r="CI135" s="8"/>
      <c r="CJ135" s="8"/>
      <c r="CK135" s="8"/>
      <c r="CL135" s="8"/>
      <c r="CM135" s="8"/>
      <c r="CN135" s="8"/>
      <c r="CO135" s="8"/>
      <c r="CP135" s="8"/>
      <c r="CQ135" s="8"/>
      <c r="CR135" s="8"/>
      <c r="CS135" s="8"/>
      <c r="CT135" s="8"/>
      <c r="CU135" s="8"/>
      <c r="CV135" s="8"/>
      <c r="CW135" s="8"/>
      <c r="CX135" s="8"/>
      <c r="CY135" s="8"/>
      <c r="CZ135" s="8"/>
      <c r="DA135" s="8"/>
      <c r="DB135" s="8"/>
      <c r="DC135" s="8"/>
      <c r="DD135" s="8"/>
      <c r="DE135" s="8"/>
      <c r="DF135" s="8"/>
      <c r="DG135" s="8"/>
      <c r="DH135" s="8"/>
      <c r="DI135" s="8"/>
      <c r="DJ135" s="8"/>
      <c r="DK135" s="8"/>
      <c r="DL135" s="8"/>
      <c r="DM135" s="8"/>
      <c r="DN135" s="8"/>
      <c r="DO135" s="8"/>
      <c r="DP135" s="8"/>
      <c r="DQ135" s="8"/>
      <c r="DR135" s="8"/>
      <c r="DS135" s="8"/>
      <c r="DT135" s="8"/>
    </row>
    <row r="136" spans="1:124" s="2" customFormat="1" ht="14.5" hidden="1" x14ac:dyDescent="0.35">
      <c r="A136" s="13"/>
      <c r="B136" s="8"/>
    </row>
    <row r="137" spans="1:124" s="48" customFormat="1" ht="14.5" x14ac:dyDescent="0.35">
      <c r="A137" s="13" t="s">
        <v>303</v>
      </c>
      <c r="B137" s="2">
        <f t="shared" ref="B137" si="36">+B139*B47</f>
        <v>3.897599999999999E-2</v>
      </c>
      <c r="C137" s="2">
        <f t="shared" ref="C137:BI137" si="37">+C139*C47</f>
        <v>0.58248709218152295</v>
      </c>
      <c r="D137" s="2">
        <f t="shared" si="37"/>
        <v>0.63471260398635965</v>
      </c>
      <c r="E137" s="2">
        <f t="shared" si="37"/>
        <v>0.68763238115979108</v>
      </c>
      <c r="F137" s="2">
        <f t="shared" si="37"/>
        <v>0.74170351462725281</v>
      </c>
      <c r="G137" s="2">
        <f t="shared" si="37"/>
        <v>0.79719327949598462</v>
      </c>
      <c r="H137" s="2">
        <f t="shared" si="37"/>
        <v>0.85428197176858012</v>
      </c>
      <c r="I137" s="2">
        <f t="shared" si="37"/>
        <v>0.91314523367229683</v>
      </c>
      <c r="J137" s="2">
        <f t="shared" si="37"/>
        <v>0.97404649492297612</v>
      </c>
      <c r="K137" s="2">
        <f t="shared" si="37"/>
        <v>1</v>
      </c>
      <c r="L137" s="2">
        <f t="shared" si="37"/>
        <v>1</v>
      </c>
      <c r="M137" s="2">
        <f t="shared" si="37"/>
        <v>0.99999999999999978</v>
      </c>
      <c r="N137" s="2">
        <f t="shared" si="37"/>
        <v>1</v>
      </c>
      <c r="O137" s="2">
        <f t="shared" si="37"/>
        <v>1</v>
      </c>
      <c r="P137" s="2">
        <f t="shared" si="37"/>
        <v>0.99999999999999956</v>
      </c>
      <c r="Q137" s="2">
        <f t="shared" si="37"/>
        <v>1</v>
      </c>
      <c r="R137" s="2">
        <f t="shared" si="37"/>
        <v>1</v>
      </c>
      <c r="S137" s="2">
        <f t="shared" si="37"/>
        <v>0.999999999999999</v>
      </c>
      <c r="T137" s="2">
        <f t="shared" si="37"/>
        <v>0.99999999999999944</v>
      </c>
      <c r="U137" s="2">
        <f t="shared" si="37"/>
        <v>0.99999999999999967</v>
      </c>
      <c r="V137" s="2">
        <f t="shared" si="37"/>
        <v>0.999999999999999</v>
      </c>
      <c r="W137" s="2">
        <f t="shared" si="37"/>
        <v>0.99999999999999967</v>
      </c>
      <c r="X137" s="2">
        <f t="shared" si="37"/>
        <v>1</v>
      </c>
      <c r="Y137" s="2">
        <f t="shared" si="37"/>
        <v>1</v>
      </c>
      <c r="Z137" s="2">
        <f t="shared" si="37"/>
        <v>0.99999999999999911</v>
      </c>
      <c r="AA137" s="2">
        <f t="shared" si="37"/>
        <v>1</v>
      </c>
      <c r="AB137" s="2">
        <f t="shared" si="37"/>
        <v>0.99999999999999978</v>
      </c>
      <c r="AC137" s="2">
        <f t="shared" si="37"/>
        <v>0.99999999999999944</v>
      </c>
      <c r="AD137" s="2">
        <f t="shared" si="37"/>
        <v>1</v>
      </c>
      <c r="AE137" s="2">
        <f t="shared" si="37"/>
        <v>0.99999999999999856</v>
      </c>
      <c r="AF137" s="2">
        <f t="shared" si="37"/>
        <v>1</v>
      </c>
      <c r="AG137" s="2">
        <f t="shared" si="37"/>
        <v>1</v>
      </c>
      <c r="AH137" s="2">
        <f t="shared" si="37"/>
        <v>0.999999999999999</v>
      </c>
      <c r="AI137" s="2">
        <f t="shared" si="37"/>
        <v>1</v>
      </c>
      <c r="AJ137" s="2">
        <f t="shared" si="37"/>
        <v>1</v>
      </c>
      <c r="AK137" s="2">
        <f t="shared" si="37"/>
        <v>0.99999999999999856</v>
      </c>
      <c r="AL137" s="2">
        <f t="shared" si="37"/>
        <v>1</v>
      </c>
      <c r="AM137" s="2">
        <f t="shared" si="37"/>
        <v>1</v>
      </c>
      <c r="AN137" s="2">
        <f t="shared" si="37"/>
        <v>1</v>
      </c>
      <c r="AO137" s="2">
        <f t="shared" si="37"/>
        <v>1</v>
      </c>
      <c r="AP137" s="2">
        <f t="shared" si="37"/>
        <v>1</v>
      </c>
      <c r="AQ137" s="2">
        <f t="shared" si="37"/>
        <v>1</v>
      </c>
      <c r="AR137" s="2">
        <f t="shared" si="37"/>
        <v>0.99999999999999956</v>
      </c>
      <c r="AS137" s="2">
        <f t="shared" si="37"/>
        <v>1</v>
      </c>
      <c r="AT137" s="2">
        <f t="shared" si="37"/>
        <v>1</v>
      </c>
      <c r="AU137" s="2">
        <f t="shared" si="37"/>
        <v>0.99999999999999789</v>
      </c>
      <c r="AV137" s="2">
        <f t="shared" si="37"/>
        <v>0.99999999999999889</v>
      </c>
      <c r="AW137" s="2">
        <f t="shared" si="37"/>
        <v>1</v>
      </c>
      <c r="AX137" s="2">
        <f t="shared" si="37"/>
        <v>1</v>
      </c>
      <c r="AY137" s="2">
        <f t="shared" si="37"/>
        <v>1</v>
      </c>
      <c r="AZ137" s="2">
        <f t="shared" si="37"/>
        <v>1</v>
      </c>
      <c r="BA137" s="2">
        <f t="shared" si="37"/>
        <v>1</v>
      </c>
      <c r="BB137" s="2">
        <f t="shared" si="37"/>
        <v>1</v>
      </c>
      <c r="BC137" s="2">
        <f t="shared" si="37"/>
        <v>1</v>
      </c>
      <c r="BD137" s="2">
        <f t="shared" si="37"/>
        <v>1</v>
      </c>
      <c r="BE137" s="2">
        <f t="shared" si="37"/>
        <v>1</v>
      </c>
      <c r="BF137" s="2">
        <f t="shared" si="37"/>
        <v>1</v>
      </c>
      <c r="BG137" s="2">
        <f t="shared" si="37"/>
        <v>0.83075964431417171</v>
      </c>
      <c r="BH137" s="2">
        <f t="shared" si="37"/>
        <v>0.47883929895390204</v>
      </c>
      <c r="BI137" s="2">
        <f t="shared" si="37"/>
        <v>9.9999999999999516E-3</v>
      </c>
      <c r="BJ137" s="2"/>
      <c r="BK137" s="2"/>
      <c r="BL137" s="2"/>
      <c r="BM137" s="2"/>
      <c r="BN137" s="2"/>
      <c r="BO137" s="2"/>
      <c r="BP137" s="2"/>
      <c r="BQ137" s="2"/>
      <c r="BR137" s="2"/>
      <c r="BS137" s="2"/>
      <c r="BT137" s="2"/>
      <c r="BU137" s="2"/>
      <c r="BV137" s="2"/>
      <c r="BW137" s="2"/>
      <c r="BX137" s="2"/>
      <c r="BY137" s="2"/>
      <c r="BZ137" s="2"/>
      <c r="CA137" s="2"/>
      <c r="CB137" s="2"/>
      <c r="CC137" s="2"/>
      <c r="CD137" s="2"/>
      <c r="CE137" s="2"/>
      <c r="CF137" s="2"/>
      <c r="CG137" s="2"/>
      <c r="CH137" s="2"/>
      <c r="CI137" s="2"/>
      <c r="CJ137" s="2"/>
      <c r="CK137" s="2"/>
      <c r="CL137" s="2"/>
      <c r="CM137" s="2"/>
      <c r="CN137" s="2"/>
      <c r="CO137" s="2"/>
      <c r="CP137" s="2"/>
      <c r="CQ137" s="2"/>
      <c r="CR137" s="2"/>
      <c r="CS137" s="2"/>
      <c r="CT137" s="2"/>
      <c r="CU137" s="2"/>
      <c r="CV137" s="2"/>
      <c r="CW137" s="2"/>
      <c r="CX137" s="2"/>
      <c r="CY137" s="2"/>
      <c r="CZ137" s="2"/>
      <c r="DA137" s="2"/>
      <c r="DB137" s="2"/>
      <c r="DC137" s="2"/>
      <c r="DD137" s="2"/>
      <c r="DE137" s="2"/>
      <c r="DF137" s="2"/>
      <c r="DG137" s="2"/>
      <c r="DH137" s="2"/>
      <c r="DI137" s="2"/>
      <c r="DJ137" s="2"/>
      <c r="DK137" s="2"/>
      <c r="DL137" s="2"/>
      <c r="DM137" s="2"/>
      <c r="DN137" s="2"/>
      <c r="DO137" s="2"/>
      <c r="DP137" s="2"/>
      <c r="DQ137" s="2"/>
      <c r="DR137" s="2"/>
      <c r="DS137" s="2"/>
      <c r="DT137" s="2"/>
    </row>
    <row r="138" spans="1:124" s="48" customFormat="1" ht="14.5" hidden="1" x14ac:dyDescent="0.35">
      <c r="A138" s="13"/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  <c r="AA138" s="2"/>
      <c r="AB138" s="2"/>
      <c r="AC138" s="2"/>
      <c r="AD138" s="2"/>
      <c r="AE138" s="2"/>
      <c r="AF138" s="2"/>
      <c r="AG138" s="2"/>
      <c r="AH138" s="2"/>
      <c r="AI138" s="2"/>
      <c r="AJ138" s="2"/>
      <c r="AK138" s="2"/>
      <c r="AL138" s="2"/>
      <c r="AM138" s="2"/>
      <c r="AN138" s="2"/>
      <c r="AO138" s="2"/>
      <c r="AP138" s="2"/>
      <c r="AQ138" s="2"/>
      <c r="AR138" s="2"/>
      <c r="AS138" s="2"/>
      <c r="AT138" s="2"/>
      <c r="AU138" s="2"/>
      <c r="AV138" s="2"/>
      <c r="AW138" s="2"/>
      <c r="AX138" s="2"/>
      <c r="AY138" s="2"/>
      <c r="AZ138" s="2"/>
      <c r="BA138" s="2"/>
      <c r="BB138" s="2"/>
      <c r="BC138" s="2"/>
      <c r="BD138" s="2"/>
      <c r="BE138" s="2"/>
      <c r="BF138" s="2"/>
      <c r="BG138" s="2"/>
      <c r="BH138" s="2"/>
      <c r="BI138" s="2"/>
      <c r="BJ138" s="2"/>
      <c r="BK138" s="2"/>
      <c r="BL138" s="2"/>
      <c r="BM138" s="2"/>
      <c r="BN138" s="2"/>
      <c r="BO138" s="2"/>
      <c r="BP138" s="2"/>
      <c r="BQ138" s="2"/>
      <c r="BR138" s="2"/>
      <c r="BS138" s="2"/>
      <c r="BT138" s="2"/>
      <c r="BU138" s="2"/>
      <c r="BV138" s="2"/>
      <c r="BW138" s="2"/>
      <c r="BX138" s="2"/>
      <c r="BY138" s="2"/>
      <c r="BZ138" s="2"/>
      <c r="CA138" s="2"/>
      <c r="CB138" s="2"/>
      <c r="CC138" s="2"/>
      <c r="CD138" s="2"/>
      <c r="CE138" s="2"/>
      <c r="CF138" s="2"/>
      <c r="CG138" s="2"/>
      <c r="CH138" s="2"/>
      <c r="CI138" s="2"/>
      <c r="CJ138" s="2"/>
      <c r="CK138" s="2"/>
      <c r="CL138" s="2"/>
      <c r="CM138" s="2"/>
      <c r="CN138" s="2"/>
      <c r="CO138" s="2"/>
      <c r="CP138" s="2"/>
      <c r="CQ138" s="2"/>
      <c r="CR138" s="2"/>
      <c r="CS138" s="2"/>
      <c r="CT138" s="2"/>
      <c r="CU138" s="2"/>
      <c r="CV138" s="2"/>
      <c r="CW138" s="2"/>
      <c r="CX138" s="2"/>
      <c r="CY138" s="2"/>
      <c r="CZ138" s="2"/>
      <c r="DA138" s="2"/>
      <c r="DB138" s="2"/>
      <c r="DC138" s="2"/>
      <c r="DD138" s="2"/>
      <c r="DE138" s="2"/>
      <c r="DF138" s="2"/>
      <c r="DG138" s="2"/>
      <c r="DH138" s="2"/>
      <c r="DI138" s="2"/>
      <c r="DJ138" s="2"/>
      <c r="DK138" s="2"/>
      <c r="DL138" s="2"/>
      <c r="DM138" s="2"/>
      <c r="DN138" s="2"/>
      <c r="DO138" s="2"/>
      <c r="DP138" s="2"/>
      <c r="DQ138" s="2"/>
      <c r="DR138" s="2"/>
      <c r="DS138" s="2"/>
      <c r="DT138" s="2"/>
    </row>
    <row r="139" spans="1:124" s="48" customFormat="1" ht="14.5" x14ac:dyDescent="0.35">
      <c r="A139" s="13" t="s">
        <v>304</v>
      </c>
      <c r="B139" s="2">
        <f>+MIN(((B134)/(B$34))^(1/($B$39-1)),Parameters!$B$42)</f>
        <v>3.897599999999999E-2</v>
      </c>
      <c r="C139" s="2">
        <f>+MIN(((C134)/(C$34))^(1/($B$39-1)),Parameters!$B$42)</f>
        <v>0.58248709218152295</v>
      </c>
      <c r="D139" s="2">
        <f>+MIN(((D134)/(D$34))^(1/($B$39-1)),Parameters!$B$42)</f>
        <v>0.63471260398635965</v>
      </c>
      <c r="E139" s="2">
        <f>+MIN(((E134)/(E$34))^(1/($B$39-1)),Parameters!$B$42)</f>
        <v>0.68763238115979108</v>
      </c>
      <c r="F139" s="2">
        <f>+MIN(((F134)/(F$34))^(1/($B$39-1)),Parameters!$B$42)</f>
        <v>0.74170351462725281</v>
      </c>
      <c r="G139" s="2">
        <f>+MIN(((G134)/(G$34))^(1/($B$39-1)),Parameters!$B$42)</f>
        <v>0.79719327949598462</v>
      </c>
      <c r="H139" s="2">
        <f>+MIN(((H134)/(H$34))^(1/($B$39-1)),Parameters!$B$42)</f>
        <v>0.85428197176858012</v>
      </c>
      <c r="I139" s="2">
        <f>+MIN(((I134)/(I$34))^(1/($B$39-1)),Parameters!$B$42)</f>
        <v>0.91314523367229683</v>
      </c>
      <c r="J139" s="2">
        <f>+MIN(((J134)/(J$34))^(1/($B$39-1)),Parameters!$B$42)</f>
        <v>0.97404649492297612</v>
      </c>
      <c r="K139" s="2">
        <f>+MIN(((K134)/(K$34))^(1/($B$39-1)),Parameters!$B$42)</f>
        <v>1</v>
      </c>
      <c r="L139" s="2">
        <f>+MIN(((L134)/(L$34))^(1/($B$39-1)),Parameters!$B$42)</f>
        <v>1</v>
      </c>
      <c r="M139" s="2">
        <f>+MIN(((M134)/(M$34))^(1/($B$39-1)),Parameters!$B$42)</f>
        <v>0.99999999999999978</v>
      </c>
      <c r="N139" s="2">
        <f>+MIN(((N134)/(N$34))^(1/($B$39-1)),Parameters!$B$42)</f>
        <v>1</v>
      </c>
      <c r="O139" s="2">
        <f>+MIN(((O134)/(O$34))^(1/($B$39-1)),Parameters!$B$42)</f>
        <v>1</v>
      </c>
      <c r="P139" s="2">
        <f>+MIN(((P134)/(P$34))^(1/($B$39-1)),Parameters!$B$42)</f>
        <v>0.99999999999999956</v>
      </c>
      <c r="Q139" s="2">
        <f>+MIN(((Q134)/(Q$34))^(1/($B$39-1)),Parameters!$B$42)</f>
        <v>1</v>
      </c>
      <c r="R139" s="2">
        <f>+MIN(((R134)/(R$34))^(1/($B$39-1)),Parameters!$B$42)</f>
        <v>1</v>
      </c>
      <c r="S139" s="2">
        <f>+MIN(((S134)/(S$34))^(1/($B$39-1)),Parameters!$B$42)</f>
        <v>0.999999999999999</v>
      </c>
      <c r="T139" s="2">
        <f>+MIN(((T134)/(T$34))^(1/($B$39-1)),Parameters!$B$42)</f>
        <v>0.99999999999999944</v>
      </c>
      <c r="U139" s="2">
        <f>+MIN(((U134)/(U$34))^(1/($B$39-1)),Parameters!$B$42)</f>
        <v>0.99999999999999967</v>
      </c>
      <c r="V139" s="2">
        <f>+MIN(((V134)/(V$34))^(1/($B$39-1)),Parameters!$B$42)</f>
        <v>0.999999999999999</v>
      </c>
      <c r="W139" s="2">
        <f>+MIN(((W134)/(W$34))^(1/($B$39-1)),Parameters!$B$42)</f>
        <v>0.99999999999999967</v>
      </c>
      <c r="X139" s="2">
        <f>+MIN(((X134)/(X$34))^(1/($B$39-1)),Parameters!$B$42)</f>
        <v>1</v>
      </c>
      <c r="Y139" s="2">
        <f>+MIN(((Y134)/(Y$34))^(1/($B$39-1)),Parameters!$B$42)</f>
        <v>1</v>
      </c>
      <c r="Z139" s="2">
        <f>+MIN(((Z134)/(Z$34))^(1/($B$39-1)),Parameters!$B$42)</f>
        <v>0.99999999999999911</v>
      </c>
      <c r="AA139" s="2">
        <f>+MIN(((AA134)/(AA$34))^(1/($B$39-1)),Parameters!$B$42)</f>
        <v>1</v>
      </c>
      <c r="AB139" s="2">
        <f>+MIN(((AB134)/(AB$34))^(1/($B$39-1)),Parameters!$B$42)</f>
        <v>0.99999999999999978</v>
      </c>
      <c r="AC139" s="2">
        <f>+MIN(((AC134)/(AC$34))^(1/($B$39-1)),Parameters!$B$42)</f>
        <v>0.99999999999999944</v>
      </c>
      <c r="AD139" s="2">
        <f>+MIN(((AD134)/(AD$34))^(1/($B$39-1)),Parameters!$B$42)</f>
        <v>1</v>
      </c>
      <c r="AE139" s="2">
        <f>+MIN(((AE134)/(AE$34))^(1/($B$39-1)),Parameters!$B$42)</f>
        <v>0.99999999999999856</v>
      </c>
      <c r="AF139" s="2">
        <f>+MIN(((AF134)/(AF$34))^(1/($B$39-1)),Parameters!$B$42)</f>
        <v>1</v>
      </c>
      <c r="AG139" s="2">
        <f>+MIN(((AG134)/(AG$34))^(1/($B$39-1)),Parameters!$B$42)</f>
        <v>1</v>
      </c>
      <c r="AH139" s="2">
        <f>+MIN(((AH134)/(AH$34))^(1/($B$39-1)),Parameters!$B$42)</f>
        <v>0.999999999999999</v>
      </c>
      <c r="AI139" s="2">
        <f>+MIN(((AI134)/(AI$34))^(1/($B$39-1)),Parameters!$B$42)</f>
        <v>1</v>
      </c>
      <c r="AJ139" s="2">
        <f>+MIN(((AJ134)/(AJ$34))^(1/($B$39-1)),Parameters!$B$42)</f>
        <v>1</v>
      </c>
      <c r="AK139" s="2">
        <f>+MIN(((AK134)/(AK$34))^(1/($B$39-1)),Parameters!$B$42)</f>
        <v>0.99999999999999856</v>
      </c>
      <c r="AL139" s="2">
        <f>+MIN(((AL134)/(AL$34))^(1/($B$39-1)),Parameters!$B$42)</f>
        <v>1</v>
      </c>
      <c r="AM139" s="2">
        <f>+MIN(((AM134)/(AM$34))^(1/($B$39-1)),Parameters!$B$42)</f>
        <v>1</v>
      </c>
      <c r="AN139" s="2">
        <f>+MIN(((AN134)/(AN$34))^(1/($B$39-1)),Parameters!$B$42)</f>
        <v>1</v>
      </c>
      <c r="AO139" s="2">
        <f>+MIN(((AO134)/(AO$34))^(1/($B$39-1)),Parameters!$B$42)</f>
        <v>1</v>
      </c>
      <c r="AP139" s="2">
        <f>+MIN(((AP134)/(AP$34))^(1/($B$39-1)),Parameters!$B$42)</f>
        <v>1</v>
      </c>
      <c r="AQ139" s="2">
        <f>+MIN(((AQ134)/(AQ$34))^(1/($B$39-1)),Parameters!$B$42)</f>
        <v>1</v>
      </c>
      <c r="AR139" s="2">
        <f>+MIN(((AR134)/(AR$34))^(1/($B$39-1)),Parameters!$B$42)</f>
        <v>0.99999999999999956</v>
      </c>
      <c r="AS139" s="2">
        <f>+MIN(((AS134)/(AS$34))^(1/($B$39-1)),Parameters!$B$42)</f>
        <v>1</v>
      </c>
      <c r="AT139" s="2">
        <f>+MIN(((AT134)/(AT$34))^(1/($B$39-1)),Parameters!$B$42)</f>
        <v>1</v>
      </c>
      <c r="AU139" s="2">
        <f>+MIN(((AU134)/(AU$34))^(1/($B$39-1)),Parameters!$B$42)</f>
        <v>0.99999999999999789</v>
      </c>
      <c r="AV139" s="2">
        <f>+MIN(((AV134)/(AV$34))^(1/($B$39-1)),Parameters!$B$42)</f>
        <v>0.99999999999999889</v>
      </c>
      <c r="AW139" s="2">
        <f>+MIN(((AW134)/(AW$34))^(1/($B$39-1)),Parameters!$B$42)</f>
        <v>1</v>
      </c>
      <c r="AX139" s="2">
        <f>+MIN(((AX134)/(AX$34))^(1/($B$39-1)),Parameters!$B$42)</f>
        <v>1</v>
      </c>
      <c r="AY139" s="2">
        <f>+MIN(((AY134)/(AY$34))^(1/($B$39-1)),Parameters!$B$42)</f>
        <v>1</v>
      </c>
      <c r="AZ139" s="2">
        <f>+MIN(((AZ134)/(AZ$34))^(1/($B$39-1)),Parameters!$B$42)</f>
        <v>1</v>
      </c>
      <c r="BA139" s="2">
        <f>+MIN(((BA134)/(BA$34))^(1/($B$39-1)),Parameters!$B$42)</f>
        <v>1</v>
      </c>
      <c r="BB139" s="2">
        <f>+MIN(((BB134)/(BB$34))^(1/($B$39-1)),Parameters!$B$42)</f>
        <v>1</v>
      </c>
      <c r="BC139" s="2">
        <f>+MIN(((BC134)/(BC$34))^(1/($B$39-1)),Parameters!$B$42)</f>
        <v>1</v>
      </c>
      <c r="BD139" s="2">
        <f>+MIN(((BD134)/(BD$34))^(1/($B$39-1)),Parameters!$B$42)</f>
        <v>1</v>
      </c>
      <c r="BE139" s="2">
        <f>+MIN(((BE134)/(BE$34))^(1/($B$39-1)),Parameters!$B$42)</f>
        <v>1</v>
      </c>
      <c r="BF139" s="2">
        <f>+MIN(((BF134)/(BF$34))^(1/($B$39-1)),Parameters!$B$42)</f>
        <v>1</v>
      </c>
      <c r="BG139" s="2">
        <f>+MIN(((BG134)/(BG$34))^(1/($B$39-1)),Parameters!$B$42)</f>
        <v>0.83075964431417171</v>
      </c>
      <c r="BH139" s="2">
        <f>+MIN(((BH134)/(BH$34))^(1/($B$39-1)),Parameters!$B$42)</f>
        <v>0.47883929895390204</v>
      </c>
      <c r="BI139" s="2">
        <f>+MIN(((BI134)/(BI$34))^(1/($B$39-1)),Parameters!$B$42)</f>
        <v>9.9999999999999516E-3</v>
      </c>
      <c r="BJ139" s="2"/>
      <c r="BK139" s="2"/>
      <c r="BL139" s="2"/>
      <c r="BM139" s="2"/>
      <c r="BN139" s="2"/>
      <c r="BO139" s="2"/>
      <c r="BP139" s="2"/>
      <c r="BQ139" s="2"/>
      <c r="BR139" s="2"/>
      <c r="BS139" s="2"/>
      <c r="BT139" s="2"/>
      <c r="BU139" s="2"/>
      <c r="BV139" s="2"/>
      <c r="BW139" s="2"/>
      <c r="BX139" s="2"/>
      <c r="BY139" s="2"/>
      <c r="BZ139" s="2"/>
      <c r="CA139" s="2"/>
      <c r="CB139" s="2"/>
      <c r="CC139" s="2"/>
      <c r="CD139" s="2"/>
      <c r="CE139" s="2"/>
      <c r="CF139" s="2"/>
      <c r="CG139" s="2"/>
      <c r="CH139" s="2"/>
      <c r="CI139" s="2"/>
      <c r="CJ139" s="2"/>
      <c r="CK139" s="2"/>
      <c r="CL139" s="2"/>
      <c r="CM139" s="2"/>
      <c r="CN139" s="2"/>
      <c r="CO139" s="2"/>
      <c r="CP139" s="2"/>
      <c r="CQ139" s="2"/>
      <c r="CR139" s="2"/>
      <c r="CS139" s="2"/>
      <c r="CT139" s="2"/>
      <c r="CU139" s="2"/>
      <c r="CV139" s="2"/>
      <c r="CW139" s="2"/>
      <c r="CX139" s="2"/>
      <c r="CY139" s="2"/>
      <c r="CZ139" s="2"/>
      <c r="DA139" s="2"/>
      <c r="DB139" s="2"/>
      <c r="DC139" s="2"/>
      <c r="DD139" s="2"/>
      <c r="DE139" s="2"/>
      <c r="DF139" s="2"/>
      <c r="DG139" s="2"/>
      <c r="DH139" s="2"/>
      <c r="DI139" s="2"/>
      <c r="DJ139" s="2"/>
      <c r="DK139" s="2"/>
      <c r="DL139" s="2"/>
      <c r="DM139" s="2"/>
      <c r="DN139" s="2"/>
      <c r="DO139" s="2"/>
      <c r="DP139" s="2"/>
      <c r="DQ139" s="2"/>
      <c r="DR139" s="2"/>
      <c r="DS139" s="2"/>
      <c r="DT139" s="2"/>
    </row>
    <row r="140" spans="1:124" s="48" customFormat="1" ht="14.5" x14ac:dyDescent="0.35">
      <c r="A140" s="13" t="s">
        <v>306</v>
      </c>
      <c r="B140" s="2">
        <v>1</v>
      </c>
      <c r="C140" s="2">
        <f t="shared" ref="C140:I140" si="38">+C134*C47</f>
        <v>126.788075242266</v>
      </c>
      <c r="D140" s="2">
        <f t="shared" si="38"/>
        <v>144.280119886877</v>
      </c>
      <c r="E140" s="2">
        <f t="shared" si="38"/>
        <v>162.48514610488101</v>
      </c>
      <c r="F140" s="2">
        <f t="shared" si="38"/>
        <v>181.54801796100401</v>
      </c>
      <c r="G140" s="2">
        <f t="shared" si="38"/>
        <v>201.556149469492</v>
      </c>
      <c r="H140" s="2">
        <f t="shared" si="38"/>
        <v>222.57089452011601</v>
      </c>
      <c r="I140" s="2">
        <f t="shared" si="38"/>
        <v>244.65973122700501</v>
      </c>
      <c r="J140" s="2">
        <f>+J134*J47</f>
        <v>267.94077324839901</v>
      </c>
      <c r="K140" s="2">
        <f t="shared" ref="K140:BI140" si="39">+K134*K47</f>
        <v>273.90501494832256</v>
      </c>
      <c r="L140" s="2">
        <f t="shared" si="39"/>
        <v>267.05738957461449</v>
      </c>
      <c r="M140" s="2">
        <f t="shared" si="39"/>
        <v>260.38095483524899</v>
      </c>
      <c r="N140" s="2">
        <f t="shared" si="39"/>
        <v>253.87143096436787</v>
      </c>
      <c r="O140" s="2">
        <f t="shared" si="39"/>
        <v>247.52464519025867</v>
      </c>
      <c r="P140" s="2">
        <f t="shared" si="39"/>
        <v>241.33652906050199</v>
      </c>
      <c r="Q140" s="2">
        <f t="shared" si="39"/>
        <v>235.30311583398964</v>
      </c>
      <c r="R140" s="2">
        <f t="shared" si="39"/>
        <v>229.42053793813989</v>
      </c>
      <c r="S140" s="2">
        <f t="shared" si="39"/>
        <v>223.68502448968599</v>
      </c>
      <c r="T140" s="2">
        <f t="shared" si="39"/>
        <v>218.09289887744399</v>
      </c>
      <c r="U140" s="2">
        <f t="shared" si="39"/>
        <v>212.640576405508</v>
      </c>
      <c r="V140" s="2">
        <f t="shared" si="39"/>
        <v>207.32456199537</v>
      </c>
      <c r="W140" s="2">
        <f t="shared" si="39"/>
        <v>202.14144794548599</v>
      </c>
      <c r="X140" s="2">
        <f t="shared" si="39"/>
        <v>197.08791174684899</v>
      </c>
      <c r="Y140" s="2">
        <f t="shared" si="39"/>
        <v>192.16071395317775</v>
      </c>
      <c r="Z140" s="2">
        <f t="shared" si="39"/>
        <v>187.356696104348</v>
      </c>
      <c r="AA140" s="2">
        <f t="shared" si="39"/>
        <v>182.67277870173959</v>
      </c>
      <c r="AB140" s="2">
        <f t="shared" si="39"/>
        <v>178.10595923419601</v>
      </c>
      <c r="AC140" s="2">
        <f t="shared" si="39"/>
        <v>173.653310253341</v>
      </c>
      <c r="AD140" s="2">
        <f t="shared" si="39"/>
        <v>169.31197749700763</v>
      </c>
      <c r="AE140" s="2">
        <f t="shared" si="39"/>
        <v>165.07917805958201</v>
      </c>
      <c r="AF140" s="2">
        <f t="shared" si="39"/>
        <v>160.95219860809286</v>
      </c>
      <c r="AG140" s="2">
        <f t="shared" si="39"/>
        <v>156.92839364289054</v>
      </c>
      <c r="AH140" s="2">
        <f t="shared" si="39"/>
        <v>153.00518380181799</v>
      </c>
      <c r="AI140" s="2">
        <f t="shared" si="39"/>
        <v>149.18005420677281</v>
      </c>
      <c r="AJ140" s="2">
        <f t="shared" si="39"/>
        <v>145.45055285160348</v>
      </c>
      <c r="AK140" s="2">
        <f t="shared" si="39"/>
        <v>141.81428903031301</v>
      </c>
      <c r="AL140" s="2">
        <f t="shared" si="39"/>
        <v>138.26893180455554</v>
      </c>
      <c r="AM140" s="2">
        <f t="shared" si="39"/>
        <v>134.81220850944163</v>
      </c>
      <c r="AN140" s="2">
        <f t="shared" si="39"/>
        <v>131.44190329670559</v>
      </c>
      <c r="AO140" s="2">
        <f t="shared" si="39"/>
        <v>128.15585571428795</v>
      </c>
      <c r="AP140" s="2">
        <f t="shared" si="39"/>
        <v>124.95195932143075</v>
      </c>
      <c r="AQ140" s="2">
        <f t="shared" si="39"/>
        <v>121.82816033839498</v>
      </c>
      <c r="AR140" s="2">
        <f t="shared" si="39"/>
        <v>118.782456329935</v>
      </c>
      <c r="AS140" s="2">
        <f t="shared" si="39"/>
        <v>115.81289492168672</v>
      </c>
      <c r="AT140" s="2">
        <f t="shared" si="39"/>
        <v>112.91757254864454</v>
      </c>
      <c r="AU140" s="2">
        <f t="shared" si="39"/>
        <v>110.094633234928</v>
      </c>
      <c r="AV140" s="2">
        <f t="shared" si="39"/>
        <v>107.34226740405499</v>
      </c>
      <c r="AW140" s="2">
        <f t="shared" si="39"/>
        <v>104.65871071895383</v>
      </c>
      <c r="AX140" s="2">
        <f t="shared" si="39"/>
        <v>102.04224295097998</v>
      </c>
      <c r="AY140" s="2">
        <f t="shared" si="39"/>
        <v>99.491186877205479</v>
      </c>
      <c r="AZ140" s="2">
        <f t="shared" si="39"/>
        <v>97.00390720527534</v>
      </c>
      <c r="BA140" s="2">
        <f t="shared" si="39"/>
        <v>94.578809525143456</v>
      </c>
      <c r="BB140" s="2">
        <f t="shared" si="39"/>
        <v>92.214339287014866</v>
      </c>
      <c r="BC140" s="2">
        <f t="shared" si="39"/>
        <v>89.908980804839487</v>
      </c>
      <c r="BD140" s="2">
        <f t="shared" si="39"/>
        <v>87.661256284718505</v>
      </c>
      <c r="BE140" s="2">
        <f t="shared" si="39"/>
        <v>85.469724877600541</v>
      </c>
      <c r="BF140" s="2">
        <f t="shared" si="39"/>
        <v>83.332981755660526</v>
      </c>
      <c r="BG140" s="2">
        <f t="shared" si="39"/>
        <v>58.193870393987801</v>
      </c>
      <c r="BH140" s="2">
        <f t="shared" si="39"/>
        <v>21.045912886459298</v>
      </c>
      <c r="BI140" s="2">
        <f t="shared" si="39"/>
        <v>1.9401297213399001E-2</v>
      </c>
      <c r="BJ140" s="2"/>
      <c r="BK140" s="2"/>
      <c r="BL140" s="2"/>
      <c r="BM140" s="2"/>
      <c r="BN140" s="2"/>
      <c r="BO140" s="2"/>
      <c r="BP140" s="2"/>
      <c r="BQ140" s="2"/>
      <c r="BR140" s="2"/>
      <c r="BS140" s="2"/>
      <c r="BT140" s="2"/>
      <c r="BU140" s="2"/>
      <c r="BV140" s="2"/>
      <c r="BW140" s="2"/>
      <c r="BX140" s="2"/>
      <c r="BY140" s="2"/>
      <c r="BZ140" s="2"/>
      <c r="CA140" s="2"/>
      <c r="CB140" s="2"/>
      <c r="CC140" s="2"/>
      <c r="CD140" s="2"/>
      <c r="CE140" s="2"/>
      <c r="CF140" s="2"/>
      <c r="CG140" s="2"/>
      <c r="CH140" s="2"/>
      <c r="CI140" s="2"/>
      <c r="CJ140" s="2"/>
      <c r="CK140" s="2"/>
      <c r="CL140" s="2"/>
      <c r="CM140" s="2"/>
      <c r="CN140" s="2"/>
      <c r="CO140" s="2"/>
      <c r="CP140" s="2"/>
      <c r="CQ140" s="2"/>
      <c r="CR140" s="2"/>
      <c r="CS140" s="2"/>
      <c r="CT140" s="2"/>
      <c r="CU140" s="2"/>
      <c r="CV140" s="2"/>
      <c r="CW140" s="2"/>
      <c r="CX140" s="2"/>
      <c r="CY140" s="2"/>
      <c r="CZ140" s="2"/>
      <c r="DA140" s="2"/>
      <c r="DB140" s="2"/>
      <c r="DC140" s="2"/>
      <c r="DD140" s="2"/>
      <c r="DE140" s="2"/>
      <c r="DF140" s="2"/>
      <c r="DG140" s="2"/>
      <c r="DH140" s="2"/>
      <c r="DI140" s="2"/>
      <c r="DJ140" s="2"/>
      <c r="DK140" s="2"/>
      <c r="DL140" s="2"/>
      <c r="DM140" s="2"/>
      <c r="DN140" s="2"/>
      <c r="DO140" s="2"/>
      <c r="DP140" s="2"/>
      <c r="DQ140" s="2"/>
      <c r="DR140" s="2"/>
      <c r="DS140" s="2"/>
      <c r="DT140" s="2"/>
    </row>
    <row r="141" spans="1:124" ht="1.75" customHeight="1" x14ac:dyDescent="0.35"/>
    <row r="142" spans="1:124" s="162" customFormat="1" ht="33" customHeight="1" x14ac:dyDescent="0.35">
      <c r="A142" s="160" t="s">
        <v>316</v>
      </c>
      <c r="B142" s="161">
        <f>+C158</f>
        <v>3.0262851067084151E-2</v>
      </c>
      <c r="C142" s="161">
        <f t="shared" ref="C142:BH142" si="40">+D158</f>
        <v>2.7445716489106653E-2</v>
      </c>
      <c r="D142" s="161">
        <f t="shared" si="40"/>
        <v>2.5538076910420315E-2</v>
      </c>
      <c r="E142" s="161">
        <f t="shared" si="40"/>
        <v>2.4133213358548344E-2</v>
      </c>
      <c r="F142" s="161">
        <f t="shared" si="40"/>
        <v>2.3027692121177612E-2</v>
      </c>
      <c r="G142" s="161">
        <f t="shared" si="40"/>
        <v>2.212526395785841E-2</v>
      </c>
      <c r="H142" s="161">
        <f t="shared" si="40"/>
        <v>2.139320855227278E-2</v>
      </c>
      <c r="I142" s="161">
        <f t="shared" si="40"/>
        <v>2.0847284613521255E-2</v>
      </c>
      <c r="J142" s="161">
        <f t="shared" si="40"/>
        <v>2.0549664589500027E-2</v>
      </c>
      <c r="K142" s="161">
        <f t="shared" si="40"/>
        <v>2.0234745326106474E-2</v>
      </c>
      <c r="L142" s="161">
        <f t="shared" si="40"/>
        <v>1.9782604140288207E-2</v>
      </c>
      <c r="M142" s="161">
        <f t="shared" si="40"/>
        <v>1.9263955217954765E-2</v>
      </c>
      <c r="N142" s="161">
        <f t="shared" si="40"/>
        <v>1.8718546107899359E-2</v>
      </c>
      <c r="O142" s="161">
        <f t="shared" si="40"/>
        <v>1.816781053824057E-2</v>
      </c>
      <c r="P142" s="161">
        <f t="shared" si="40"/>
        <v>1.7623157606738715E-2</v>
      </c>
      <c r="Q142" s="161">
        <f t="shared" si="40"/>
        <v>1.7090532476045306E-2</v>
      </c>
      <c r="R142" s="161">
        <f t="shared" si="40"/>
        <v>1.6572925114596959E-2</v>
      </c>
      <c r="S142" s="161">
        <f t="shared" si="40"/>
        <v>1.6071763525266958E-2</v>
      </c>
      <c r="T142" s="161">
        <f t="shared" si="40"/>
        <v>1.5590804266461866E-2</v>
      </c>
      <c r="U142" s="161">
        <f t="shared" si="40"/>
        <v>1.51277951549178E-2</v>
      </c>
      <c r="V142" s="161">
        <f t="shared" si="40"/>
        <v>1.468124991034192E-2</v>
      </c>
      <c r="W142" s="161">
        <f t="shared" si="40"/>
        <v>1.4250119444608078E-2</v>
      </c>
      <c r="X142" s="161">
        <f t="shared" si="40"/>
        <v>1.3833607712642415E-2</v>
      </c>
      <c r="Y142" s="161">
        <f t="shared" si="40"/>
        <v>1.3431066712219941E-2</v>
      </c>
      <c r="Z142" s="161">
        <f t="shared" si="40"/>
        <v>1.3041937032521878E-2</v>
      </c>
      <c r="AA142" s="161">
        <f t="shared" si="40"/>
        <v>1.2665714204445733E-2</v>
      </c>
      <c r="AB142" s="161">
        <f t="shared" si="40"/>
        <v>1.2301929465664774E-2</v>
      </c>
      <c r="AC142" s="161">
        <f t="shared" si="40"/>
        <v>1.1950139124252468E-2</v>
      </c>
      <c r="AD142" s="161">
        <f t="shared" si="40"/>
        <v>1.1609918672939257E-2</v>
      </c>
      <c r="AE142" s="161">
        <f t="shared" si="40"/>
        <v>1.1250788020370717E-2</v>
      </c>
      <c r="AF142" s="161">
        <f t="shared" si="40"/>
        <v>1.0944790809856775E-2</v>
      </c>
      <c r="AG142" s="161">
        <f t="shared" si="40"/>
        <v>1.0645001192728154E-2</v>
      </c>
      <c r="AH142" s="161">
        <f t="shared" si="40"/>
        <v>1.0352409183576938E-2</v>
      </c>
      <c r="AI142" s="161">
        <f t="shared" si="40"/>
        <v>1.0067584373457228E-2</v>
      </c>
      <c r="AJ142" s="161">
        <f t="shared" si="40"/>
        <v>9.7908136828417369E-3</v>
      </c>
      <c r="AK142" s="161">
        <f t="shared" si="40"/>
        <v>9.5221951512969305E-3</v>
      </c>
      <c r="AL142" s="161">
        <f t="shared" si="40"/>
        <v>9.2617017545526537E-3</v>
      </c>
      <c r="AM142" s="161">
        <f t="shared" si="40"/>
        <v>9.0092247977600071E-3</v>
      </c>
      <c r="AN142" s="161">
        <f t="shared" si="40"/>
        <v>8.7646033908530541E-3</v>
      </c>
      <c r="AO142" s="161">
        <f t="shared" si="40"/>
        <v>8.5276444359925208E-3</v>
      </c>
      <c r="AP142" s="161">
        <f t="shared" si="40"/>
        <v>8.298136143875201E-3</v>
      </c>
      <c r="AQ142" s="161">
        <f t="shared" si="40"/>
        <v>8.0758571344694552E-3</v>
      </c>
      <c r="AR142" s="161">
        <f t="shared" si="40"/>
        <v>7.8605825239628224E-3</v>
      </c>
      <c r="AS142" s="161">
        <f t="shared" si="40"/>
        <v>7.6520879548236387E-3</v>
      </c>
      <c r="AT142" s="161">
        <f t="shared" si="40"/>
        <v>7.450152222833184E-3</v>
      </c>
      <c r="AU142" s="161">
        <f t="shared" si="40"/>
        <v>7.2545589483348216E-3</v>
      </c>
      <c r="AV142" s="161">
        <f t="shared" si="40"/>
        <v>7.0650975978761021E-3</v>
      </c>
      <c r="AW142" s="161">
        <f t="shared" si="40"/>
        <v>6.8815640660033761E-3</v>
      </c>
      <c r="AX142" s="161">
        <f t="shared" si="40"/>
        <v>6.7037609609428284E-3</v>
      </c>
      <c r="AY142" s="161">
        <f t="shared" si="40"/>
        <v>6.5314976926962309E-3</v>
      </c>
      <c r="AZ142" s="161">
        <f t="shared" si="40"/>
        <v>6.3645904310218882E-3</v>
      </c>
      <c r="BA142" s="161">
        <f t="shared" si="40"/>
        <v>6.2028619794656237E-3</v>
      </c>
      <c r="BB142" s="161">
        <f t="shared" si="40"/>
        <v>6.046141596946164E-3</v>
      </c>
      <c r="BC142" s="161">
        <f t="shared" si="40"/>
        <v>5.8942647883217791E-3</v>
      </c>
      <c r="BD142" s="161">
        <f t="shared" si="40"/>
        <v>5.7470730784177082E-3</v>
      </c>
      <c r="BE142" s="161">
        <f t="shared" si="40"/>
        <v>5.6044137792372606E-3</v>
      </c>
      <c r="BF142" s="161">
        <f t="shared" si="40"/>
        <v>5.5641005903910301E-3</v>
      </c>
      <c r="BG142" s="161">
        <f t="shared" si="40"/>
        <v>5.4076914702745338E-3</v>
      </c>
      <c r="BH142" s="161">
        <f t="shared" si="40"/>
        <v>5.0962182274378875E-3</v>
      </c>
      <c r="BI142" s="161"/>
    </row>
    <row r="143" spans="1:124" ht="2.4" customHeight="1" x14ac:dyDescent="0.35"/>
    <row r="144" spans="1:124" ht="21" hidden="1" customHeight="1" x14ac:dyDescent="0.35"/>
    <row r="145" spans="1:124" ht="21" hidden="1" customHeight="1" x14ac:dyDescent="0.35"/>
    <row r="146" spans="1:124" ht="21" hidden="1" customHeight="1" x14ac:dyDescent="0.35"/>
    <row r="147" spans="1:124" ht="21" hidden="1" customHeight="1" x14ac:dyDescent="0.35"/>
    <row r="148" spans="1:124" ht="21" hidden="1" customHeight="1" x14ac:dyDescent="0.35"/>
    <row r="149" spans="1:124" ht="21" hidden="1" customHeight="1" x14ac:dyDescent="0.35">
      <c r="A149" s="23"/>
      <c r="B149" s="3"/>
    </row>
    <row r="150" spans="1:124" ht="21" customHeight="1" thickBot="1" x14ac:dyDescent="0.4">
      <c r="A150" s="95" t="s">
        <v>339</v>
      </c>
      <c r="B150" s="3"/>
    </row>
    <row r="151" spans="1:124" ht="21" customHeight="1" thickTop="1" x14ac:dyDescent="0.35">
      <c r="A151" s="50" t="s">
        <v>237</v>
      </c>
      <c r="B151" s="3"/>
    </row>
    <row r="152" spans="1:124" ht="21" customHeight="1" x14ac:dyDescent="0.35">
      <c r="A152" s="50" t="s">
        <v>238</v>
      </c>
      <c r="B152" s="3"/>
      <c r="C152" s="3">
        <f t="shared" ref="C152:BI152" si="41">+(C53/B53)^0.2</f>
        <v>1.0116028097333745</v>
      </c>
      <c r="D152" s="3">
        <f t="shared" si="41"/>
        <v>1.0100345466701126</v>
      </c>
      <c r="E152" s="3">
        <f t="shared" si="41"/>
        <v>1.0086791622039537</v>
      </c>
      <c r="F152" s="3">
        <f t="shared" si="41"/>
        <v>1.0075075318291871</v>
      </c>
      <c r="G152" s="3">
        <f t="shared" si="41"/>
        <v>1.0064945727522834</v>
      </c>
      <c r="H152" s="3">
        <f t="shared" si="41"/>
        <v>1.0056186687743522</v>
      </c>
      <c r="I152" s="3">
        <f t="shared" si="41"/>
        <v>1.0048611805233922</v>
      </c>
      <c r="J152" s="3">
        <f t="shared" si="41"/>
        <v>1.0042060275191533</v>
      </c>
      <c r="K152" s="3">
        <f t="shared" si="41"/>
        <v>1.0036393308936822</v>
      </c>
      <c r="L152" s="3">
        <f t="shared" si="41"/>
        <v>1.0031491074812331</v>
      </c>
      <c r="M152" s="3">
        <f t="shared" si="41"/>
        <v>1.0027250075278795</v>
      </c>
      <c r="N152" s="3">
        <f t="shared" si="41"/>
        <v>1.0023580895273503</v>
      </c>
      <c r="O152" s="3">
        <f t="shared" si="41"/>
        <v>1.00204062672215</v>
      </c>
      <c r="P152" s="3">
        <f t="shared" si="41"/>
        <v>1.0017659406620689</v>
      </c>
      <c r="Q152" s="3">
        <f t="shared" si="41"/>
        <v>1.0015282579203173</v>
      </c>
      <c r="R152" s="3">
        <f t="shared" si="41"/>
        <v>1.0013225866579545</v>
      </c>
      <c r="S152" s="3">
        <f t="shared" si="41"/>
        <v>1.0011446102215715</v>
      </c>
      <c r="T152" s="3">
        <f t="shared" si="41"/>
        <v>1.0009905953745444</v>
      </c>
      <c r="U152" s="3">
        <f t="shared" si="41"/>
        <v>1.0008573131123586</v>
      </c>
      <c r="V152" s="3">
        <f t="shared" si="41"/>
        <v>1.0007419703086711</v>
      </c>
      <c r="W152" s="3">
        <f t="shared" si="41"/>
        <v>1.0006421506899126</v>
      </c>
      <c r="X152" s="3">
        <f t="shared" si="41"/>
        <v>1.0005557638497422</v>
      </c>
      <c r="Y152" s="3">
        <f t="shared" si="41"/>
        <v>1.0004810011965555</v>
      </c>
      <c r="Z152" s="3">
        <f t="shared" si="41"/>
        <v>1.00041629788252</v>
      </c>
      <c r="AA152" s="3">
        <f t="shared" si="41"/>
        <v>1.0003602998953873</v>
      </c>
      <c r="AB152" s="3">
        <f t="shared" si="41"/>
        <v>1.0003118356080356</v>
      </c>
      <c r="AC152" s="3">
        <f t="shared" si="41"/>
        <v>1.0002698911782073</v>
      </c>
      <c r="AD152" s="3">
        <f t="shared" si="41"/>
        <v>1.0002335892746335</v>
      </c>
      <c r="AE152" s="3">
        <f t="shared" si="41"/>
        <v>1.00020217067768</v>
      </c>
      <c r="AF152" s="3">
        <f t="shared" si="41"/>
        <v>1.0001749783645633</v>
      </c>
      <c r="AG152" s="3">
        <f t="shared" si="41"/>
        <v>1.0001514437424595</v>
      </c>
      <c r="AH152" s="3">
        <f t="shared" si="41"/>
        <v>1.0001310747387555</v>
      </c>
      <c r="AI152" s="3">
        <f t="shared" si="41"/>
        <v>1.0001134454972587</v>
      </c>
      <c r="AJ152" s="3">
        <f t="shared" si="41"/>
        <v>1.0000981874633217</v>
      </c>
      <c r="AK152" s="3">
        <f t="shared" si="41"/>
        <v>1.0000849816702952</v>
      </c>
      <c r="AL152" s="3">
        <f t="shared" si="41"/>
        <v>1.0000735520651485</v>
      </c>
      <c r="AM152" s="3">
        <f t="shared" si="41"/>
        <v>1.0000636597330521</v>
      </c>
      <c r="AN152" s="3">
        <f t="shared" si="41"/>
        <v>1.0000550978996956</v>
      </c>
      <c r="AO152" s="3">
        <f t="shared" si="41"/>
        <v>1.0000476876064832</v>
      </c>
      <c r="AP152" s="3">
        <f t="shared" si="41"/>
        <v>1.0000412739679339</v>
      </c>
      <c r="AQ152" s="3">
        <f t="shared" si="41"/>
        <v>1.0000357229328398</v>
      </c>
      <c r="AR152" s="3">
        <f t="shared" si="41"/>
        <v>1.000030918481331</v>
      </c>
      <c r="AS152" s="3">
        <f t="shared" si="41"/>
        <v>1.0000267601991399</v>
      </c>
      <c r="AT152" s="3">
        <f t="shared" si="41"/>
        <v>1.0000231611782795</v>
      </c>
      <c r="AU152" s="3">
        <f t="shared" si="41"/>
        <v>1.0000200462001916</v>
      </c>
      <c r="AV152" s="3">
        <f t="shared" si="41"/>
        <v>1.0000173501633398</v>
      </c>
      <c r="AW152" s="3">
        <f t="shared" si="41"/>
        <v>1.0000150167223523</v>
      </c>
      <c r="AX152" s="3">
        <f t="shared" si="41"/>
        <v>1.0000129971102385</v>
      </c>
      <c r="AY152" s="3">
        <f t="shared" si="41"/>
        <v>1.0000112491190509</v>
      </c>
      <c r="AZ152" s="3">
        <f t="shared" si="41"/>
        <v>1.000009736217665</v>
      </c>
      <c r="BA152" s="3">
        <f t="shared" si="41"/>
        <v>1.0000084267882341</v>
      </c>
      <c r="BB152" s="3">
        <f t="shared" si="41"/>
        <v>1.0000072934653517</v>
      </c>
      <c r="BC152" s="3">
        <f t="shared" si="41"/>
        <v>1.0000063125641003</v>
      </c>
      <c r="BD152" s="3">
        <f t="shared" si="41"/>
        <v>1.0000054635850353</v>
      </c>
      <c r="BE152" s="3">
        <f t="shared" si="41"/>
        <v>1.0000047287857465</v>
      </c>
      <c r="BF152" s="3">
        <f t="shared" si="41"/>
        <v>1.0000040928100502</v>
      </c>
      <c r="BG152" s="3">
        <f t="shared" si="41"/>
        <v>1.0000035423670515</v>
      </c>
      <c r="BH152" s="3">
        <f t="shared" si="41"/>
        <v>1.0000030659533765</v>
      </c>
      <c r="BI152" s="3">
        <f t="shared" si="41"/>
        <v>1.0000026536127598</v>
      </c>
    </row>
    <row r="153" spans="1:124" ht="21" customHeight="1" x14ac:dyDescent="0.35">
      <c r="A153" s="50" t="s">
        <v>239</v>
      </c>
      <c r="B153" s="3"/>
      <c r="C153" s="3">
        <f t="shared" ref="C153:BI153" si="42">+(B18/C18)^0.2</f>
        <v>1.0009999999999999</v>
      </c>
      <c r="D153" s="3">
        <f t="shared" si="42"/>
        <v>1.0009999999999999</v>
      </c>
      <c r="E153" s="3">
        <f t="shared" si="42"/>
        <v>1.0009999999999999</v>
      </c>
      <c r="F153" s="3">
        <f t="shared" si="42"/>
        <v>1.0009999999999999</v>
      </c>
      <c r="G153" s="3">
        <f t="shared" si="42"/>
        <v>1.0009999999999999</v>
      </c>
      <c r="H153" s="3">
        <f t="shared" si="42"/>
        <v>1.0009999999999999</v>
      </c>
      <c r="I153" s="3">
        <f t="shared" si="42"/>
        <v>1.0009999999999999</v>
      </c>
      <c r="J153" s="3">
        <f t="shared" si="42"/>
        <v>1.0009999999999999</v>
      </c>
      <c r="K153" s="3">
        <f t="shared" si="42"/>
        <v>1.0009999999999999</v>
      </c>
      <c r="L153" s="3">
        <f t="shared" si="42"/>
        <v>1.0009999999999999</v>
      </c>
      <c r="M153" s="3">
        <f t="shared" si="42"/>
        <v>1.0009999999999999</v>
      </c>
      <c r="N153" s="3">
        <f t="shared" si="42"/>
        <v>1.0009999999999999</v>
      </c>
      <c r="O153" s="3">
        <f t="shared" si="42"/>
        <v>1.0009999999999999</v>
      </c>
      <c r="P153" s="3">
        <f t="shared" si="42"/>
        <v>1.0009999999999999</v>
      </c>
      <c r="Q153" s="3">
        <f t="shared" si="42"/>
        <v>1.0009999999999999</v>
      </c>
      <c r="R153" s="3">
        <f t="shared" si="42"/>
        <v>1.0009999999999999</v>
      </c>
      <c r="S153" s="3">
        <f t="shared" si="42"/>
        <v>1.0009999999999999</v>
      </c>
      <c r="T153" s="3">
        <f t="shared" si="42"/>
        <v>1.0009999999999999</v>
      </c>
      <c r="U153" s="3">
        <f t="shared" si="42"/>
        <v>1.0009999999999999</v>
      </c>
      <c r="V153" s="3">
        <f t="shared" si="42"/>
        <v>1.0009999999999999</v>
      </c>
      <c r="W153" s="3">
        <f t="shared" si="42"/>
        <v>1.0009999999999999</v>
      </c>
      <c r="X153" s="3">
        <f t="shared" si="42"/>
        <v>1.0009999999999999</v>
      </c>
      <c r="Y153" s="3">
        <f t="shared" si="42"/>
        <v>1.0009999999999999</v>
      </c>
      <c r="Z153" s="3">
        <f t="shared" si="42"/>
        <v>1.0009999999999999</v>
      </c>
      <c r="AA153" s="3">
        <f t="shared" si="42"/>
        <v>1.0009999999999999</v>
      </c>
      <c r="AB153" s="3">
        <f t="shared" si="42"/>
        <v>1.0009999999999999</v>
      </c>
      <c r="AC153" s="3">
        <f t="shared" si="42"/>
        <v>1.0009999999999999</v>
      </c>
      <c r="AD153" s="3">
        <f t="shared" si="42"/>
        <v>1.0009999999999999</v>
      </c>
      <c r="AE153" s="3">
        <f t="shared" si="42"/>
        <v>1.0009999999999999</v>
      </c>
      <c r="AF153" s="3">
        <f t="shared" si="42"/>
        <v>1.0009999999999999</v>
      </c>
      <c r="AG153" s="3">
        <f t="shared" si="42"/>
        <v>1.0009999999999999</v>
      </c>
      <c r="AH153" s="3">
        <f t="shared" si="42"/>
        <v>1.0009999999999999</v>
      </c>
      <c r="AI153" s="3">
        <f t="shared" si="42"/>
        <v>1.0009999999999999</v>
      </c>
      <c r="AJ153" s="3">
        <f t="shared" si="42"/>
        <v>1.0009999999999999</v>
      </c>
      <c r="AK153" s="3">
        <f t="shared" si="42"/>
        <v>1.0009999999999999</v>
      </c>
      <c r="AL153" s="3">
        <f t="shared" si="42"/>
        <v>1.0009999999999999</v>
      </c>
      <c r="AM153" s="3">
        <f t="shared" si="42"/>
        <v>1.0009999999999999</v>
      </c>
      <c r="AN153" s="3">
        <f t="shared" si="42"/>
        <v>1.0009999999999999</v>
      </c>
      <c r="AO153" s="3">
        <f t="shared" si="42"/>
        <v>1.0009999999999999</v>
      </c>
      <c r="AP153" s="3">
        <f t="shared" si="42"/>
        <v>1.0009999999999999</v>
      </c>
      <c r="AQ153" s="3">
        <f t="shared" si="42"/>
        <v>1.0009999999999999</v>
      </c>
      <c r="AR153" s="3">
        <f t="shared" si="42"/>
        <v>1.0009999999999999</v>
      </c>
      <c r="AS153" s="3">
        <f t="shared" si="42"/>
        <v>1.0009999999999999</v>
      </c>
      <c r="AT153" s="3">
        <f t="shared" si="42"/>
        <v>1.0009999999999999</v>
      </c>
      <c r="AU153" s="3">
        <f t="shared" si="42"/>
        <v>1.0009999999999999</v>
      </c>
      <c r="AV153" s="3">
        <f t="shared" si="42"/>
        <v>1.0009999999999999</v>
      </c>
      <c r="AW153" s="3">
        <f t="shared" si="42"/>
        <v>1.0009999999999999</v>
      </c>
      <c r="AX153" s="3">
        <f t="shared" si="42"/>
        <v>1.0009999999999999</v>
      </c>
      <c r="AY153" s="3">
        <f t="shared" si="42"/>
        <v>1.0009999999999999</v>
      </c>
      <c r="AZ153" s="3">
        <f t="shared" si="42"/>
        <v>1.0009999999999999</v>
      </c>
      <c r="BA153" s="3">
        <f t="shared" si="42"/>
        <v>1.0009999999999999</v>
      </c>
      <c r="BB153" s="3">
        <f t="shared" si="42"/>
        <v>1.0009999999999999</v>
      </c>
      <c r="BC153" s="3">
        <f t="shared" si="42"/>
        <v>1.0009999999999999</v>
      </c>
      <c r="BD153" s="3">
        <f t="shared" si="42"/>
        <v>1.0009999999999999</v>
      </c>
      <c r="BE153" s="3">
        <f t="shared" si="42"/>
        <v>1.0009999999999999</v>
      </c>
      <c r="BF153" s="3">
        <f t="shared" si="42"/>
        <v>1.0009999999999999</v>
      </c>
      <c r="BG153" s="3">
        <f t="shared" si="42"/>
        <v>1.0009999999999999</v>
      </c>
      <c r="BH153" s="3">
        <f t="shared" si="42"/>
        <v>1.0009999999999999</v>
      </c>
      <c r="BI153" s="3">
        <f t="shared" si="42"/>
        <v>1.0009999999999999</v>
      </c>
    </row>
    <row r="154" spans="1:124" ht="21" customHeight="1" x14ac:dyDescent="0.35">
      <c r="A154" s="50" t="s">
        <v>240</v>
      </c>
      <c r="B154" s="3"/>
      <c r="C154" s="3">
        <f t="shared" ref="C154:BI154" si="43">+((C127/B127)^($B$19))^0.2</f>
        <v>1.0292336174496346</v>
      </c>
      <c r="D154" s="3">
        <f t="shared" si="43"/>
        <v>1.0264192971919148</v>
      </c>
      <c r="E154" s="3">
        <f t="shared" si="43"/>
        <v>1.0245135633470734</v>
      </c>
      <c r="F154" s="3">
        <f t="shared" si="43"/>
        <v>1.0231101032552932</v>
      </c>
      <c r="G154" s="3">
        <f t="shared" si="43"/>
        <v>1.0220056864347429</v>
      </c>
      <c r="H154" s="3">
        <f t="shared" si="43"/>
        <v>1.0211041597980604</v>
      </c>
      <c r="I154" s="3">
        <f t="shared" si="43"/>
        <v>1.0203728357165562</v>
      </c>
      <c r="J154" s="3">
        <f t="shared" si="43"/>
        <v>1.019827457156365</v>
      </c>
      <c r="K154" s="3">
        <f t="shared" si="43"/>
        <v>1.0195301344550451</v>
      </c>
      <c r="L154" s="3">
        <f t="shared" si="43"/>
        <v>1.0192155297963104</v>
      </c>
      <c r="M154" s="3">
        <f t="shared" si="43"/>
        <v>1.0187638402999883</v>
      </c>
      <c r="N154" s="3">
        <f t="shared" si="43"/>
        <v>1.0182457095084465</v>
      </c>
      <c r="O154" s="3">
        <f t="shared" si="43"/>
        <v>1.0177008452626368</v>
      </c>
      <c r="P154" s="3">
        <f t="shared" si="43"/>
        <v>1.0171506598783624</v>
      </c>
      <c r="Q154" s="3">
        <f t="shared" si="43"/>
        <v>1.0166065510556832</v>
      </c>
      <c r="R154" s="3">
        <f t="shared" si="43"/>
        <v>1.0160744580180274</v>
      </c>
      <c r="S154" s="3">
        <f t="shared" si="43"/>
        <v>1.0155573677468501</v>
      </c>
      <c r="T154" s="3">
        <f t="shared" si="43"/>
        <v>1.0150567068184486</v>
      </c>
      <c r="U154" s="3">
        <f t="shared" si="43"/>
        <v>1.0145762280384236</v>
      </c>
      <c r="V154" s="3">
        <f t="shared" si="43"/>
        <v>1.0141136814734444</v>
      </c>
      <c r="W154" s="3">
        <f t="shared" si="43"/>
        <v>1.0136675823280141</v>
      </c>
      <c r="X154" s="3">
        <f t="shared" si="43"/>
        <v>1.0132368825620461</v>
      </c>
      <c r="Y154" s="3">
        <f t="shared" si="43"/>
        <v>1.0128207869257169</v>
      </c>
      <c r="Z154" s="3">
        <f t="shared" si="43"/>
        <v>1.0124186480641559</v>
      </c>
      <c r="AA154" s="3">
        <f t="shared" si="43"/>
        <v>1.0120299071253966</v>
      </c>
      <c r="AB154" s="3">
        <f t="shared" si="43"/>
        <v>1.0116540601443016</v>
      </c>
      <c r="AC154" s="3">
        <f t="shared" si="43"/>
        <v>1.0112906388268381</v>
      </c>
      <c r="AD154" s="3">
        <f t="shared" si="43"/>
        <v>1.0109391999243282</v>
      </c>
      <c r="AE154" s="3">
        <f t="shared" si="43"/>
        <v>1.0105993193535858</v>
      </c>
      <c r="AF154" s="3">
        <f t="shared" si="43"/>
        <v>1.0102405474728979</v>
      </c>
      <c r="AG154" s="3">
        <f t="shared" si="43"/>
        <v>1.009934855953903</v>
      </c>
      <c r="AH154" s="3">
        <f t="shared" si="43"/>
        <v>1.0096353658269013</v>
      </c>
      <c r="AI154" s="3">
        <f t="shared" si="43"/>
        <v>1.0093430661174596</v>
      </c>
      <c r="AJ154" s="3">
        <f t="shared" si="43"/>
        <v>1.0090585258476097</v>
      </c>
      <c r="AK154" s="3">
        <f t="shared" si="43"/>
        <v>1.0087820316511906</v>
      </c>
      <c r="AL154" s="3">
        <f t="shared" si="43"/>
        <v>1.0085136814698272</v>
      </c>
      <c r="AM154" s="3">
        <f t="shared" si="43"/>
        <v>1.0082534483062464</v>
      </c>
      <c r="AN154" s="3">
        <f t="shared" si="43"/>
        <v>1.008001223574186</v>
      </c>
      <c r="AO154" s="3">
        <f t="shared" si="43"/>
        <v>1.0077568465443087</v>
      </c>
      <c r="AP154" s="3">
        <f t="shared" si="43"/>
        <v>1.0075201243116809</v>
      </c>
      <c r="AQ154" s="3">
        <f t="shared" si="43"/>
        <v>1.0072908452985767</v>
      </c>
      <c r="AR154" s="3">
        <f t="shared" si="43"/>
        <v>1.0070687883461233</v>
      </c>
      <c r="AS154" s="3">
        <f t="shared" si="43"/>
        <v>1.0068537287951678</v>
      </c>
      <c r="AT154" s="3">
        <f t="shared" si="43"/>
        <v>1.0066454425123115</v>
      </c>
      <c r="AU154" s="3">
        <f t="shared" si="43"/>
        <v>1.006443708514319</v>
      </c>
      <c r="AV154" s="3">
        <f t="shared" si="43"/>
        <v>1.0062483106376972</v>
      </c>
      <c r="AW154" s="3">
        <f t="shared" si="43"/>
        <v>1.0060590385593169</v>
      </c>
      <c r="AX154" s="3">
        <f t="shared" si="43"/>
        <v>1.0058756883776259</v>
      </c>
      <c r="AY154" s="3">
        <f t="shared" si="43"/>
        <v>1.005698062898045</v>
      </c>
      <c r="AZ154" s="3">
        <f t="shared" si="43"/>
        <v>1.0055259717209755</v>
      </c>
      <c r="BA154" s="3">
        <f t="shared" si="43"/>
        <v>1.0053592311998221</v>
      </c>
      <c r="BB154" s="3">
        <f t="shared" si="43"/>
        <v>1.0051976643151506</v>
      </c>
      <c r="BC154" s="3">
        <f t="shared" si="43"/>
        <v>1.0050411004964499</v>
      </c>
      <c r="BD154" s="3">
        <f t="shared" si="43"/>
        <v>1.0048893754129089</v>
      </c>
      <c r="BE154" s="3">
        <f t="shared" si="43"/>
        <v>1.0047423307476702</v>
      </c>
      <c r="BF154" s="3">
        <f t="shared" si="43"/>
        <v>1.0045998139652721</v>
      </c>
      <c r="BG154" s="3">
        <f t="shared" si="43"/>
        <v>1.0045595410493418</v>
      </c>
      <c r="BH154" s="3">
        <f t="shared" si="43"/>
        <v>1.0044032881820926</v>
      </c>
      <c r="BI154" s="3">
        <f t="shared" si="43"/>
        <v>1.0040921261013367</v>
      </c>
    </row>
    <row r="155" spans="1:124" ht="21" customHeight="1" x14ac:dyDescent="0.35">
      <c r="A155" s="50" t="s">
        <v>241</v>
      </c>
      <c r="B155" s="3"/>
      <c r="C155" s="3">
        <f>+C154*C153</f>
        <v>1.0302628510670842</v>
      </c>
      <c r="D155" s="3">
        <f t="shared" ref="D155:BI155" si="44">+D154*D153</f>
        <v>1.0274457164891067</v>
      </c>
      <c r="E155" s="3">
        <f t="shared" si="44"/>
        <v>1.0255380769104203</v>
      </c>
      <c r="F155" s="3">
        <f t="shared" si="44"/>
        <v>1.0241332133585483</v>
      </c>
      <c r="G155" s="3">
        <f t="shared" si="44"/>
        <v>1.0230276921211776</v>
      </c>
      <c r="H155" s="3">
        <f t="shared" si="44"/>
        <v>1.0221252639578584</v>
      </c>
      <c r="I155" s="3">
        <f t="shared" si="44"/>
        <v>1.0213932085522728</v>
      </c>
      <c r="J155" s="3">
        <f t="shared" si="44"/>
        <v>1.0208472846135213</v>
      </c>
      <c r="K155" s="3">
        <f t="shared" si="44"/>
        <v>1.0205496645895</v>
      </c>
      <c r="L155" s="3">
        <f t="shared" si="44"/>
        <v>1.0202347453261065</v>
      </c>
      <c r="M155" s="3">
        <f t="shared" si="44"/>
        <v>1.0197826041402882</v>
      </c>
      <c r="N155" s="3">
        <f t="shared" si="44"/>
        <v>1.0192639552179548</v>
      </c>
      <c r="O155" s="3">
        <f t="shared" si="44"/>
        <v>1.0187185461078994</v>
      </c>
      <c r="P155" s="3">
        <f t="shared" si="44"/>
        <v>1.0181678105382406</v>
      </c>
      <c r="Q155" s="3">
        <f t="shared" si="44"/>
        <v>1.0176231576067387</v>
      </c>
      <c r="R155" s="3">
        <f t="shared" si="44"/>
        <v>1.0170905324760453</v>
      </c>
      <c r="S155" s="3">
        <f t="shared" si="44"/>
        <v>1.016572925114597</v>
      </c>
      <c r="T155" s="3">
        <f t="shared" si="44"/>
        <v>1.016071763525267</v>
      </c>
      <c r="U155" s="3">
        <f t="shared" si="44"/>
        <v>1.0155908042664619</v>
      </c>
      <c r="V155" s="3">
        <f t="shared" si="44"/>
        <v>1.0151277951549178</v>
      </c>
      <c r="W155" s="3">
        <f t="shared" si="44"/>
        <v>1.0146812499103419</v>
      </c>
      <c r="X155" s="3">
        <f t="shared" si="44"/>
        <v>1.0142501194446081</v>
      </c>
      <c r="Y155" s="3">
        <f t="shared" si="44"/>
        <v>1.0138336077126424</v>
      </c>
      <c r="Z155" s="3">
        <f t="shared" si="44"/>
        <v>1.0134310667122199</v>
      </c>
      <c r="AA155" s="3">
        <f t="shared" si="44"/>
        <v>1.0130419370325219</v>
      </c>
      <c r="AB155" s="3">
        <f t="shared" si="44"/>
        <v>1.0126657142044457</v>
      </c>
      <c r="AC155" s="3">
        <f t="shared" si="44"/>
        <v>1.0123019294656648</v>
      </c>
      <c r="AD155" s="3">
        <f t="shared" si="44"/>
        <v>1.0119501391242525</v>
      </c>
      <c r="AE155" s="3">
        <f t="shared" si="44"/>
        <v>1.0116099186729393</v>
      </c>
      <c r="AF155" s="3">
        <f t="shared" si="44"/>
        <v>1.0112507880203707</v>
      </c>
      <c r="AG155" s="3">
        <f t="shared" si="44"/>
        <v>1.0109447908098568</v>
      </c>
      <c r="AH155" s="3">
        <f t="shared" si="44"/>
        <v>1.0106450011927282</v>
      </c>
      <c r="AI155" s="3">
        <f t="shared" si="44"/>
        <v>1.0103524091835769</v>
      </c>
      <c r="AJ155" s="3">
        <f t="shared" si="44"/>
        <v>1.0100675843734572</v>
      </c>
      <c r="AK155" s="3">
        <f t="shared" si="44"/>
        <v>1.0097908136828417</v>
      </c>
      <c r="AL155" s="3">
        <f t="shared" si="44"/>
        <v>1.0095221951512969</v>
      </c>
      <c r="AM155" s="3">
        <f t="shared" si="44"/>
        <v>1.0092617017545527</v>
      </c>
      <c r="AN155" s="3">
        <f t="shared" si="44"/>
        <v>1.00900922479776</v>
      </c>
      <c r="AO155" s="3">
        <f t="shared" si="44"/>
        <v>1.0087646033908531</v>
      </c>
      <c r="AP155" s="3">
        <f t="shared" si="44"/>
        <v>1.0085276444359925</v>
      </c>
      <c r="AQ155" s="3">
        <f t="shared" si="44"/>
        <v>1.0082981361438752</v>
      </c>
      <c r="AR155" s="3">
        <f t="shared" si="44"/>
        <v>1.0080758571344695</v>
      </c>
      <c r="AS155" s="3">
        <f t="shared" si="44"/>
        <v>1.0078605825239628</v>
      </c>
      <c r="AT155" s="3">
        <f t="shared" si="44"/>
        <v>1.0076520879548236</v>
      </c>
      <c r="AU155" s="3">
        <f t="shared" si="44"/>
        <v>1.0074501522228332</v>
      </c>
      <c r="AV155" s="3">
        <f t="shared" si="44"/>
        <v>1.0072545589483348</v>
      </c>
      <c r="AW155" s="3">
        <f t="shared" si="44"/>
        <v>1.0070650975978761</v>
      </c>
      <c r="AX155" s="3">
        <f t="shared" si="44"/>
        <v>1.0068815640660034</v>
      </c>
      <c r="AY155" s="3">
        <f t="shared" si="44"/>
        <v>1.0067037609609428</v>
      </c>
      <c r="AZ155" s="3">
        <f t="shared" si="44"/>
        <v>1.0065314976926962</v>
      </c>
      <c r="BA155" s="3">
        <f t="shared" si="44"/>
        <v>1.0063645904310219</v>
      </c>
      <c r="BB155" s="3">
        <f t="shared" si="44"/>
        <v>1.0062028619794656</v>
      </c>
      <c r="BC155" s="3">
        <f t="shared" si="44"/>
        <v>1.0060461415969462</v>
      </c>
      <c r="BD155" s="3">
        <f t="shared" si="44"/>
        <v>1.0058942647883218</v>
      </c>
      <c r="BE155" s="3">
        <f t="shared" si="44"/>
        <v>1.0057470730784177</v>
      </c>
      <c r="BF155" s="3">
        <f t="shared" si="44"/>
        <v>1.0056044137792373</v>
      </c>
      <c r="BG155" s="3">
        <f t="shared" si="44"/>
        <v>1.005564100590391</v>
      </c>
      <c r="BH155" s="3">
        <f t="shared" si="44"/>
        <v>1.0054076914702745</v>
      </c>
      <c r="BI155" s="3">
        <f t="shared" si="44"/>
        <v>1.0050962182274379</v>
      </c>
    </row>
    <row r="156" spans="1:124" ht="21" customHeight="1" x14ac:dyDescent="0.35">
      <c r="A156" s="50" t="s">
        <v>4</v>
      </c>
      <c r="B156" s="3"/>
      <c r="C156" s="3">
        <f>+C155-1</f>
        <v>3.0262851067084151E-2</v>
      </c>
      <c r="D156" s="3">
        <f t="shared" ref="D156:BI156" si="45">+D155-1</f>
        <v>2.7445716489106653E-2</v>
      </c>
      <c r="E156" s="3">
        <f t="shared" si="45"/>
        <v>2.5538076910420315E-2</v>
      </c>
      <c r="F156" s="3">
        <f t="shared" si="45"/>
        <v>2.4133213358548344E-2</v>
      </c>
      <c r="G156" s="3">
        <f t="shared" si="45"/>
        <v>2.3027692121177612E-2</v>
      </c>
      <c r="H156" s="3">
        <f t="shared" si="45"/>
        <v>2.212526395785841E-2</v>
      </c>
      <c r="I156" s="3">
        <f t="shared" si="45"/>
        <v>2.139320855227278E-2</v>
      </c>
      <c r="J156" s="3">
        <f t="shared" si="45"/>
        <v>2.0847284613521255E-2</v>
      </c>
      <c r="K156" s="3">
        <f t="shared" si="45"/>
        <v>2.0549664589500027E-2</v>
      </c>
      <c r="L156" s="3">
        <f t="shared" si="45"/>
        <v>2.0234745326106474E-2</v>
      </c>
      <c r="M156" s="3">
        <f t="shared" si="45"/>
        <v>1.9782604140288207E-2</v>
      </c>
      <c r="N156" s="3">
        <f t="shared" si="45"/>
        <v>1.9263955217954765E-2</v>
      </c>
      <c r="O156" s="3">
        <f t="shared" si="45"/>
        <v>1.8718546107899359E-2</v>
      </c>
      <c r="P156" s="3">
        <f t="shared" si="45"/>
        <v>1.816781053824057E-2</v>
      </c>
      <c r="Q156" s="3">
        <f t="shared" si="45"/>
        <v>1.7623157606738715E-2</v>
      </c>
      <c r="R156" s="3">
        <f t="shared" si="45"/>
        <v>1.7090532476045306E-2</v>
      </c>
      <c r="S156" s="3">
        <f t="shared" si="45"/>
        <v>1.6572925114596959E-2</v>
      </c>
      <c r="T156" s="3">
        <f t="shared" si="45"/>
        <v>1.6071763525266958E-2</v>
      </c>
      <c r="U156" s="3">
        <f t="shared" si="45"/>
        <v>1.5590804266461866E-2</v>
      </c>
      <c r="V156" s="3">
        <f t="shared" si="45"/>
        <v>1.51277951549178E-2</v>
      </c>
      <c r="W156" s="3">
        <f t="shared" si="45"/>
        <v>1.468124991034192E-2</v>
      </c>
      <c r="X156" s="3">
        <f t="shared" si="45"/>
        <v>1.4250119444608078E-2</v>
      </c>
      <c r="Y156" s="3">
        <f t="shared" si="45"/>
        <v>1.3833607712642415E-2</v>
      </c>
      <c r="Z156" s="3">
        <f t="shared" si="45"/>
        <v>1.3431066712219941E-2</v>
      </c>
      <c r="AA156" s="3">
        <f t="shared" si="45"/>
        <v>1.3041937032521878E-2</v>
      </c>
      <c r="AB156" s="3">
        <f t="shared" si="45"/>
        <v>1.2665714204445733E-2</v>
      </c>
      <c r="AC156" s="3">
        <f t="shared" si="45"/>
        <v>1.2301929465664774E-2</v>
      </c>
      <c r="AD156" s="3">
        <f t="shared" si="45"/>
        <v>1.1950139124252468E-2</v>
      </c>
      <c r="AE156" s="3">
        <f t="shared" si="45"/>
        <v>1.1609918672939257E-2</v>
      </c>
      <c r="AF156" s="3">
        <f t="shared" si="45"/>
        <v>1.1250788020370717E-2</v>
      </c>
      <c r="AG156" s="3">
        <f t="shared" si="45"/>
        <v>1.0944790809856775E-2</v>
      </c>
      <c r="AH156" s="3">
        <f t="shared" si="45"/>
        <v>1.0645001192728154E-2</v>
      </c>
      <c r="AI156" s="3">
        <f t="shared" si="45"/>
        <v>1.0352409183576938E-2</v>
      </c>
      <c r="AJ156" s="3">
        <f t="shared" si="45"/>
        <v>1.0067584373457228E-2</v>
      </c>
      <c r="AK156" s="3">
        <f t="shared" si="45"/>
        <v>9.7908136828417369E-3</v>
      </c>
      <c r="AL156" s="3">
        <f t="shared" si="45"/>
        <v>9.5221951512969305E-3</v>
      </c>
      <c r="AM156" s="3">
        <f t="shared" si="45"/>
        <v>9.2617017545526537E-3</v>
      </c>
      <c r="AN156" s="3">
        <f t="shared" si="45"/>
        <v>9.0092247977600071E-3</v>
      </c>
      <c r="AO156" s="3">
        <f t="shared" si="45"/>
        <v>8.7646033908530541E-3</v>
      </c>
      <c r="AP156" s="3">
        <f t="shared" si="45"/>
        <v>8.5276444359925208E-3</v>
      </c>
      <c r="AQ156" s="3">
        <f t="shared" si="45"/>
        <v>8.298136143875201E-3</v>
      </c>
      <c r="AR156" s="3">
        <f t="shared" si="45"/>
        <v>8.0758571344694552E-3</v>
      </c>
      <c r="AS156" s="3">
        <f t="shared" si="45"/>
        <v>7.8605825239628224E-3</v>
      </c>
      <c r="AT156" s="3">
        <f t="shared" si="45"/>
        <v>7.6520879548236387E-3</v>
      </c>
      <c r="AU156" s="3">
        <f t="shared" si="45"/>
        <v>7.450152222833184E-3</v>
      </c>
      <c r="AV156" s="3">
        <f t="shared" si="45"/>
        <v>7.2545589483348216E-3</v>
      </c>
      <c r="AW156" s="3">
        <f t="shared" si="45"/>
        <v>7.0650975978761021E-3</v>
      </c>
      <c r="AX156" s="3">
        <f t="shared" si="45"/>
        <v>6.8815640660033761E-3</v>
      </c>
      <c r="AY156" s="3">
        <f t="shared" si="45"/>
        <v>6.7037609609428284E-3</v>
      </c>
      <c r="AZ156" s="3">
        <f t="shared" si="45"/>
        <v>6.5314976926962309E-3</v>
      </c>
      <c r="BA156" s="3">
        <f t="shared" si="45"/>
        <v>6.3645904310218882E-3</v>
      </c>
      <c r="BB156" s="3">
        <f t="shared" si="45"/>
        <v>6.2028619794656237E-3</v>
      </c>
      <c r="BC156" s="3">
        <f t="shared" si="45"/>
        <v>6.046141596946164E-3</v>
      </c>
      <c r="BD156" s="3">
        <f t="shared" si="45"/>
        <v>5.8942647883217791E-3</v>
      </c>
      <c r="BE156" s="3">
        <f t="shared" si="45"/>
        <v>5.7470730784177082E-3</v>
      </c>
      <c r="BF156" s="3">
        <f t="shared" si="45"/>
        <v>5.6044137792372606E-3</v>
      </c>
      <c r="BG156" s="3">
        <f t="shared" si="45"/>
        <v>5.5641005903910301E-3</v>
      </c>
      <c r="BH156" s="3">
        <f t="shared" si="45"/>
        <v>5.4076914702745338E-3</v>
      </c>
      <c r="BI156" s="3">
        <f t="shared" si="45"/>
        <v>5.0962182274378875E-3</v>
      </c>
    </row>
    <row r="157" spans="1:124" ht="21" customHeight="1" x14ac:dyDescent="0.35">
      <c r="A157" s="50" t="s">
        <v>242</v>
      </c>
      <c r="B157" s="3"/>
      <c r="C157" s="3">
        <f t="shared" ref="C157:BI157" si="46">+C152*C154*(1+B16)-1</f>
        <v>4.2216794903379595E-2</v>
      </c>
      <c r="D157" s="3">
        <f t="shared" si="46"/>
        <v>3.671894953269117E-2</v>
      </c>
      <c r="E157" s="3">
        <f t="shared" si="46"/>
        <v>3.3405482743513293E-2</v>
      </c>
      <c r="F157" s="3">
        <f t="shared" si="46"/>
        <v>3.0791134920245211E-2</v>
      </c>
      <c r="G157" s="3">
        <f t="shared" si="46"/>
        <v>2.8643176718540664E-2</v>
      </c>
      <c r="H157" s="3">
        <f t="shared" si="46"/>
        <v>2.6841405856078859E-2</v>
      </c>
      <c r="I157" s="3">
        <f t="shared" si="46"/>
        <v>2.533305227214E-2</v>
      </c>
      <c r="J157" s="3">
        <f t="shared" si="46"/>
        <v>2.411687950595276E-2</v>
      </c>
      <c r="K157" s="3">
        <f t="shared" si="46"/>
        <v>2.3240541970407369E-2</v>
      </c>
      <c r="L157" s="3">
        <f t="shared" si="46"/>
        <v>2.242514904618087E-2</v>
      </c>
      <c r="M157" s="3">
        <f t="shared" si="46"/>
        <v>2.1539979433937262E-2</v>
      </c>
      <c r="N157" s="3">
        <f t="shared" si="46"/>
        <v>2.0646824052307666E-2</v>
      </c>
      <c r="O157" s="3">
        <f t="shared" si="46"/>
        <v>1.9777592802634469E-2</v>
      </c>
      <c r="P157" s="3">
        <f t="shared" si="46"/>
        <v>1.8946887588091821E-2</v>
      </c>
      <c r="Q157" s="3">
        <f t="shared" si="46"/>
        <v>1.8160188069180405E-2</v>
      </c>
      <c r="R157" s="3">
        <f t="shared" si="46"/>
        <v>1.741830453969051E-2</v>
      </c>
      <c r="S157" s="3">
        <f t="shared" si="46"/>
        <v>1.6719785090565376E-2</v>
      </c>
      <c r="T157" s="3">
        <f t="shared" si="46"/>
        <v>1.6062217297123205E-2</v>
      </c>
      <c r="U157" s="3">
        <f t="shared" si="46"/>
        <v>1.5446037542208302E-2</v>
      </c>
      <c r="V157" s="3">
        <f t="shared" si="46"/>
        <v>1.4866123714714741E-2</v>
      </c>
      <c r="W157" s="3">
        <f t="shared" si="46"/>
        <v>1.4318509665347978E-2</v>
      </c>
      <c r="X157" s="3">
        <f t="shared" si="46"/>
        <v>1.3800002992599536E-2</v>
      </c>
      <c r="Y157" s="3">
        <f t="shared" si="46"/>
        <v>1.3307954936124355E-2</v>
      </c>
      <c r="Z157" s="3">
        <f t="shared" si="46"/>
        <v>1.2840115803568697E-2</v>
      </c>
      <c r="AA157" s="3">
        <f t="shared" si="46"/>
        <v>1.2394541395062797E-2</v>
      </c>
      <c r="AB157" s="3">
        <f t="shared" si="46"/>
        <v>1.1969529903268272E-2</v>
      </c>
      <c r="AC157" s="3">
        <f t="shared" si="46"/>
        <v>1.1563577248861145E-2</v>
      </c>
      <c r="AD157" s="3">
        <f t="shared" si="46"/>
        <v>1.1175344478737026E-2</v>
      </c>
      <c r="AE157" s="3">
        <f t="shared" si="46"/>
        <v>1.0803632902842475E-2</v>
      </c>
      <c r="AF157" s="3">
        <f t="shared" si="46"/>
        <v>1.0417317711710172E-2</v>
      </c>
      <c r="AG157" s="3">
        <f t="shared" si="46"/>
        <v>1.0087804268128941E-2</v>
      </c>
      <c r="AH157" s="3">
        <f t="shared" si="46"/>
        <v>9.7677035187153649E-3</v>
      </c>
      <c r="AI157" s="3">
        <f t="shared" si="46"/>
        <v>9.4575715434999097E-3</v>
      </c>
      <c r="AJ157" s="3">
        <f t="shared" si="46"/>
        <v>9.1576027446058639E-3</v>
      </c>
      <c r="AK157" s="3">
        <f t="shared" si="46"/>
        <v>8.8677596332040753E-3</v>
      </c>
      <c r="AL157" s="3">
        <f t="shared" si="46"/>
        <v>8.5878597338298057E-3</v>
      </c>
      <c r="AM157" s="3">
        <f t="shared" si="46"/>
        <v>8.3176334516144035E-3</v>
      </c>
      <c r="AN157" s="3">
        <f t="shared" si="46"/>
        <v>8.0567623244955922E-3</v>
      </c>
      <c r="AO157" s="3">
        <f t="shared" si="46"/>
        <v>7.8049040562375716E-3</v>
      </c>
      <c r="AP157" s="3">
        <f t="shared" si="46"/>
        <v>7.5617086649844012E-3</v>
      </c>
      <c r="AQ157" s="3">
        <f t="shared" si="46"/>
        <v>7.3268286817935735E-3</v>
      </c>
      <c r="AR157" s="3">
        <f t="shared" si="46"/>
        <v>7.0999253836547815E-3</v>
      </c>
      <c r="AS157" s="3">
        <f t="shared" si="46"/>
        <v>6.880672401455179E-3</v>
      </c>
      <c r="AT157" s="3">
        <f t="shared" si="46"/>
        <v>6.6687576068698018E-3</v>
      </c>
      <c r="AU157" s="3">
        <f t="shared" si="46"/>
        <v>6.4638838863813053E-3</v>
      </c>
      <c r="AV157" s="3">
        <f t="shared" si="46"/>
        <v>6.2657692102470186E-3</v>
      </c>
      <c r="AW157" s="3">
        <f t="shared" si="46"/>
        <v>6.0741462685689473E-3</v>
      </c>
      <c r="AX157" s="3">
        <f t="shared" si="46"/>
        <v>5.8887618548340015E-3</v>
      </c>
      <c r="AY157" s="3">
        <f t="shared" si="46"/>
        <v>5.7093761152837708E-3</v>
      </c>
      <c r="AZ157" s="3">
        <f t="shared" si="46"/>
        <v>5.535761740703915E-3</v>
      </c>
      <c r="BA157" s="3">
        <f t="shared" si="46"/>
        <v>5.3677031491625726E-3</v>
      </c>
      <c r="BB157" s="3">
        <f t="shared" si="46"/>
        <v>5.2049956894868465E-3</v>
      </c>
      <c r="BC157" s="3">
        <f t="shared" si="46"/>
        <v>5.0474448828201623E-3</v>
      </c>
      <c r="BD157" s="3">
        <f t="shared" si="46"/>
        <v>4.8948657114624705E-3</v>
      </c>
      <c r="BE157" s="3">
        <f t="shared" si="46"/>
        <v>4.7470819588828483E-3</v>
      </c>
      <c r="BF157" s="3">
        <f t="shared" si="46"/>
        <v>4.6039256014871466E-3</v>
      </c>
      <c r="BG157" s="3">
        <f t="shared" si="46"/>
        <v>4.563099567961304E-3</v>
      </c>
      <c r="BH157" s="3">
        <f t="shared" si="46"/>
        <v>4.4063676357453119E-3</v>
      </c>
      <c r="BI157" s="3">
        <f t="shared" si="46"/>
        <v>4.0947905730144285E-3</v>
      </c>
    </row>
    <row r="158" spans="1:124" ht="21" customHeight="1" x14ac:dyDescent="0.35">
      <c r="A158" s="50" t="s">
        <v>243</v>
      </c>
      <c r="B158" s="3"/>
      <c r="C158" s="3">
        <f t="shared" ref="C158:BI158" si="47">+C155*(1+B9)-1</f>
        <v>3.0262851067084151E-2</v>
      </c>
      <c r="D158" s="3">
        <f t="shared" si="47"/>
        <v>2.7445716489106653E-2</v>
      </c>
      <c r="E158" s="3">
        <f t="shared" si="47"/>
        <v>2.5538076910420315E-2</v>
      </c>
      <c r="F158" s="3">
        <f t="shared" si="47"/>
        <v>2.4133213358548344E-2</v>
      </c>
      <c r="G158" s="3">
        <f t="shared" si="47"/>
        <v>2.3027692121177612E-2</v>
      </c>
      <c r="H158" s="3">
        <f t="shared" si="47"/>
        <v>2.212526395785841E-2</v>
      </c>
      <c r="I158" s="3">
        <f t="shared" si="47"/>
        <v>2.139320855227278E-2</v>
      </c>
      <c r="J158" s="3">
        <f t="shared" si="47"/>
        <v>2.0847284613521255E-2</v>
      </c>
      <c r="K158" s="3">
        <f t="shared" si="47"/>
        <v>2.0549664589500027E-2</v>
      </c>
      <c r="L158" s="3">
        <f t="shared" si="47"/>
        <v>2.0234745326106474E-2</v>
      </c>
      <c r="M158" s="3">
        <f t="shared" si="47"/>
        <v>1.9782604140288207E-2</v>
      </c>
      <c r="N158" s="3">
        <f t="shared" si="47"/>
        <v>1.9263955217954765E-2</v>
      </c>
      <c r="O158" s="3">
        <f t="shared" si="47"/>
        <v>1.8718546107899359E-2</v>
      </c>
      <c r="P158" s="3">
        <f t="shared" si="47"/>
        <v>1.816781053824057E-2</v>
      </c>
      <c r="Q158" s="3">
        <f t="shared" si="47"/>
        <v>1.7623157606738715E-2</v>
      </c>
      <c r="R158" s="3">
        <f t="shared" si="47"/>
        <v>1.7090532476045306E-2</v>
      </c>
      <c r="S158" s="3">
        <f t="shared" si="47"/>
        <v>1.6572925114596959E-2</v>
      </c>
      <c r="T158" s="3">
        <f t="shared" si="47"/>
        <v>1.6071763525266958E-2</v>
      </c>
      <c r="U158" s="3">
        <f t="shared" si="47"/>
        <v>1.5590804266461866E-2</v>
      </c>
      <c r="V158" s="3">
        <f t="shared" si="47"/>
        <v>1.51277951549178E-2</v>
      </c>
      <c r="W158" s="3">
        <f t="shared" si="47"/>
        <v>1.468124991034192E-2</v>
      </c>
      <c r="X158" s="3">
        <f t="shared" si="47"/>
        <v>1.4250119444608078E-2</v>
      </c>
      <c r="Y158" s="3">
        <f t="shared" si="47"/>
        <v>1.3833607712642415E-2</v>
      </c>
      <c r="Z158" s="3">
        <f t="shared" si="47"/>
        <v>1.3431066712219941E-2</v>
      </c>
      <c r="AA158" s="3">
        <f t="shared" si="47"/>
        <v>1.3041937032521878E-2</v>
      </c>
      <c r="AB158" s="3">
        <f t="shared" si="47"/>
        <v>1.2665714204445733E-2</v>
      </c>
      <c r="AC158" s="3">
        <f t="shared" si="47"/>
        <v>1.2301929465664774E-2</v>
      </c>
      <c r="AD158" s="3">
        <f t="shared" si="47"/>
        <v>1.1950139124252468E-2</v>
      </c>
      <c r="AE158" s="3">
        <f t="shared" si="47"/>
        <v>1.1609918672939257E-2</v>
      </c>
      <c r="AF158" s="3">
        <f t="shared" si="47"/>
        <v>1.1250788020370717E-2</v>
      </c>
      <c r="AG158" s="3">
        <f t="shared" si="47"/>
        <v>1.0944790809856775E-2</v>
      </c>
      <c r="AH158" s="3">
        <f t="shared" si="47"/>
        <v>1.0645001192728154E-2</v>
      </c>
      <c r="AI158" s="3">
        <f t="shared" si="47"/>
        <v>1.0352409183576938E-2</v>
      </c>
      <c r="AJ158" s="3">
        <f t="shared" si="47"/>
        <v>1.0067584373457228E-2</v>
      </c>
      <c r="AK158" s="3">
        <f t="shared" si="47"/>
        <v>9.7908136828417369E-3</v>
      </c>
      <c r="AL158" s="3">
        <f t="shared" si="47"/>
        <v>9.5221951512969305E-3</v>
      </c>
      <c r="AM158" s="3">
        <f t="shared" si="47"/>
        <v>9.2617017545526537E-3</v>
      </c>
      <c r="AN158" s="3">
        <f t="shared" si="47"/>
        <v>9.0092247977600071E-3</v>
      </c>
      <c r="AO158" s="3">
        <f t="shared" si="47"/>
        <v>8.7646033908530541E-3</v>
      </c>
      <c r="AP158" s="3">
        <f t="shared" si="47"/>
        <v>8.5276444359925208E-3</v>
      </c>
      <c r="AQ158" s="3">
        <f t="shared" si="47"/>
        <v>8.298136143875201E-3</v>
      </c>
      <c r="AR158" s="3">
        <f t="shared" si="47"/>
        <v>8.0758571344694552E-3</v>
      </c>
      <c r="AS158" s="3">
        <f t="shared" si="47"/>
        <v>7.8605825239628224E-3</v>
      </c>
      <c r="AT158" s="3">
        <f t="shared" si="47"/>
        <v>7.6520879548236387E-3</v>
      </c>
      <c r="AU158" s="3">
        <f t="shared" si="47"/>
        <v>7.450152222833184E-3</v>
      </c>
      <c r="AV158" s="3">
        <f t="shared" si="47"/>
        <v>7.2545589483348216E-3</v>
      </c>
      <c r="AW158" s="3">
        <f t="shared" si="47"/>
        <v>7.0650975978761021E-3</v>
      </c>
      <c r="AX158" s="3">
        <f t="shared" si="47"/>
        <v>6.8815640660033761E-3</v>
      </c>
      <c r="AY158" s="3">
        <f t="shared" si="47"/>
        <v>6.7037609609428284E-3</v>
      </c>
      <c r="AZ158" s="3">
        <f t="shared" si="47"/>
        <v>6.5314976926962309E-3</v>
      </c>
      <c r="BA158" s="3">
        <f t="shared" si="47"/>
        <v>6.3645904310218882E-3</v>
      </c>
      <c r="BB158" s="3">
        <f t="shared" si="47"/>
        <v>6.2028619794656237E-3</v>
      </c>
      <c r="BC158" s="3">
        <f t="shared" si="47"/>
        <v>6.046141596946164E-3</v>
      </c>
      <c r="BD158" s="3">
        <f t="shared" si="47"/>
        <v>5.8942647883217791E-3</v>
      </c>
      <c r="BE158" s="3">
        <f t="shared" si="47"/>
        <v>5.7470730784177082E-3</v>
      </c>
      <c r="BF158" s="3">
        <f t="shared" si="47"/>
        <v>5.6044137792372606E-3</v>
      </c>
      <c r="BG158" s="3">
        <f t="shared" si="47"/>
        <v>5.5641005903910301E-3</v>
      </c>
      <c r="BH158" s="3">
        <f t="shared" si="47"/>
        <v>5.4076914702745338E-3</v>
      </c>
      <c r="BI158" s="3">
        <f t="shared" si="47"/>
        <v>5.0962182274378875E-3</v>
      </c>
    </row>
    <row r="159" spans="1:124" ht="21" customHeight="1" x14ac:dyDescent="0.35">
      <c r="A159" s="75" t="s">
        <v>245</v>
      </c>
      <c r="B159" s="51">
        <v>1</v>
      </c>
      <c r="C159" s="51">
        <f>+B159/(1+C156)^5</f>
        <v>0.86150895838570229</v>
      </c>
      <c r="D159" s="51">
        <f t="shared" ref="D159:BI159" si="48">+C159/(1+D156)^5</f>
        <v>0.75242872752041368</v>
      </c>
      <c r="E159" s="51">
        <f t="shared" si="48"/>
        <v>0.66329453554289663</v>
      </c>
      <c r="F159" s="51">
        <f t="shared" si="48"/>
        <v>0.58874084279776917</v>
      </c>
      <c r="G159" s="51">
        <f t="shared" si="48"/>
        <v>0.52539655007596431</v>
      </c>
      <c r="H159" s="51">
        <f t="shared" si="48"/>
        <v>0.47094110899965136</v>
      </c>
      <c r="I159" s="51">
        <f t="shared" si="48"/>
        <v>0.42364469564542734</v>
      </c>
      <c r="J159" s="51">
        <f t="shared" si="48"/>
        <v>0.38211834091918595</v>
      </c>
      <c r="K159" s="51">
        <f t="shared" si="48"/>
        <v>0.34516532619346485</v>
      </c>
      <c r="L159" s="51">
        <f t="shared" si="48"/>
        <v>0.31226737505094398</v>
      </c>
      <c r="M159" s="51">
        <f t="shared" si="48"/>
        <v>0.28313177780417709</v>
      </c>
      <c r="N159" s="51">
        <f t="shared" si="48"/>
        <v>0.25736843663034242</v>
      </c>
      <c r="O159" s="51">
        <f t="shared" si="48"/>
        <v>0.23457634813040629</v>
      </c>
      <c r="P159" s="51">
        <f t="shared" si="48"/>
        <v>0.21438155051116409</v>
      </c>
      <c r="Q159" s="51">
        <f t="shared" si="48"/>
        <v>0.19645021130857387</v>
      </c>
      <c r="R159" s="51">
        <f t="shared" si="48"/>
        <v>0.180490538905758</v>
      </c>
      <c r="S159" s="51">
        <f t="shared" si="48"/>
        <v>0.1662500359689833</v>
      </c>
      <c r="T159" s="51">
        <f t="shared" si="48"/>
        <v>0.15351111819259036</v>
      </c>
      <c r="U159" s="51">
        <f t="shared" si="48"/>
        <v>0.1420842816117053</v>
      </c>
      <c r="V159" s="51">
        <f t="shared" si="48"/>
        <v>0.1318082030015956</v>
      </c>
      <c r="W159" s="51">
        <f t="shared" si="48"/>
        <v>0.12254462385314234</v>
      </c>
      <c r="X159" s="51">
        <f t="shared" si="48"/>
        <v>0.11417444928725085</v>
      </c>
      <c r="Y159" s="51">
        <f t="shared" si="48"/>
        <v>0.10659467441712571</v>
      </c>
      <c r="Z159" s="51">
        <f t="shared" si="48"/>
        <v>9.9715906149404565E-2</v>
      </c>
      <c r="AA159" s="51">
        <f t="shared" si="48"/>
        <v>9.3460331858265674E-2</v>
      </c>
      <c r="AB159" s="51">
        <f t="shared" si="48"/>
        <v>8.7760034869003786E-2</v>
      </c>
      <c r="AC159" s="51">
        <f t="shared" si="48"/>
        <v>8.2555585910899093E-2</v>
      </c>
      <c r="AD159" s="51">
        <f t="shared" si="48"/>
        <v>7.7794857888378449E-2</v>
      </c>
      <c r="AE159" s="51">
        <f t="shared" si="48"/>
        <v>7.3432023762385348E-2</v>
      </c>
      <c r="AF159" s="51">
        <f t="shared" si="48"/>
        <v>6.9437029277415588E-2</v>
      </c>
      <c r="AG159" s="51">
        <f t="shared" si="48"/>
        <v>6.5758808919177236E-2</v>
      </c>
      <c r="AH159" s="51">
        <f t="shared" si="48"/>
        <v>6.2367850589995562E-2</v>
      </c>
      <c r="AI159" s="51">
        <f t="shared" si="48"/>
        <v>5.9237452048241969E-2</v>
      </c>
      <c r="AJ159" s="51">
        <f t="shared" si="48"/>
        <v>5.6343549316777139E-2</v>
      </c>
      <c r="AK159" s="51">
        <f t="shared" si="48"/>
        <v>5.3664504541060712E-2</v>
      </c>
      <c r="AL159" s="51">
        <f t="shared" si="48"/>
        <v>5.1180881975391321E-2</v>
      </c>
      <c r="AM159" s="51">
        <f t="shared" si="48"/>
        <v>4.8875228205028008E-2</v>
      </c>
      <c r="AN159" s="51">
        <f t="shared" si="48"/>
        <v>4.6731865102308763E-2</v>
      </c>
      <c r="AO159" s="51">
        <f t="shared" si="48"/>
        <v>4.4736699476623086E-2</v>
      </c>
      <c r="AP159" s="51">
        <f t="shared" si="48"/>
        <v>4.2877050729469436E-2</v>
      </c>
      <c r="AQ159" s="51">
        <f t="shared" si="48"/>
        <v>4.1141496331512817E-2</v>
      </c>
      <c r="AR159" s="51">
        <f t="shared" si="48"/>
        <v>3.9519734142794631E-2</v>
      </c>
      <c r="AS159" s="51">
        <f t="shared" si="48"/>
        <v>3.8002460218586019E-2</v>
      </c>
      <c r="AT159" s="51">
        <f t="shared" si="48"/>
        <v>3.6581260608761879E-2</v>
      </c>
      <c r="AU159" s="51">
        <f t="shared" si="48"/>
        <v>3.524851566223372E-2</v>
      </c>
      <c r="AV159" s="51">
        <f t="shared" si="48"/>
        <v>3.3997315425802158E-2</v>
      </c>
      <c r="AW159" s="51">
        <f t="shared" si="48"/>
        <v>3.2821384840418459E-2</v>
      </c>
      <c r="AX159" s="51">
        <f t="shared" si="48"/>
        <v>3.17150175647712E-2</v>
      </c>
      <c r="AY159" s="51">
        <f t="shared" si="48"/>
        <v>3.0673017383548128E-2</v>
      </c>
      <c r="AZ159" s="51">
        <f t="shared" si="48"/>
        <v>2.9690646278755384E-2</v>
      </c>
      <c r="BA159" s="51">
        <f t="shared" si="48"/>
        <v>2.8763578353751193E-2</v>
      </c>
      <c r="BB159" s="51">
        <f t="shared" si="48"/>
        <v>2.788785889987867E-2</v>
      </c>
      <c r="BC159" s="51">
        <f t="shared" si="48"/>
        <v>2.7059867984667491E-2</v>
      </c>
      <c r="BD159" s="51">
        <f t="shared" si="48"/>
        <v>2.6276288019058253E-2</v>
      </c>
      <c r="BE159" s="51">
        <f t="shared" si="48"/>
        <v>2.5534074829847441E-2</v>
      </c>
      <c r="BF159" s="51">
        <f t="shared" si="48"/>
        <v>2.4830431823531739E-2</v>
      </c>
      <c r="BG159" s="51">
        <f t="shared" si="48"/>
        <v>2.4151019626087684E-2</v>
      </c>
      <c r="BH159" s="51">
        <f t="shared" si="48"/>
        <v>2.3508474842097841E-2</v>
      </c>
      <c r="BI159" s="51">
        <f t="shared" si="48"/>
        <v>2.2918503684094312E-2</v>
      </c>
      <c r="BJ159" s="51"/>
      <c r="BK159" s="51"/>
      <c r="BL159" s="51"/>
      <c r="BM159" s="51"/>
      <c r="BN159" s="51"/>
      <c r="BO159" s="51"/>
      <c r="BP159" s="51"/>
      <c r="BQ159" s="51"/>
      <c r="BR159" s="51"/>
      <c r="BS159" s="51"/>
      <c r="BT159" s="51"/>
      <c r="BU159" s="51"/>
      <c r="BV159" s="51"/>
      <c r="BW159" s="51"/>
      <c r="BX159" s="51"/>
      <c r="BY159" s="51"/>
      <c r="BZ159" s="51"/>
      <c r="CA159" s="51"/>
      <c r="CB159" s="51"/>
      <c r="CC159" s="51"/>
      <c r="CD159" s="51"/>
      <c r="CE159" s="51"/>
      <c r="CF159" s="51"/>
      <c r="CG159" s="51"/>
      <c r="CH159" s="51"/>
      <c r="CI159" s="51"/>
      <c r="CJ159" s="51"/>
      <c r="CK159" s="51"/>
      <c r="CL159" s="51"/>
      <c r="CM159" s="51"/>
      <c r="CN159" s="51"/>
      <c r="CO159" s="51"/>
      <c r="CP159" s="51"/>
      <c r="CQ159" s="51"/>
      <c r="CR159" s="51"/>
      <c r="CS159" s="51"/>
      <c r="CT159" s="51"/>
      <c r="CU159" s="51"/>
      <c r="CV159" s="51"/>
      <c r="CW159" s="51"/>
      <c r="CX159" s="51"/>
      <c r="CY159" s="51"/>
      <c r="CZ159" s="51"/>
      <c r="DA159" s="51"/>
      <c r="DB159" s="51"/>
      <c r="DC159" s="51"/>
      <c r="DD159" s="51"/>
      <c r="DE159" s="51"/>
      <c r="DF159" s="51"/>
      <c r="DG159" s="51"/>
      <c r="DH159" s="51"/>
      <c r="DI159" s="51"/>
      <c r="DJ159" s="51"/>
      <c r="DK159" s="51"/>
      <c r="DL159" s="51"/>
      <c r="DM159" s="51"/>
      <c r="DN159" s="51"/>
      <c r="DO159" s="51"/>
      <c r="DP159" s="51"/>
      <c r="DQ159" s="51"/>
      <c r="DR159" s="51"/>
      <c r="DS159" s="51"/>
      <c r="DT159" s="51"/>
    </row>
    <row r="160" spans="1:124" ht="21" customHeight="1" x14ac:dyDescent="0.35">
      <c r="A160" s="76"/>
      <c r="C160" s="51"/>
      <c r="D160" s="51"/>
      <c r="E160" s="51"/>
      <c r="F160" s="51"/>
      <c r="G160" s="51"/>
      <c r="H160" s="51"/>
      <c r="I160" s="51"/>
      <c r="J160" s="51"/>
      <c r="K160" s="51"/>
      <c r="L160" s="51"/>
      <c r="M160" s="51"/>
      <c r="N160" s="51"/>
      <c r="O160" s="51"/>
      <c r="P160" s="51"/>
      <c r="Q160" s="51"/>
      <c r="R160" s="51"/>
      <c r="S160" s="51"/>
      <c r="T160" s="51"/>
      <c r="U160" s="51"/>
      <c r="V160" s="51"/>
      <c r="W160" s="51"/>
      <c r="X160" s="51"/>
      <c r="Y160" s="51"/>
      <c r="Z160" s="51"/>
      <c r="AA160" s="51"/>
      <c r="AB160" s="51"/>
      <c r="AC160" s="51"/>
      <c r="AD160" s="51"/>
      <c r="AE160" s="51"/>
      <c r="AF160" s="51"/>
      <c r="AG160" s="51"/>
      <c r="AH160" s="51"/>
      <c r="AI160" s="51"/>
      <c r="AJ160" s="51"/>
      <c r="AK160" s="51"/>
      <c r="AL160" s="51"/>
      <c r="AM160" s="51"/>
      <c r="AN160" s="51"/>
      <c r="AO160" s="51"/>
      <c r="AP160" s="51"/>
      <c r="AQ160" s="51"/>
      <c r="AR160" s="51"/>
      <c r="AS160" s="51"/>
      <c r="AT160" s="51"/>
      <c r="AU160" s="51"/>
      <c r="AV160" s="51"/>
      <c r="AW160" s="51"/>
      <c r="AX160" s="51"/>
      <c r="AY160" s="51"/>
      <c r="AZ160" s="51"/>
      <c r="BA160" s="51"/>
      <c r="BB160" s="51"/>
      <c r="BC160" s="51"/>
      <c r="BD160" s="51"/>
      <c r="BE160" s="51"/>
      <c r="BF160" s="51"/>
      <c r="BG160" s="51"/>
      <c r="BH160" s="51"/>
      <c r="BI160" s="51"/>
      <c r="BJ160" s="51"/>
      <c r="BK160" s="51"/>
      <c r="BL160" s="51"/>
      <c r="BM160" s="51"/>
      <c r="BN160" s="51"/>
      <c r="BO160" s="51"/>
      <c r="BP160" s="51"/>
      <c r="BQ160" s="51"/>
      <c r="BR160" s="51"/>
      <c r="BS160" s="51"/>
      <c r="BT160" s="51"/>
      <c r="BU160" s="51"/>
      <c r="BV160" s="51"/>
      <c r="BW160" s="51"/>
      <c r="BX160" s="51"/>
      <c r="BY160" s="51"/>
      <c r="BZ160" s="51"/>
      <c r="CA160" s="51"/>
      <c r="CB160" s="51"/>
      <c r="CC160" s="51"/>
      <c r="CD160" s="51"/>
      <c r="CE160" s="51"/>
      <c r="CF160" s="51"/>
      <c r="CG160" s="51"/>
      <c r="CH160" s="51"/>
      <c r="CI160" s="51"/>
      <c r="CJ160" s="51"/>
      <c r="CK160" s="51"/>
      <c r="CL160" s="51"/>
      <c r="CM160" s="51"/>
      <c r="CN160" s="51"/>
      <c r="CO160" s="51"/>
      <c r="CP160" s="51"/>
      <c r="CQ160" s="51"/>
      <c r="CR160" s="51"/>
      <c r="CS160" s="51"/>
      <c r="CT160" s="51"/>
      <c r="CU160" s="51"/>
      <c r="CV160" s="51"/>
      <c r="CW160" s="51"/>
      <c r="CX160" s="51"/>
      <c r="CY160" s="51"/>
      <c r="CZ160" s="51"/>
      <c r="DA160" s="51"/>
      <c r="DB160" s="51"/>
      <c r="DC160" s="51"/>
      <c r="DD160" s="51"/>
      <c r="DE160" s="51"/>
      <c r="DF160" s="51"/>
      <c r="DG160" s="51"/>
      <c r="DH160" s="51"/>
      <c r="DI160" s="51"/>
      <c r="DJ160" s="51"/>
      <c r="DK160" s="51"/>
      <c r="DL160" s="51"/>
      <c r="DM160" s="51"/>
      <c r="DN160" s="51"/>
      <c r="DO160" s="51"/>
      <c r="DP160" s="51"/>
      <c r="DQ160" s="51"/>
      <c r="DR160" s="51"/>
      <c r="DS160" s="51"/>
      <c r="DT160" s="51"/>
    </row>
    <row r="161" spans="1:124" ht="21" customHeight="1" x14ac:dyDescent="0.35">
      <c r="A161" s="76"/>
      <c r="C161" s="51"/>
      <c r="D161" s="51"/>
      <c r="E161" s="51"/>
      <c r="F161" s="51"/>
      <c r="G161" s="51"/>
      <c r="H161" s="51"/>
      <c r="I161" s="51"/>
      <c r="J161" s="51"/>
      <c r="K161" s="51"/>
      <c r="L161" s="51"/>
      <c r="M161" s="51"/>
      <c r="N161" s="51"/>
      <c r="O161" s="51"/>
      <c r="P161" s="51"/>
      <c r="Q161" s="51"/>
      <c r="R161" s="51"/>
      <c r="S161" s="51"/>
      <c r="T161" s="51"/>
      <c r="U161" s="51"/>
      <c r="V161" s="51"/>
      <c r="W161" s="51"/>
      <c r="X161" s="51"/>
      <c r="Y161" s="51"/>
      <c r="Z161" s="51"/>
      <c r="AA161" s="51"/>
      <c r="AB161" s="51"/>
      <c r="AC161" s="51"/>
      <c r="AD161" s="51"/>
      <c r="AE161" s="51"/>
      <c r="AF161" s="51"/>
      <c r="AG161" s="51"/>
      <c r="AH161" s="51"/>
      <c r="AI161" s="51"/>
      <c r="AJ161" s="51"/>
      <c r="AK161" s="51"/>
      <c r="AL161" s="51"/>
      <c r="AM161" s="51"/>
      <c r="AN161" s="51"/>
      <c r="AO161" s="51"/>
      <c r="AP161" s="51"/>
      <c r="AQ161" s="51"/>
      <c r="AR161" s="51"/>
      <c r="AS161" s="51"/>
      <c r="AT161" s="51"/>
      <c r="AU161" s="51"/>
      <c r="AV161" s="51"/>
      <c r="AW161" s="51"/>
      <c r="AX161" s="51"/>
      <c r="AY161" s="51"/>
      <c r="AZ161" s="51"/>
      <c r="BA161" s="51"/>
      <c r="BB161" s="51"/>
      <c r="BC161" s="51"/>
      <c r="BD161" s="51"/>
      <c r="BE161" s="51"/>
      <c r="BF161" s="51"/>
      <c r="BG161" s="51"/>
      <c r="BH161" s="51"/>
      <c r="BI161" s="51"/>
      <c r="BJ161" s="51"/>
      <c r="BK161" s="51"/>
      <c r="BL161" s="51"/>
      <c r="BM161" s="51"/>
      <c r="BN161" s="51"/>
      <c r="BO161" s="51"/>
      <c r="BP161" s="51"/>
      <c r="BQ161" s="51"/>
      <c r="BR161" s="51"/>
      <c r="BS161" s="51"/>
      <c r="BT161" s="51"/>
      <c r="BU161" s="51"/>
      <c r="BV161" s="51"/>
      <c r="BW161" s="51"/>
      <c r="BX161" s="51"/>
      <c r="BY161" s="51"/>
      <c r="BZ161" s="51"/>
      <c r="CA161" s="51"/>
      <c r="CB161" s="51"/>
      <c r="CC161" s="51"/>
      <c r="CD161" s="51"/>
      <c r="CE161" s="51"/>
      <c r="CF161" s="51"/>
      <c r="CG161" s="51"/>
      <c r="CH161" s="51"/>
      <c r="CI161" s="51"/>
      <c r="CJ161" s="51"/>
      <c r="CK161" s="51"/>
      <c r="CL161" s="51"/>
      <c r="CM161" s="51"/>
      <c r="CN161" s="51"/>
      <c r="CO161" s="51"/>
      <c r="CP161" s="51"/>
      <c r="CQ161" s="51"/>
      <c r="CR161" s="51"/>
      <c r="CS161" s="51"/>
      <c r="CT161" s="51"/>
      <c r="CU161" s="51"/>
      <c r="CV161" s="51"/>
      <c r="CW161" s="51"/>
      <c r="CX161" s="51"/>
      <c r="CY161" s="51"/>
      <c r="CZ161" s="51"/>
      <c r="DA161" s="51"/>
      <c r="DB161" s="51"/>
      <c r="DC161" s="51"/>
      <c r="DD161" s="51"/>
      <c r="DE161" s="51"/>
      <c r="DF161" s="51"/>
      <c r="DG161" s="51"/>
      <c r="DH161" s="51"/>
      <c r="DI161" s="51"/>
      <c r="DJ161" s="51"/>
      <c r="DK161" s="51"/>
      <c r="DL161" s="51"/>
      <c r="DM161" s="51"/>
      <c r="DN161" s="51"/>
      <c r="DO161" s="51"/>
      <c r="DP161" s="51"/>
      <c r="DQ161" s="51"/>
      <c r="DR161" s="51"/>
      <c r="DS161" s="51"/>
      <c r="DT161" s="51"/>
    </row>
    <row r="162" spans="1:124" s="57" customFormat="1" ht="45.65" customHeight="1" thickBot="1" x14ac:dyDescent="0.4">
      <c r="A162" s="84" t="s">
        <v>61</v>
      </c>
      <c r="B162" s="57" t="s">
        <v>342</v>
      </c>
      <c r="D162" s="57" t="s">
        <v>343</v>
      </c>
      <c r="E162" s="57" t="s">
        <v>340</v>
      </c>
      <c r="F162" s="153" t="s">
        <v>341</v>
      </c>
      <c r="G162" s="153"/>
    </row>
    <row r="163" spans="1:124" ht="21" customHeight="1" thickTop="1" x14ac:dyDescent="0.35">
      <c r="A163" s="15" t="s">
        <v>61</v>
      </c>
      <c r="B163" s="3"/>
      <c r="F163" s="3" t="s">
        <v>251</v>
      </c>
      <c r="G163" s="3" t="s">
        <v>252</v>
      </c>
    </row>
    <row r="164" spans="1:124" ht="21" customHeight="1" x14ac:dyDescent="0.35">
      <c r="A164" s="15" t="s">
        <v>244</v>
      </c>
      <c r="B164" s="3">
        <f>+SUMPRODUCT(B159:T159*B124:T124)*5</f>
        <v>5262.0555553844279</v>
      </c>
      <c r="D164" s="3">
        <f>+SUMPRODUCT(Base!B155:T155*B124:T124)*5</f>
        <v>2212.3539081362514</v>
      </c>
      <c r="E164" s="2">
        <v>2263.2194535643148</v>
      </c>
      <c r="F164" s="3">
        <f t="shared" ref="F164:F168" si="49">+D164-E164</f>
        <v>-50.865545428063342</v>
      </c>
      <c r="G164" s="6">
        <f>+F164*1000</f>
        <v>-50865.545428063342</v>
      </c>
    </row>
    <row r="165" spans="1:124" ht="21" customHeight="1" x14ac:dyDescent="0.35">
      <c r="A165" s="15" t="s">
        <v>64</v>
      </c>
      <c r="B165" s="3">
        <f>+SUMPRODUCT(B159:AN159*B124:AN124)*5</f>
        <v>10983.304222106088</v>
      </c>
      <c r="D165" s="3">
        <f>+SUMPRODUCT(Base!B155:AN155*B124:AN124)*5</f>
        <v>2608.5914073952285</v>
      </c>
      <c r="E165" s="2">
        <v>2628.3554239442537</v>
      </c>
      <c r="F165" s="3">
        <f t="shared" si="49"/>
        <v>-19.7640165490252</v>
      </c>
      <c r="G165" s="6">
        <f>+F165*1000</f>
        <v>-19764.0165490252</v>
      </c>
    </row>
    <row r="166" spans="1:124" ht="21" customHeight="1" x14ac:dyDescent="0.35">
      <c r="A166" s="15" t="s">
        <v>62</v>
      </c>
      <c r="B166" s="3">
        <f>+SUMPRODUCT(B159:BH159*B124:BH124)*5</f>
        <v>16167.517802941242</v>
      </c>
      <c r="D166" s="3">
        <f>+SUMPRODUCT(Base!B155:BH155*B124:BH124)*5</f>
        <v>2678.5067428934894</v>
      </c>
      <c r="E166" s="2">
        <v>2687.7370386156094</v>
      </c>
      <c r="F166" s="3">
        <f t="shared" si="49"/>
        <v>-9.2302957221199904</v>
      </c>
      <c r="G166" s="6">
        <f>+F166*1000</f>
        <v>-9230.2957221199904</v>
      </c>
    </row>
    <row r="167" spans="1:124" ht="21" customHeight="1" x14ac:dyDescent="0.35">
      <c r="A167" s="15" t="s">
        <v>63</v>
      </c>
      <c r="B167" s="154">
        <f>+SUMPRODUCT(B159:DQ159*B124:DQ124)*5</f>
        <v>16412.821140427524</v>
      </c>
      <c r="D167" s="3">
        <f>+SUMPRODUCT(Base!B155:DQ155*B124:DQ124)*5</f>
        <v>2679.7300459823136</v>
      </c>
      <c r="E167" s="155">
        <v>2688.7936628310235</v>
      </c>
      <c r="F167" s="154">
        <f t="shared" si="49"/>
        <v>-9.0636168487098985</v>
      </c>
      <c r="G167" s="6">
        <f>+F167*1000</f>
        <v>-9063.6168487098985</v>
      </c>
    </row>
    <row r="168" spans="1:124" ht="21" customHeight="1" x14ac:dyDescent="0.35">
      <c r="A168" s="15" t="s">
        <v>249</v>
      </c>
      <c r="B168" s="158">
        <f>+B130</f>
        <v>-4027879.296109539</v>
      </c>
      <c r="D168" s="3">
        <f>+B130</f>
        <v>-4027879.296109539</v>
      </c>
      <c r="E168" s="155">
        <v>2688.7871964352134</v>
      </c>
      <c r="F168" s="3">
        <f t="shared" si="49"/>
        <v>-4030568.083305974</v>
      </c>
      <c r="G168" s="6">
        <f>+F168*1000</f>
        <v>-4030568083.305974</v>
      </c>
    </row>
    <row r="169" spans="1:124" ht="21" customHeight="1" thickBot="1" x14ac:dyDescent="0.4">
      <c r="A169" s="62" t="s">
        <v>99</v>
      </c>
      <c r="B169" s="3"/>
    </row>
    <row r="170" spans="1:124" ht="21" customHeight="1" thickTop="1" x14ac:dyDescent="0.35">
      <c r="A170" s="50" t="s">
        <v>233</v>
      </c>
      <c r="B170" s="3">
        <f t="shared" ref="B170:AU170" si="50">+B118/B105</f>
        <v>2.3928856999083998</v>
      </c>
      <c r="C170" s="3">
        <f t="shared" si="50"/>
        <v>2.5271654987901826</v>
      </c>
      <c r="D170" s="3">
        <f t="shared" si="50"/>
        <v>2.5952725100662679</v>
      </c>
      <c r="E170" s="3">
        <f t="shared" si="50"/>
        <v>2.6432325400472227</v>
      </c>
      <c r="F170" s="3">
        <f t="shared" si="50"/>
        <v>2.6801437673782722</v>
      </c>
      <c r="G170" s="3">
        <f t="shared" si="50"/>
        <v>2.7108346953927271</v>
      </c>
      <c r="H170" s="3">
        <f t="shared" si="50"/>
        <v>2.7376585065014334</v>
      </c>
      <c r="I170" s="3">
        <f t="shared" si="50"/>
        <v>2.7613709762031369</v>
      </c>
      <c r="J170" s="3">
        <f t="shared" si="50"/>
        <v>2.7814078077391522</v>
      </c>
      <c r="K170" s="3">
        <f t="shared" si="50"/>
        <v>2.7956618921637593</v>
      </c>
      <c r="L170" s="3">
        <f t="shared" si="50"/>
        <v>2.8102360397903512</v>
      </c>
      <c r="M170" s="3">
        <f t="shared" si="50"/>
        <v>2.8287753228949288</v>
      </c>
      <c r="N170" s="3">
        <f t="shared" si="50"/>
        <v>2.8491916303507083</v>
      </c>
      <c r="O170" s="3">
        <f t="shared" si="50"/>
        <v>2.8703340483260589</v>
      </c>
      <c r="P170" s="3">
        <f t="shared" si="50"/>
        <v>2.8915679644697887</v>
      </c>
      <c r="Q170" s="3">
        <f t="shared" si="50"/>
        <v>2.9125445324128436</v>
      </c>
      <c r="R170" s="3">
        <f t="shared" si="50"/>
        <v>2.9330735588800443</v>
      </c>
      <c r="S170" s="3">
        <f t="shared" si="50"/>
        <v>2.9530528215204725</v>
      </c>
      <c r="T170" s="3">
        <f t="shared" si="50"/>
        <v>2.9724281161392918</v>
      </c>
      <c r="U170" s="3">
        <f t="shared" si="50"/>
        <v>2.9911697355252755</v>
      </c>
      <c r="V170" s="3">
        <f t="shared" si="50"/>
        <v>3.0093303420787469</v>
      </c>
      <c r="W170" s="3">
        <f t="shared" si="50"/>
        <v>3.0269422585926438</v>
      </c>
      <c r="X170" s="3">
        <f t="shared" si="50"/>
        <v>3.0440269119860308</v>
      </c>
      <c r="Y170" s="3">
        <f t="shared" si="50"/>
        <v>3.0606001218480419</v>
      </c>
      <c r="Z170" s="3">
        <f t="shared" si="50"/>
        <v>3.0766750183859832</v>
      </c>
      <c r="AA170" s="3">
        <f t="shared" si="50"/>
        <v>3.0922636124258047</v>
      </c>
      <c r="AB170" s="3">
        <f t="shared" si="50"/>
        <v>3.1073776010333174</v>
      </c>
      <c r="AC170" s="3">
        <f t="shared" si="50"/>
        <v>3.1220287434444312</v>
      </c>
      <c r="AD170" s="3">
        <f t="shared" si="50"/>
        <v>3.1362290027642539</v>
      </c>
      <c r="AE170" s="3">
        <f t="shared" si="50"/>
        <v>3.1499905645110724</v>
      </c>
      <c r="AF170" s="3">
        <f t="shared" si="50"/>
        <v>3.1633257957250764</v>
      </c>
      <c r="AG170" s="3">
        <f t="shared" si="50"/>
        <v>3.1765864031435358</v>
      </c>
      <c r="AH170" s="3">
        <f t="shared" si="50"/>
        <v>3.1896497810008175</v>
      </c>
      <c r="AI170" s="3">
        <f t="shared" si="50"/>
        <v>3.202438661602435</v>
      </c>
      <c r="AJ170" s="3">
        <f t="shared" si="50"/>
        <v>3.2149064551301931</v>
      </c>
      <c r="AK170" s="3">
        <f t="shared" si="50"/>
        <v>3.2270272327219156</v>
      </c>
      <c r="AL170" s="3">
        <f t="shared" si="50"/>
        <v>3.2387888822519808</v>
      </c>
      <c r="AM170" s="3">
        <f t="shared" si="50"/>
        <v>3.2501884348983272</v>
      </c>
      <c r="AN170" s="3">
        <f t="shared" si="50"/>
        <v>3.2612288785021408</v>
      </c>
      <c r="AO170" s="3">
        <f t="shared" si="50"/>
        <v>3.2719169899594056</v>
      </c>
      <c r="AP170" s="3">
        <f t="shared" si="50"/>
        <v>3.2822618662836538</v>
      </c>
      <c r="AQ170" s="3">
        <f t="shared" si="50"/>
        <v>3.2922739346538989</v>
      </c>
      <c r="AR170" s="3">
        <f t="shared" si="50"/>
        <v>3.3019642906408926</v>
      </c>
      <c r="AS170" s="3">
        <f t="shared" si="50"/>
        <v>3.3113442610026431</v>
      </c>
      <c r="AT170" s="3">
        <f t="shared" si="50"/>
        <v>3.3204251198253973</v>
      </c>
      <c r="AU170" s="3">
        <f t="shared" si="50"/>
        <v>3.3292179090353318</v>
      </c>
    </row>
    <row r="171" spans="1:124" ht="21" customHeight="1" x14ac:dyDescent="0.35">
      <c r="A171" s="50" t="s">
        <v>261</v>
      </c>
      <c r="C171" s="3">
        <f>+C125/(C125+C124)</f>
        <v>0.14525807677031138</v>
      </c>
      <c r="D171" s="3">
        <f t="shared" ref="D171:AU171" si="51">+D125/(D125+D124)</f>
        <v>0.12439076968245316</v>
      </c>
      <c r="E171" s="3">
        <f t="shared" si="51"/>
        <v>0.11509105621691493</v>
      </c>
      <c r="F171" s="3">
        <f t="shared" si="51"/>
        <v>0.10823630260295136</v>
      </c>
      <c r="G171" s="3">
        <f t="shared" si="51"/>
        <v>0.10286891138641155</v>
      </c>
      <c r="H171" s="3">
        <f t="shared" si="51"/>
        <v>9.8349489009148486E-2</v>
      </c>
      <c r="I171" s="3">
        <f t="shared" si="51"/>
        <v>9.4182575046059702E-2</v>
      </c>
      <c r="J171" s="3">
        <f t="shared" si="51"/>
        <v>8.9866602656103689E-2</v>
      </c>
      <c r="K171" s="3">
        <f t="shared" si="51"/>
        <v>8.4733452697105874E-2</v>
      </c>
      <c r="L171" s="3">
        <f t="shared" si="51"/>
        <v>8.1678035401175686E-2</v>
      </c>
      <c r="M171" s="3">
        <f t="shared" si="51"/>
        <v>8.0123352297478898E-2</v>
      </c>
      <c r="N171" s="3">
        <f t="shared" si="51"/>
        <v>7.8139575783466322E-2</v>
      </c>
      <c r="O171" s="3">
        <f t="shared" si="51"/>
        <v>7.5975454908183554E-2</v>
      </c>
      <c r="P171" s="3">
        <f t="shared" si="51"/>
        <v>7.3763289196268483E-2</v>
      </c>
      <c r="Q171" s="3">
        <f t="shared" si="51"/>
        <v>7.1571849888357561E-2</v>
      </c>
      <c r="R171" s="3">
        <f t="shared" si="51"/>
        <v>6.943511889934352E-2</v>
      </c>
      <c r="S171" s="3">
        <f t="shared" si="51"/>
        <v>6.7367998963955691E-2</v>
      </c>
      <c r="T171" s="3">
        <f t="shared" si="51"/>
        <v>6.5374849545060246E-2</v>
      </c>
      <c r="U171" s="3">
        <f t="shared" si="51"/>
        <v>6.3453070395095901E-2</v>
      </c>
      <c r="V171" s="3">
        <f t="shared" si="51"/>
        <v>6.1623803149008248E-2</v>
      </c>
      <c r="W171" s="3">
        <f t="shared" si="51"/>
        <v>5.9873955291332562E-2</v>
      </c>
      <c r="X171" s="3">
        <f t="shared" si="51"/>
        <v>5.8194131178740616E-2</v>
      </c>
      <c r="Y171" s="3">
        <f t="shared" si="51"/>
        <v>5.6577286645500574E-2</v>
      </c>
      <c r="Z171" s="3">
        <f t="shared" si="51"/>
        <v>5.5017921565786485E-2</v>
      </c>
      <c r="AA171" s="3">
        <f t="shared" si="51"/>
        <v>5.351158816042148E-2</v>
      </c>
      <c r="AB171" s="3">
        <f t="shared" si="51"/>
        <v>5.2054584645501299E-2</v>
      </c>
      <c r="AC171" s="3">
        <f t="shared" si="51"/>
        <v>5.0643759230108762E-2</v>
      </c>
      <c r="AD171" s="3">
        <f t="shared" si="51"/>
        <v>4.9276381866432163E-2</v>
      </c>
      <c r="AE171" s="3">
        <f t="shared" si="51"/>
        <v>4.7950057213117889E-2</v>
      </c>
      <c r="AF171" s="3">
        <f t="shared" si="51"/>
        <v>4.6669212698112396E-2</v>
      </c>
      <c r="AG171" s="3">
        <f t="shared" si="51"/>
        <v>4.5550094710355135E-2</v>
      </c>
      <c r="AH171" s="3">
        <f t="shared" si="51"/>
        <v>4.4419950106366166E-2</v>
      </c>
      <c r="AI171" s="3">
        <f t="shared" si="51"/>
        <v>4.3291970322323153E-2</v>
      </c>
      <c r="AJ171" s="3">
        <f t="shared" si="51"/>
        <v>4.2174900252379244E-2</v>
      </c>
      <c r="AK171" s="3">
        <f t="shared" si="51"/>
        <v>4.1074443622828465E-2</v>
      </c>
      <c r="AL171" s="3">
        <f t="shared" si="51"/>
        <v>3.9994227137447796E-2</v>
      </c>
      <c r="AM171" s="3">
        <f t="shared" si="51"/>
        <v>3.8936462761352132E-2</v>
      </c>
      <c r="AN171" s="3">
        <f t="shared" si="51"/>
        <v>3.7902402897174496E-2</v>
      </c>
      <c r="AO171" s="3">
        <f t="shared" si="51"/>
        <v>3.6892653168715248E-2</v>
      </c>
      <c r="AP171" s="3">
        <f t="shared" si="51"/>
        <v>3.5907387163123757E-2</v>
      </c>
      <c r="AQ171" s="3">
        <f t="shared" si="51"/>
        <v>3.494649360611022E-2</v>
      </c>
      <c r="AR171" s="3">
        <f t="shared" si="51"/>
        <v>3.4009676951736359E-2</v>
      </c>
      <c r="AS171" s="3">
        <f t="shared" si="51"/>
        <v>3.3096525854588617E-2</v>
      </c>
      <c r="AT171" s="3">
        <f t="shared" si="51"/>
        <v>3.2206559511951047E-2</v>
      </c>
      <c r="AU171" s="3">
        <f t="shared" si="51"/>
        <v>3.133925877629419E-2</v>
      </c>
    </row>
    <row r="172" spans="1:124" ht="21" customHeight="1" x14ac:dyDescent="0.35"/>
    <row r="173" spans="1:124" ht="21" customHeight="1" x14ac:dyDescent="0.35"/>
    <row r="174" spans="1:124" ht="21" customHeight="1" x14ac:dyDescent="0.35"/>
    <row r="175" spans="1:124" ht="21" customHeight="1" x14ac:dyDescent="0.35"/>
    <row r="176" spans="1:124" ht="21" customHeight="1" x14ac:dyDescent="0.35"/>
    <row r="177" spans="1:1" s="3" customFormat="1" ht="21" customHeight="1" x14ac:dyDescent="0.35">
      <c r="A177" s="23"/>
    </row>
    <row r="178" spans="1:1" s="3" customFormat="1" ht="21" customHeight="1" x14ac:dyDescent="0.35">
      <c r="A178" s="23"/>
    </row>
    <row r="179" spans="1:1" s="3" customFormat="1" ht="21" customHeight="1" x14ac:dyDescent="0.35">
      <c r="A179" s="23"/>
    </row>
    <row r="180" spans="1:1" s="3" customFormat="1" ht="21" customHeight="1" x14ac:dyDescent="0.35">
      <c r="A180" s="23"/>
    </row>
    <row r="181" spans="1:1" s="3" customFormat="1" ht="21" customHeight="1" x14ac:dyDescent="0.35">
      <c r="A181" s="23"/>
    </row>
    <row r="182" spans="1:1" s="3" customFormat="1" ht="21" customHeight="1" x14ac:dyDescent="0.35">
      <c r="A182" s="23"/>
    </row>
    <row r="183" spans="1:1" s="3" customFormat="1" ht="21" customHeight="1" x14ac:dyDescent="0.35">
      <c r="A183" s="23"/>
    </row>
    <row r="184" spans="1:1" s="3" customFormat="1" ht="21" customHeight="1" x14ac:dyDescent="0.35">
      <c r="A184" s="23"/>
    </row>
    <row r="185" spans="1:1" s="3" customFormat="1" ht="21" customHeight="1" x14ac:dyDescent="0.35">
      <c r="A185" s="23"/>
    </row>
    <row r="186" spans="1:1" s="3" customFormat="1" ht="21" customHeight="1" x14ac:dyDescent="0.35">
      <c r="A186" s="23"/>
    </row>
    <row r="187" spans="1:1" s="3" customFormat="1" ht="21" customHeight="1" x14ac:dyDescent="0.35">
      <c r="A187" s="23"/>
    </row>
    <row r="188" spans="1:1" s="3" customFormat="1" ht="21" customHeight="1" x14ac:dyDescent="0.35">
      <c r="A188" s="23"/>
    </row>
    <row r="189" spans="1:1" s="3" customFormat="1" ht="21" customHeight="1" x14ac:dyDescent="0.35">
      <c r="A189" s="23"/>
    </row>
    <row r="190" spans="1:1" s="3" customFormat="1" ht="21" customHeight="1" x14ac:dyDescent="0.35">
      <c r="A190" s="23"/>
    </row>
    <row r="191" spans="1:1" s="3" customFormat="1" ht="21" customHeight="1" x14ac:dyDescent="0.35">
      <c r="A191" s="23"/>
    </row>
    <row r="192" spans="1:1" s="3" customFormat="1" ht="21" customHeight="1" x14ac:dyDescent="0.35">
      <c r="A192" s="23"/>
    </row>
    <row r="193" spans="1:123" ht="21" customHeight="1" x14ac:dyDescent="0.35"/>
    <row r="194" spans="1:123" ht="21" customHeight="1" x14ac:dyDescent="0.35"/>
    <row r="195" spans="1:123" ht="21" customHeight="1" x14ac:dyDescent="0.35"/>
    <row r="196" spans="1:123" ht="21" customHeight="1" x14ac:dyDescent="0.35"/>
    <row r="197" spans="1:123" ht="21" customHeight="1" x14ac:dyDescent="0.35"/>
    <row r="198" spans="1:123" ht="21" customHeight="1" x14ac:dyDescent="0.35"/>
    <row r="199" spans="1:123" ht="21" customHeight="1" x14ac:dyDescent="0.35"/>
    <row r="200" spans="1:123" ht="21" customHeight="1" x14ac:dyDescent="0.35"/>
    <row r="201" spans="1:123" ht="21" customHeight="1" x14ac:dyDescent="0.35"/>
    <row r="202" spans="1:123" ht="21" customHeight="1" x14ac:dyDescent="0.35"/>
    <row r="203" spans="1:123" ht="21" customHeight="1" x14ac:dyDescent="0.35"/>
    <row r="204" spans="1:123" ht="21" customHeight="1" x14ac:dyDescent="0.35"/>
    <row r="205" spans="1:123" ht="21" customHeight="1" x14ac:dyDescent="0.35"/>
    <row r="206" spans="1:123" ht="21" customHeight="1" x14ac:dyDescent="0.35"/>
    <row r="207" spans="1:123" ht="21" customHeight="1" x14ac:dyDescent="0.35"/>
    <row r="208" spans="1:123" s="25" customFormat="1" ht="15" thickBot="1" x14ac:dyDescent="0.4">
      <c r="A208" s="74" t="s">
        <v>119</v>
      </c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3"/>
      <c r="CE208" s="3"/>
      <c r="CF208" s="3"/>
      <c r="CG208" s="3"/>
      <c r="CH208" s="3"/>
      <c r="CI208" s="3"/>
      <c r="CJ208" s="3"/>
      <c r="CK208" s="3"/>
      <c r="CL208" s="3"/>
      <c r="CM208" s="3"/>
      <c r="CN208" s="3"/>
      <c r="CO208" s="3"/>
      <c r="CP208" s="3"/>
      <c r="CQ208" s="3"/>
      <c r="CR208" s="3"/>
      <c r="CS208" s="3"/>
      <c r="CT208" s="3"/>
      <c r="CU208" s="3"/>
      <c r="CV208" s="3"/>
      <c r="CW208" s="3"/>
      <c r="CX208" s="3"/>
      <c r="CY208" s="3"/>
      <c r="CZ208" s="3"/>
      <c r="DA208" s="3"/>
      <c r="DB208" s="3"/>
      <c r="DC208" s="3"/>
      <c r="DD208" s="3"/>
      <c r="DE208" s="3"/>
      <c r="DF208" s="3"/>
      <c r="DG208" s="3"/>
      <c r="DH208" s="3"/>
      <c r="DI208" s="3"/>
      <c r="DJ208" s="3"/>
      <c r="DK208" s="3"/>
      <c r="DL208" s="3"/>
      <c r="DM208" s="3"/>
      <c r="DN208" s="3"/>
      <c r="DO208" s="3"/>
      <c r="DP208" s="3"/>
      <c r="DQ208" s="3"/>
      <c r="DR208" s="3"/>
      <c r="DS208" s="3"/>
    </row>
    <row r="209" spans="1:124" s="22" customFormat="1" ht="15" thickTop="1" x14ac:dyDescent="0.35">
      <c r="A209" s="73" t="s">
        <v>198</v>
      </c>
      <c r="B209" s="21">
        <v>1E-3</v>
      </c>
      <c r="C209" s="21">
        <v>1E-3</v>
      </c>
      <c r="D209" s="21">
        <v>1E-3</v>
      </c>
      <c r="E209" s="21">
        <v>1E-3</v>
      </c>
      <c r="F209" s="21">
        <v>1E-3</v>
      </c>
      <c r="G209" s="21">
        <v>1E-3</v>
      </c>
      <c r="H209" s="21">
        <v>1E-3</v>
      </c>
      <c r="I209" s="21">
        <v>1E-3</v>
      </c>
      <c r="J209" s="21">
        <v>1E-3</v>
      </c>
      <c r="K209" s="21">
        <v>1E-3</v>
      </c>
      <c r="L209" s="21">
        <v>1E-3</v>
      </c>
      <c r="M209" s="21">
        <v>1E-3</v>
      </c>
      <c r="N209" s="21">
        <v>1E-3</v>
      </c>
      <c r="O209" s="21">
        <v>1E-3</v>
      </c>
      <c r="P209" s="21">
        <v>1E-3</v>
      </c>
      <c r="Q209" s="21">
        <v>1E-3</v>
      </c>
      <c r="R209" s="21">
        <v>1E-3</v>
      </c>
      <c r="S209" s="21">
        <v>1E-3</v>
      </c>
      <c r="T209" s="21">
        <v>1E-3</v>
      </c>
      <c r="U209" s="21">
        <v>1E-3</v>
      </c>
      <c r="V209" s="21">
        <v>1E-3</v>
      </c>
      <c r="W209" s="21">
        <v>1E-3</v>
      </c>
      <c r="X209" s="21">
        <v>1E-3</v>
      </c>
      <c r="Y209" s="21">
        <v>1E-3</v>
      </c>
      <c r="Z209" s="21">
        <v>1E-3</v>
      </c>
      <c r="AA209" s="21">
        <v>1E-3</v>
      </c>
      <c r="AB209" s="21">
        <v>1E-3</v>
      </c>
      <c r="AC209" s="21">
        <v>1E-3</v>
      </c>
      <c r="AD209" s="21">
        <v>1E-3</v>
      </c>
      <c r="AE209" s="21">
        <v>1E-3</v>
      </c>
      <c r="AF209" s="21">
        <v>1E-3</v>
      </c>
      <c r="AG209" s="21">
        <v>1E-3</v>
      </c>
      <c r="AH209" s="21">
        <v>1E-3</v>
      </c>
      <c r="AI209" s="21">
        <v>1E-3</v>
      </c>
      <c r="AJ209" s="21">
        <v>1E-3</v>
      </c>
      <c r="AK209" s="21">
        <v>1E-3</v>
      </c>
      <c r="AL209" s="21">
        <v>1E-3</v>
      </c>
      <c r="AM209" s="21">
        <v>1E-3</v>
      </c>
      <c r="AN209" s="21">
        <v>1E-3</v>
      </c>
      <c r="AO209" s="21">
        <v>1E-3</v>
      </c>
      <c r="AP209" s="21">
        <v>1E-3</v>
      </c>
      <c r="AQ209" s="21">
        <v>1E-3</v>
      </c>
      <c r="AR209" s="21">
        <v>1E-3</v>
      </c>
      <c r="AS209" s="21">
        <v>1E-3</v>
      </c>
      <c r="AT209" s="21">
        <v>1E-3</v>
      </c>
      <c r="AU209" s="21">
        <v>1E-3</v>
      </c>
      <c r="AV209" s="21">
        <v>1E-3</v>
      </c>
      <c r="AW209" s="21">
        <v>1E-3</v>
      </c>
      <c r="AX209" s="21">
        <v>1E-3</v>
      </c>
      <c r="AY209" s="21">
        <v>1E-3</v>
      </c>
      <c r="AZ209" s="21">
        <v>1E-3</v>
      </c>
      <c r="BA209" s="21">
        <v>1E-3</v>
      </c>
      <c r="BB209" s="21">
        <v>1E-3</v>
      </c>
      <c r="BC209" s="21">
        <v>1E-3</v>
      </c>
      <c r="BD209" s="21">
        <v>1E-3</v>
      </c>
      <c r="BE209" s="21">
        <v>1E-3</v>
      </c>
      <c r="BF209" s="21">
        <v>1E-3</v>
      </c>
      <c r="BG209" s="21">
        <v>1E-3</v>
      </c>
      <c r="BH209" s="21">
        <v>1E-3</v>
      </c>
      <c r="BI209" s="21">
        <v>1E-3</v>
      </c>
      <c r="BJ209" s="21"/>
      <c r="BK209" s="21"/>
      <c r="BL209" s="21"/>
      <c r="BM209" s="21"/>
      <c r="BN209" s="21"/>
      <c r="BO209" s="21"/>
      <c r="BP209" s="21"/>
      <c r="BQ209" s="21"/>
      <c r="BR209" s="21"/>
      <c r="BS209" s="21"/>
      <c r="BT209" s="21"/>
      <c r="BU209" s="21"/>
      <c r="BV209" s="21"/>
      <c r="BW209" s="21"/>
      <c r="BX209" s="21"/>
      <c r="BY209" s="21"/>
      <c r="BZ209" s="21"/>
      <c r="CA209" s="21"/>
      <c r="CB209" s="21"/>
      <c r="CC209" s="21"/>
      <c r="CD209" s="21"/>
      <c r="CE209" s="21"/>
      <c r="CF209" s="21"/>
      <c r="CG209" s="21"/>
      <c r="CH209" s="21"/>
      <c r="CI209" s="21"/>
      <c r="CJ209" s="21"/>
      <c r="CK209" s="21"/>
      <c r="CL209" s="21"/>
      <c r="CM209" s="21"/>
      <c r="CN209" s="21"/>
      <c r="CO209" s="21"/>
      <c r="CP209" s="21"/>
      <c r="CQ209" s="21"/>
      <c r="CR209" s="21"/>
      <c r="CS209" s="21"/>
      <c r="CT209" s="21"/>
      <c r="CU209" s="21"/>
      <c r="CV209" s="21"/>
      <c r="CW209" s="21"/>
      <c r="CX209" s="21"/>
      <c r="CY209" s="21"/>
      <c r="CZ209" s="21"/>
      <c r="DA209" s="21"/>
      <c r="DB209" s="21"/>
      <c r="DC209" s="21"/>
      <c r="DD209" s="21"/>
      <c r="DE209" s="21"/>
      <c r="DF209" s="21"/>
      <c r="DG209" s="21"/>
      <c r="DH209" s="21"/>
      <c r="DI209" s="21"/>
      <c r="DJ209" s="21"/>
      <c r="DK209" s="21"/>
      <c r="DL209" s="21"/>
      <c r="DM209" s="21"/>
      <c r="DN209" s="21"/>
      <c r="DO209" s="21"/>
      <c r="DP209" s="21"/>
      <c r="DQ209" s="21"/>
      <c r="DR209" s="21"/>
      <c r="DS209" s="21"/>
      <c r="DT209" s="21"/>
    </row>
    <row r="210" spans="1:124" ht="15" thickBot="1" x14ac:dyDescent="0.4">
      <c r="A210" s="74" t="s">
        <v>200</v>
      </c>
    </row>
    <row r="211" spans="1:124" s="22" customFormat="1" ht="15" thickTop="1" x14ac:dyDescent="0.35">
      <c r="A211" s="73" t="s">
        <v>198</v>
      </c>
      <c r="B211" s="21">
        <v>1</v>
      </c>
      <c r="C211" s="21">
        <v>45.965855418031836</v>
      </c>
      <c r="D211" s="21">
        <v>52.885784424251824</v>
      </c>
      <c r="E211" s="21">
        <v>60.482621376901378</v>
      </c>
      <c r="F211" s="21">
        <v>68.665218038893585</v>
      </c>
      <c r="G211" s="21">
        <v>77.436213167367043</v>
      </c>
      <c r="H211" s="21">
        <v>86.819274290457599</v>
      </c>
      <c r="I211" s="21">
        <v>97.007845242953138</v>
      </c>
      <c r="J211" s="21">
        <v>108.12682434979411</v>
      </c>
      <c r="K211" s="21">
        <v>120.20402576864771</v>
      </c>
      <c r="L211" s="21">
        <v>133.29285806404164</v>
      </c>
      <c r="M211" s="21">
        <v>147.4641592947408</v>
      </c>
      <c r="N211" s="21">
        <v>162.80409495623982</v>
      </c>
      <c r="O211" s="21">
        <v>179.41372739879699</v>
      </c>
      <c r="P211" s="21">
        <v>197.40295077064025</v>
      </c>
      <c r="Q211" s="21">
        <v>216.8803867094727</v>
      </c>
      <c r="R211" s="21">
        <v>237.92799095042452</v>
      </c>
      <c r="S211" s="21">
        <v>260.57981244098761</v>
      </c>
      <c r="T211" s="21">
        <v>264.01915693948979</v>
      </c>
      <c r="U211" s="21">
        <v>260.5687288350781</v>
      </c>
      <c r="V211" s="21">
        <v>257.2045532284734</v>
      </c>
      <c r="W211" s="21">
        <v>253.92447437444153</v>
      </c>
      <c r="X211" s="21">
        <v>250.7263902738124</v>
      </c>
      <c r="Y211" s="21">
        <v>247.60825128783776</v>
      </c>
      <c r="Z211" s="21">
        <v>244.5680588676432</v>
      </c>
      <c r="AA211" s="21">
        <v>244.5680588676432</v>
      </c>
      <c r="AB211" s="21">
        <v>244.5680588676432</v>
      </c>
      <c r="AC211" s="21">
        <v>244.5680588676432</v>
      </c>
      <c r="AD211" s="21">
        <v>244.5680588676432</v>
      </c>
      <c r="AE211" s="21">
        <v>244.5680588676432</v>
      </c>
      <c r="AF211" s="21">
        <v>244.5680588676432</v>
      </c>
      <c r="AG211" s="21">
        <v>244.5680588676432</v>
      </c>
      <c r="AH211" s="21">
        <v>244.5680588676432</v>
      </c>
      <c r="AI211" s="21">
        <v>244.5680588676432</v>
      </c>
      <c r="AJ211" s="21">
        <v>244.5680588676432</v>
      </c>
      <c r="AK211" s="21">
        <v>244.5680588676432</v>
      </c>
      <c r="AL211" s="21">
        <v>244.5680588676432</v>
      </c>
      <c r="AM211" s="21">
        <v>244.5680588676432</v>
      </c>
      <c r="AN211" s="21">
        <v>244.5680588676432</v>
      </c>
      <c r="AO211" s="21">
        <v>244.5680588676432</v>
      </c>
      <c r="AP211" s="21">
        <v>244.5680588676432</v>
      </c>
      <c r="AQ211" s="21">
        <v>244.5680588676432</v>
      </c>
      <c r="AR211" s="21">
        <v>244.5680588676432</v>
      </c>
      <c r="AS211" s="21">
        <v>244.5680588676432</v>
      </c>
      <c r="AT211" s="21">
        <v>244.5680588676432</v>
      </c>
      <c r="AU211" s="21">
        <v>244.5680588676432</v>
      </c>
      <c r="AV211" s="21">
        <v>244.5680588676432</v>
      </c>
      <c r="AW211" s="21">
        <v>244.5680588676432</v>
      </c>
      <c r="AX211" s="21">
        <v>244.5680588676432</v>
      </c>
      <c r="AY211" s="21">
        <v>244.5680588676432</v>
      </c>
      <c r="AZ211" s="21">
        <v>244.5680588676432</v>
      </c>
      <c r="BA211" s="21">
        <v>244.5680588676432</v>
      </c>
      <c r="BB211" s="21">
        <v>244.5680588676432</v>
      </c>
      <c r="BC211" s="21">
        <v>244.5680588676432</v>
      </c>
      <c r="BD211" s="21">
        <v>244.5680588676432</v>
      </c>
      <c r="BE211" s="21">
        <v>244.5680588676432</v>
      </c>
      <c r="BF211" s="21">
        <v>244.5680588676432</v>
      </c>
      <c r="BG211" s="21">
        <v>244.5680588676432</v>
      </c>
      <c r="BH211" s="21">
        <v>244.5680588676432</v>
      </c>
      <c r="BI211" s="21">
        <v>244.5680588676432</v>
      </c>
      <c r="BJ211" s="21"/>
      <c r="BK211" s="21"/>
      <c r="BL211" s="21"/>
      <c r="BM211" s="21"/>
      <c r="BN211" s="21"/>
      <c r="BO211" s="21"/>
      <c r="BP211" s="21"/>
      <c r="BQ211" s="21"/>
      <c r="BR211" s="21"/>
      <c r="BS211" s="21"/>
      <c r="BT211" s="21"/>
      <c r="BU211" s="21"/>
      <c r="BV211" s="21"/>
      <c r="BW211" s="21"/>
      <c r="BX211" s="21"/>
      <c r="BY211" s="21"/>
      <c r="BZ211" s="21"/>
      <c r="CA211" s="21"/>
      <c r="CB211" s="21"/>
      <c r="CC211" s="21"/>
      <c r="CD211" s="21"/>
      <c r="CE211" s="21"/>
      <c r="CF211" s="21"/>
      <c r="CG211" s="21"/>
      <c r="CH211" s="21"/>
      <c r="CI211" s="21"/>
      <c r="CJ211" s="21"/>
      <c r="CK211" s="21"/>
      <c r="CL211" s="21"/>
      <c r="CM211" s="21"/>
      <c r="CN211" s="21"/>
      <c r="CO211" s="21"/>
      <c r="CP211" s="21"/>
      <c r="CQ211" s="21"/>
      <c r="CR211" s="21"/>
      <c r="CS211" s="21"/>
      <c r="CT211" s="21"/>
      <c r="CU211" s="21"/>
      <c r="CV211" s="21"/>
      <c r="CW211" s="21"/>
      <c r="CX211" s="21"/>
      <c r="CY211" s="21"/>
      <c r="CZ211" s="21"/>
      <c r="DA211" s="21"/>
      <c r="DB211" s="21"/>
      <c r="DC211" s="21"/>
      <c r="DD211" s="21"/>
      <c r="DE211" s="21"/>
      <c r="DF211" s="21"/>
      <c r="DG211" s="21"/>
      <c r="DH211" s="21"/>
      <c r="DI211" s="21"/>
      <c r="DJ211" s="21"/>
      <c r="DK211" s="21"/>
      <c r="DL211" s="21"/>
      <c r="DM211" s="21"/>
      <c r="DN211" s="21"/>
      <c r="DO211" s="21"/>
      <c r="DP211" s="21"/>
      <c r="DQ211" s="21"/>
      <c r="DR211" s="21"/>
      <c r="DS211" s="21"/>
      <c r="DT211" s="21"/>
    </row>
    <row r="212" spans="1:124" s="25" customFormat="1" ht="15" thickBot="1" x14ac:dyDescent="0.4">
      <c r="A212" s="74" t="s">
        <v>199</v>
      </c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  <c r="CA212" s="3"/>
      <c r="CB212" s="3"/>
      <c r="CC212" s="3"/>
      <c r="CD212" s="3"/>
      <c r="CE212" s="3"/>
      <c r="CF212" s="3"/>
      <c r="CG212" s="3"/>
      <c r="CH212" s="3"/>
      <c r="CI212" s="3"/>
      <c r="CJ212" s="3"/>
      <c r="CK212" s="3"/>
      <c r="CL212" s="3"/>
      <c r="CM212" s="3"/>
      <c r="CN212" s="3"/>
      <c r="CO212" s="3"/>
      <c r="CP212" s="3"/>
      <c r="CQ212" s="3"/>
      <c r="CR212" s="3"/>
      <c r="CS212" s="3"/>
      <c r="CT212" s="3"/>
      <c r="CU212" s="3"/>
      <c r="CV212" s="3"/>
      <c r="CW212" s="3"/>
      <c r="CX212" s="3"/>
      <c r="CY212" s="3"/>
      <c r="CZ212" s="3"/>
      <c r="DA212" s="3"/>
      <c r="DB212" s="3"/>
      <c r="DC212" s="3"/>
      <c r="DD212" s="3"/>
      <c r="DE212" s="3"/>
      <c r="DF212" s="3"/>
      <c r="DG212" s="3"/>
      <c r="DH212" s="3"/>
      <c r="DI212" s="3"/>
      <c r="DJ212" s="3"/>
      <c r="DK212" s="3"/>
      <c r="DL212" s="3"/>
      <c r="DM212" s="3"/>
      <c r="DN212" s="3"/>
      <c r="DO212" s="3"/>
      <c r="DP212" s="3"/>
      <c r="DQ212" s="3"/>
      <c r="DR212" s="3"/>
      <c r="DS212" s="3"/>
      <c r="DT212" s="3"/>
    </row>
    <row r="213" spans="1:124" s="22" customFormat="1" ht="15" thickTop="1" x14ac:dyDescent="0.35">
      <c r="A213" s="73" t="s">
        <v>198</v>
      </c>
      <c r="B213" s="21">
        <v>1</v>
      </c>
      <c r="C213" s="21">
        <v>35.155481751481716</v>
      </c>
      <c r="D213" s="21">
        <v>44.332282374749177</v>
      </c>
      <c r="E213" s="21">
        <v>55.52901374640512</v>
      </c>
      <c r="F213" s="21">
        <v>69.121567096942428</v>
      </c>
      <c r="G213" s="21">
        <v>85.567382136243751</v>
      </c>
      <c r="H213" s="21">
        <v>105.65996338931656</v>
      </c>
      <c r="I213" s="21">
        <v>130.45068993725823</v>
      </c>
      <c r="J213" s="21">
        <v>161.44727845162271</v>
      </c>
      <c r="K213" s="21">
        <v>200.16812854747508</v>
      </c>
      <c r="L213" s="21">
        <v>248.46508219287259</v>
      </c>
      <c r="M213" s="21">
        <v>291</v>
      </c>
      <c r="N213" s="21">
        <v>289</v>
      </c>
      <c r="O213" s="21">
        <v>297.85766994708598</v>
      </c>
      <c r="P213" s="21">
        <v>290.73542023432384</v>
      </c>
      <c r="Q213" s="21">
        <v>321.96493961973624</v>
      </c>
      <c r="R213" s="21">
        <v>285.95533933101092</v>
      </c>
      <c r="S213" s="21">
        <v>273.6138942404549</v>
      </c>
      <c r="T213" s="21">
        <v>305.71192638335839</v>
      </c>
      <c r="U213" s="21">
        <v>261.30466001826568</v>
      </c>
      <c r="V213" s="21">
        <v>204.04197460433676</v>
      </c>
      <c r="W213" s="21">
        <v>200.13987587411992</v>
      </c>
      <c r="X213" s="21">
        <v>216.98742013606164</v>
      </c>
      <c r="Y213" s="21">
        <v>216.98742013606164</v>
      </c>
      <c r="Z213" s="21">
        <v>300</v>
      </c>
      <c r="AA213" s="21">
        <v>209.66102603523055</v>
      </c>
      <c r="AB213" s="21">
        <v>212.25067459590824</v>
      </c>
      <c r="AC213" s="21">
        <v>213.56558978268362</v>
      </c>
      <c r="AD213" s="21">
        <v>213.56558978268362</v>
      </c>
      <c r="AE213" s="21">
        <v>213.56558978268362</v>
      </c>
      <c r="AF213" s="21">
        <v>213.56558978268362</v>
      </c>
      <c r="AG213" s="21">
        <v>213.56558978268362</v>
      </c>
      <c r="AH213" s="21">
        <v>213.56558978268362</v>
      </c>
      <c r="AI213" s="21">
        <v>213.56558978268362</v>
      </c>
      <c r="AJ213" s="21">
        <v>213.56558978268362</v>
      </c>
      <c r="AK213" s="21">
        <v>213.56558978268362</v>
      </c>
      <c r="AL213" s="21">
        <v>213.56558978268362</v>
      </c>
      <c r="AM213" s="21">
        <v>213.56558978268362</v>
      </c>
      <c r="AN213" s="21">
        <v>213.56558978268362</v>
      </c>
      <c r="AO213" s="21">
        <v>213.56558978268362</v>
      </c>
      <c r="AP213" s="21">
        <v>213.56558978268362</v>
      </c>
      <c r="AQ213" s="21">
        <v>213.56558978268362</v>
      </c>
      <c r="AR213" s="21">
        <v>213.56558978268362</v>
      </c>
      <c r="AS213" s="21">
        <v>213.56558978268362</v>
      </c>
      <c r="AT213" s="21">
        <v>213.56558978268362</v>
      </c>
      <c r="AU213" s="21">
        <v>213.56558978268362</v>
      </c>
      <c r="AV213" s="21">
        <v>213.56558978268362</v>
      </c>
      <c r="AW213" s="21">
        <v>213.56558978268362</v>
      </c>
      <c r="AX213" s="21">
        <v>301.30110664013489</v>
      </c>
      <c r="AY213" s="21">
        <v>200.41389669519512</v>
      </c>
      <c r="AZ213" s="21">
        <v>100.20694834759756</v>
      </c>
      <c r="BA213" s="21">
        <v>50.10347417379878</v>
      </c>
      <c r="BB213" s="21">
        <v>25.05173708689939</v>
      </c>
      <c r="BC213" s="21">
        <v>12.525868543449695</v>
      </c>
      <c r="BD213" s="21">
        <v>6.2629342717248475</v>
      </c>
      <c r="BE213" s="21">
        <v>3.1314671358624238</v>
      </c>
      <c r="BF213" s="21">
        <v>1.5657335679312119</v>
      </c>
      <c r="BG213" s="21">
        <v>0.78286678396560594</v>
      </c>
      <c r="BH213" s="21">
        <v>0.39143339198280297</v>
      </c>
      <c r="BI213" s="21">
        <v>0.19571669599140148</v>
      </c>
      <c r="BJ213" s="21"/>
      <c r="BK213" s="21"/>
      <c r="BL213" s="21"/>
      <c r="BM213" s="21"/>
      <c r="BN213" s="21"/>
      <c r="BO213" s="21"/>
      <c r="BP213" s="21"/>
      <c r="BQ213" s="21"/>
      <c r="BR213" s="21"/>
      <c r="BS213" s="21"/>
      <c r="BT213" s="21"/>
      <c r="BU213" s="21"/>
      <c r="BV213" s="21"/>
      <c r="BW213" s="21"/>
      <c r="BX213" s="21"/>
      <c r="BY213" s="21"/>
      <c r="BZ213" s="21"/>
      <c r="CA213" s="21"/>
      <c r="CB213" s="21"/>
      <c r="CC213" s="21"/>
      <c r="CD213" s="21"/>
      <c r="CE213" s="21"/>
      <c r="CF213" s="21"/>
      <c r="CG213" s="21"/>
      <c r="CH213" s="21"/>
      <c r="CI213" s="21"/>
      <c r="CJ213" s="21"/>
      <c r="CK213" s="21"/>
      <c r="CL213" s="21"/>
      <c r="CM213" s="21"/>
      <c r="CN213" s="21"/>
      <c r="CO213" s="21"/>
      <c r="CP213" s="21"/>
      <c r="CQ213" s="21"/>
      <c r="CR213" s="21"/>
      <c r="CS213" s="21"/>
      <c r="CT213" s="21"/>
      <c r="CU213" s="21"/>
      <c r="CV213" s="21"/>
      <c r="CW213" s="21"/>
      <c r="CX213" s="21"/>
      <c r="CY213" s="21"/>
      <c r="CZ213" s="21"/>
      <c r="DA213" s="21"/>
      <c r="DB213" s="21"/>
      <c r="DC213" s="21"/>
      <c r="DD213" s="21"/>
      <c r="DE213" s="21"/>
      <c r="DF213" s="21"/>
      <c r="DG213" s="21"/>
      <c r="DH213" s="21"/>
      <c r="DI213" s="21"/>
      <c r="DJ213" s="21"/>
      <c r="DK213" s="21"/>
      <c r="DL213" s="21"/>
      <c r="DM213" s="21"/>
      <c r="DN213" s="21"/>
      <c r="DO213" s="21"/>
      <c r="DP213" s="21"/>
      <c r="DQ213" s="21"/>
      <c r="DR213" s="21"/>
      <c r="DS213" s="21"/>
      <c r="DT213" s="21"/>
    </row>
    <row r="216" spans="1:124" ht="15" thickBot="1" x14ac:dyDescent="0.4">
      <c r="A216" s="62" t="s">
        <v>99</v>
      </c>
      <c r="B216" s="3"/>
    </row>
    <row r="217" spans="1:124" ht="15" thickTop="1" x14ac:dyDescent="0.35">
      <c r="A217" s="50" t="s">
        <v>233</v>
      </c>
      <c r="B217" s="3">
        <f t="shared" ref="B217:AU217" si="52">+B118/B105</f>
        <v>2.3928856999083998</v>
      </c>
      <c r="C217" s="3">
        <f t="shared" si="52"/>
        <v>2.5271654987901826</v>
      </c>
      <c r="D217" s="3">
        <f t="shared" si="52"/>
        <v>2.5952725100662679</v>
      </c>
      <c r="E217" s="3">
        <f t="shared" si="52"/>
        <v>2.6432325400472227</v>
      </c>
      <c r="F217" s="3">
        <f t="shared" si="52"/>
        <v>2.6801437673782722</v>
      </c>
      <c r="G217" s="3">
        <f t="shared" si="52"/>
        <v>2.7108346953927271</v>
      </c>
      <c r="H217" s="3">
        <f t="shared" si="52"/>
        <v>2.7376585065014334</v>
      </c>
      <c r="I217" s="3">
        <f t="shared" si="52"/>
        <v>2.7613709762031369</v>
      </c>
      <c r="J217" s="3">
        <f t="shared" si="52"/>
        <v>2.7814078077391522</v>
      </c>
      <c r="K217" s="3">
        <f t="shared" si="52"/>
        <v>2.7956618921637593</v>
      </c>
      <c r="L217" s="3">
        <f t="shared" si="52"/>
        <v>2.8102360397903512</v>
      </c>
      <c r="M217" s="3">
        <f t="shared" si="52"/>
        <v>2.8287753228949288</v>
      </c>
      <c r="N217" s="3">
        <f t="shared" si="52"/>
        <v>2.8491916303507083</v>
      </c>
      <c r="O217" s="3">
        <f t="shared" si="52"/>
        <v>2.8703340483260589</v>
      </c>
      <c r="P217" s="3">
        <f t="shared" si="52"/>
        <v>2.8915679644697887</v>
      </c>
      <c r="Q217" s="3">
        <f t="shared" si="52"/>
        <v>2.9125445324128436</v>
      </c>
      <c r="R217" s="3">
        <f t="shared" si="52"/>
        <v>2.9330735588800443</v>
      </c>
      <c r="S217" s="3">
        <f t="shared" si="52"/>
        <v>2.9530528215204725</v>
      </c>
      <c r="T217" s="3">
        <f t="shared" si="52"/>
        <v>2.9724281161392918</v>
      </c>
      <c r="U217" s="3">
        <f t="shared" si="52"/>
        <v>2.9911697355252755</v>
      </c>
      <c r="V217" s="3">
        <f t="shared" si="52"/>
        <v>3.0093303420787469</v>
      </c>
      <c r="W217" s="3">
        <f t="shared" si="52"/>
        <v>3.0269422585926438</v>
      </c>
      <c r="X217" s="3">
        <f t="shared" si="52"/>
        <v>3.0440269119860308</v>
      </c>
      <c r="Y217" s="3">
        <f t="shared" si="52"/>
        <v>3.0606001218480419</v>
      </c>
      <c r="Z217" s="3">
        <f t="shared" si="52"/>
        <v>3.0766750183859832</v>
      </c>
      <c r="AA217" s="3">
        <f t="shared" si="52"/>
        <v>3.0922636124258047</v>
      </c>
      <c r="AB217" s="3">
        <f t="shared" si="52"/>
        <v>3.1073776010333174</v>
      </c>
      <c r="AC217" s="3">
        <f t="shared" si="52"/>
        <v>3.1220287434444312</v>
      </c>
      <c r="AD217" s="3">
        <f t="shared" si="52"/>
        <v>3.1362290027642539</v>
      </c>
      <c r="AE217" s="3">
        <f t="shared" si="52"/>
        <v>3.1499905645110724</v>
      </c>
      <c r="AF217" s="3">
        <f t="shared" si="52"/>
        <v>3.1633257957250764</v>
      </c>
      <c r="AG217" s="3">
        <f t="shared" si="52"/>
        <v>3.1765864031435358</v>
      </c>
      <c r="AH217" s="3">
        <f t="shared" si="52"/>
        <v>3.1896497810008175</v>
      </c>
      <c r="AI217" s="3">
        <f t="shared" si="52"/>
        <v>3.202438661602435</v>
      </c>
      <c r="AJ217" s="3">
        <f t="shared" si="52"/>
        <v>3.2149064551301931</v>
      </c>
      <c r="AK217" s="3">
        <f t="shared" si="52"/>
        <v>3.2270272327219156</v>
      </c>
      <c r="AL217" s="3">
        <f t="shared" si="52"/>
        <v>3.2387888822519808</v>
      </c>
      <c r="AM217" s="3">
        <f t="shared" si="52"/>
        <v>3.2501884348983272</v>
      </c>
      <c r="AN217" s="3">
        <f t="shared" si="52"/>
        <v>3.2612288785021408</v>
      </c>
      <c r="AO217" s="3">
        <f t="shared" si="52"/>
        <v>3.2719169899594056</v>
      </c>
      <c r="AP217" s="3">
        <f t="shared" si="52"/>
        <v>3.2822618662836538</v>
      </c>
      <c r="AQ217" s="3">
        <f t="shared" si="52"/>
        <v>3.2922739346538989</v>
      </c>
      <c r="AR217" s="3">
        <f t="shared" si="52"/>
        <v>3.3019642906408926</v>
      </c>
      <c r="AS217" s="3">
        <f t="shared" si="52"/>
        <v>3.3113442610026431</v>
      </c>
      <c r="AT217" s="3">
        <f t="shared" si="52"/>
        <v>3.3204251198253973</v>
      </c>
      <c r="AU217" s="3">
        <f t="shared" si="52"/>
        <v>3.3292179090353318</v>
      </c>
    </row>
    <row r="225" s="3" customFormat="1" ht="18" customHeight="1" x14ac:dyDescent="0.35"/>
    <row r="226" s="3" customFormat="1" ht="18" customHeight="1" x14ac:dyDescent="0.35"/>
    <row r="227" s="3" customFormat="1" ht="18" customHeight="1" x14ac:dyDescent="0.35"/>
    <row r="228" s="3" customFormat="1" ht="18" customHeight="1" x14ac:dyDescent="0.35"/>
    <row r="229" s="3" customFormat="1" ht="18" customHeight="1" x14ac:dyDescent="0.35"/>
    <row r="230" s="3" customFormat="1" ht="18" customHeight="1" x14ac:dyDescent="0.35"/>
    <row r="231" s="3" customFormat="1" ht="18" customHeight="1" x14ac:dyDescent="0.35"/>
    <row r="232" s="3" customFormat="1" ht="18" customHeight="1" x14ac:dyDescent="0.35"/>
    <row r="233" s="3" customFormat="1" ht="18" customHeight="1" x14ac:dyDescent="0.35"/>
    <row r="234" s="3" customFormat="1" ht="18" customHeight="1" x14ac:dyDescent="0.35"/>
    <row r="235" s="3" customFormat="1" ht="18" customHeight="1" x14ac:dyDescent="0.35"/>
    <row r="236" s="3" customFormat="1" ht="18" customHeight="1" x14ac:dyDescent="0.35"/>
    <row r="237" s="3" customFormat="1" ht="18" customHeight="1" x14ac:dyDescent="0.35"/>
    <row r="238" s="3" customFormat="1" ht="18" customHeight="1" x14ac:dyDescent="0.35"/>
    <row r="239" s="3" customFormat="1" ht="18" customHeight="1" x14ac:dyDescent="0.35"/>
    <row r="240" s="3" customFormat="1" ht="18" customHeight="1" x14ac:dyDescent="0.35"/>
    <row r="241" s="3" customFormat="1" ht="18" customHeight="1" x14ac:dyDescent="0.35"/>
    <row r="242" s="3" customFormat="1" ht="18" customHeight="1" x14ac:dyDescent="0.35"/>
    <row r="243" s="3" customFormat="1" ht="18" customHeight="1" x14ac:dyDescent="0.35"/>
    <row r="244" s="3" customFormat="1" ht="18" customHeight="1" x14ac:dyDescent="0.35"/>
    <row r="245" s="3" customFormat="1" ht="18" customHeight="1" x14ac:dyDescent="0.35"/>
    <row r="246" s="3" customFormat="1" ht="18" customHeight="1" x14ac:dyDescent="0.35"/>
    <row r="247" s="3" customFormat="1" ht="18" customHeight="1" x14ac:dyDescent="0.35"/>
    <row r="248" s="3" customFormat="1" ht="18" customHeight="1" x14ac:dyDescent="0.35"/>
    <row r="249" s="3" customFormat="1" ht="18" customHeight="1" x14ac:dyDescent="0.35"/>
    <row r="250" s="3" customFormat="1" ht="18" customHeight="1" x14ac:dyDescent="0.35"/>
    <row r="251" s="3" customFormat="1" ht="18" customHeight="1" x14ac:dyDescent="0.35"/>
    <row r="252" s="3" customFormat="1" ht="18" customHeight="1" x14ac:dyDescent="0.35"/>
    <row r="253" s="3" customFormat="1" ht="18" customHeight="1" x14ac:dyDescent="0.35"/>
    <row r="254" s="3" customFormat="1" ht="18" customHeight="1" x14ac:dyDescent="0.35"/>
    <row r="255" s="3" customFormat="1" ht="18" customHeight="1" x14ac:dyDescent="0.35"/>
    <row r="256" s="3" customFormat="1" ht="18" customHeight="1" x14ac:dyDescent="0.35"/>
    <row r="257" s="3" customFormat="1" ht="18" customHeight="1" x14ac:dyDescent="0.35"/>
    <row r="258" s="3" customFormat="1" ht="18" customHeight="1" x14ac:dyDescent="0.35"/>
    <row r="259" s="3" customFormat="1" ht="18" customHeight="1" x14ac:dyDescent="0.35"/>
    <row r="260" s="3" customFormat="1" ht="18" customHeight="1" x14ac:dyDescent="0.35"/>
    <row r="261" s="3" customFormat="1" ht="18" customHeight="1" x14ac:dyDescent="0.35"/>
    <row r="262" s="3" customFormat="1" ht="18" customHeight="1" x14ac:dyDescent="0.35"/>
    <row r="263" s="3" customFormat="1" ht="18" customHeight="1" x14ac:dyDescent="0.35"/>
    <row r="264" s="3" customFormat="1" ht="18" customHeight="1" x14ac:dyDescent="0.35"/>
    <row r="265" s="3" customFormat="1" ht="18" customHeight="1" x14ac:dyDescent="0.35"/>
    <row r="266" s="3" customFormat="1" ht="18" customHeight="1" x14ac:dyDescent="0.35"/>
    <row r="267" s="3" customFormat="1" ht="18" customHeight="1" x14ac:dyDescent="0.35"/>
    <row r="268" s="3" customFormat="1" ht="18" customHeight="1" x14ac:dyDescent="0.35"/>
    <row r="269" s="3" customFormat="1" ht="18" customHeight="1" x14ac:dyDescent="0.35"/>
    <row r="270" s="3" customFormat="1" ht="18" customHeight="1" x14ac:dyDescent="0.35"/>
    <row r="271" s="3" customFormat="1" ht="18" customHeight="1" x14ac:dyDescent="0.35"/>
    <row r="272" s="3" customFormat="1" ht="18" customHeight="1" x14ac:dyDescent="0.35"/>
    <row r="273" s="3" customFormat="1" ht="18" customHeight="1" x14ac:dyDescent="0.35"/>
    <row r="274" s="3" customFormat="1" ht="18" customHeight="1" x14ac:dyDescent="0.35"/>
    <row r="275" s="3" customFormat="1" ht="18" customHeight="1" x14ac:dyDescent="0.35"/>
    <row r="276" s="3" customFormat="1" ht="18" customHeight="1" x14ac:dyDescent="0.35"/>
    <row r="277" s="3" customFormat="1" ht="18" customHeight="1" x14ac:dyDescent="0.35"/>
    <row r="278" s="3" customFormat="1" ht="18" customHeight="1" x14ac:dyDescent="0.35"/>
    <row r="279" s="3" customFormat="1" ht="18" customHeight="1" x14ac:dyDescent="0.35"/>
    <row r="280" s="3" customFormat="1" ht="18" customHeight="1" x14ac:dyDescent="0.35"/>
    <row r="281" s="3" customFormat="1" ht="18" customHeight="1" x14ac:dyDescent="0.35"/>
    <row r="282" s="3" customFormat="1" ht="18" customHeight="1" x14ac:dyDescent="0.35"/>
    <row r="283" s="3" customFormat="1" ht="18" customHeight="1" x14ac:dyDescent="0.35"/>
    <row r="284" s="3" customFormat="1" ht="18" customHeight="1" x14ac:dyDescent="0.35"/>
    <row r="285" s="3" customFormat="1" ht="18" customHeight="1" x14ac:dyDescent="0.35"/>
    <row r="286" s="3" customFormat="1" ht="18" customHeight="1" x14ac:dyDescent="0.35"/>
    <row r="287" s="3" customFormat="1" ht="18" customHeight="1" x14ac:dyDescent="0.35"/>
    <row r="288" s="3" customFormat="1" ht="18" customHeight="1" x14ac:dyDescent="0.35"/>
    <row r="289" s="3" customFormat="1" ht="18" customHeight="1" x14ac:dyDescent="0.35"/>
    <row r="290" s="3" customFormat="1" ht="18" customHeight="1" x14ac:dyDescent="0.35"/>
    <row r="291" s="3" customFormat="1" ht="18" customHeight="1" x14ac:dyDescent="0.35"/>
    <row r="292" s="3" customFormat="1" ht="18" customHeight="1" x14ac:dyDescent="0.35"/>
    <row r="293" s="3" customFormat="1" ht="18" customHeight="1" x14ac:dyDescent="0.35"/>
    <row r="294" s="3" customFormat="1" ht="18" customHeight="1" x14ac:dyDescent="0.35"/>
    <row r="295" s="3" customFormat="1" ht="18" customHeight="1" x14ac:dyDescent="0.35"/>
    <row r="296" s="3" customFormat="1" ht="18" customHeight="1" x14ac:dyDescent="0.35"/>
    <row r="297" s="3" customFormat="1" ht="18" customHeight="1" x14ac:dyDescent="0.35"/>
    <row r="298" s="3" customFormat="1" ht="18" customHeight="1" x14ac:dyDescent="0.35"/>
    <row r="299" s="3" customFormat="1" ht="18" customHeight="1" x14ac:dyDescent="0.35"/>
    <row r="300" s="3" customFormat="1" ht="18" customHeight="1" x14ac:dyDescent="0.35"/>
    <row r="301" s="3" customFormat="1" ht="18" customHeight="1" x14ac:dyDescent="0.35"/>
    <row r="302" s="3" customFormat="1" ht="18" customHeight="1" x14ac:dyDescent="0.35"/>
    <row r="303" s="3" customFormat="1" ht="18" customHeight="1" x14ac:dyDescent="0.35"/>
    <row r="304" s="3" customFormat="1" ht="18" customHeight="1" x14ac:dyDescent="0.35"/>
    <row r="305" s="3" customFormat="1" ht="18" customHeight="1" x14ac:dyDescent="0.35"/>
    <row r="306" s="3" customFormat="1" ht="18" customHeight="1" x14ac:dyDescent="0.35"/>
    <row r="307" s="3" customFormat="1" ht="18" customHeight="1" x14ac:dyDescent="0.35"/>
    <row r="308" s="3" customFormat="1" ht="18" customHeight="1" x14ac:dyDescent="0.35"/>
    <row r="309" s="3" customFormat="1" ht="18" customHeight="1" x14ac:dyDescent="0.35"/>
    <row r="310" s="3" customFormat="1" ht="18" customHeight="1" x14ac:dyDescent="0.35"/>
    <row r="311" s="3" customFormat="1" ht="18" customHeight="1" x14ac:dyDescent="0.35"/>
    <row r="312" s="3" customFormat="1" ht="18" customHeight="1" x14ac:dyDescent="0.35"/>
    <row r="313" s="3" customFormat="1" ht="18" customHeight="1" x14ac:dyDescent="0.35"/>
    <row r="314" s="3" customFormat="1" ht="18" customHeight="1" x14ac:dyDescent="0.35"/>
    <row r="315" s="3" customFormat="1" ht="18" customHeight="1" x14ac:dyDescent="0.35"/>
    <row r="316" s="3" customFormat="1" ht="18" customHeight="1" x14ac:dyDescent="0.35"/>
    <row r="317" s="3" customFormat="1" ht="18" customHeight="1" x14ac:dyDescent="0.35"/>
    <row r="318" s="3" customFormat="1" ht="18" customHeight="1" x14ac:dyDescent="0.35"/>
    <row r="319" s="3" customFormat="1" ht="18" customHeight="1" x14ac:dyDescent="0.35"/>
    <row r="320" s="3" customFormat="1" ht="18" customHeight="1" x14ac:dyDescent="0.35"/>
    <row r="321" s="3" customFormat="1" ht="18" customHeight="1" x14ac:dyDescent="0.35"/>
    <row r="322" s="3" customFormat="1" ht="18" customHeight="1" x14ac:dyDescent="0.35"/>
    <row r="323" s="3" customFormat="1" ht="18" customHeight="1" x14ac:dyDescent="0.35"/>
    <row r="324" s="3" customFormat="1" ht="18" customHeight="1" x14ac:dyDescent="0.35"/>
    <row r="325" s="3" customFormat="1" ht="18" customHeight="1" x14ac:dyDescent="0.35"/>
    <row r="326" s="3" customFormat="1" ht="18" customHeight="1" x14ac:dyDescent="0.35"/>
    <row r="327" s="3" customFormat="1" ht="18" customHeight="1" x14ac:dyDescent="0.35"/>
    <row r="328" s="3" customFormat="1" ht="18" customHeight="1" x14ac:dyDescent="0.35"/>
    <row r="329" s="3" customFormat="1" ht="18" customHeight="1" x14ac:dyDescent="0.35"/>
    <row r="330" s="3" customFormat="1" ht="18" customHeight="1" x14ac:dyDescent="0.35"/>
    <row r="331" s="3" customFormat="1" ht="18" customHeight="1" x14ac:dyDescent="0.35"/>
    <row r="332" s="3" customFormat="1" ht="18" customHeight="1" x14ac:dyDescent="0.35"/>
    <row r="333" s="3" customFormat="1" ht="18" customHeight="1" x14ac:dyDescent="0.35"/>
    <row r="334" s="3" customFormat="1" ht="18" customHeight="1" x14ac:dyDescent="0.35"/>
    <row r="335" s="3" customFormat="1" ht="18" customHeight="1" x14ac:dyDescent="0.35"/>
    <row r="336" s="3" customFormat="1" ht="18" customHeight="1" x14ac:dyDescent="0.35"/>
    <row r="337" s="3" customFormat="1" ht="18" customHeight="1" x14ac:dyDescent="0.35"/>
    <row r="338" s="3" customFormat="1" ht="18" customHeight="1" x14ac:dyDescent="0.35"/>
    <row r="339" s="3" customFormat="1" ht="18" customHeight="1" x14ac:dyDescent="0.35"/>
    <row r="340" s="3" customFormat="1" ht="18" customHeight="1" x14ac:dyDescent="0.35"/>
    <row r="341" s="3" customFormat="1" ht="18" customHeight="1" x14ac:dyDescent="0.35"/>
    <row r="342" s="3" customFormat="1" ht="18" customHeight="1" x14ac:dyDescent="0.35"/>
    <row r="343" s="3" customFormat="1" ht="18" customHeight="1" x14ac:dyDescent="0.35"/>
    <row r="344" s="3" customFormat="1" ht="18" customHeight="1" x14ac:dyDescent="0.35"/>
    <row r="345" s="3" customFormat="1" ht="18" customHeight="1" x14ac:dyDescent="0.35"/>
    <row r="346" s="3" customFormat="1" ht="18" customHeight="1" x14ac:dyDescent="0.35"/>
    <row r="347" s="3" customFormat="1" ht="18" customHeight="1" x14ac:dyDescent="0.35"/>
    <row r="348" s="3" customFormat="1" ht="18" customHeight="1" x14ac:dyDescent="0.35"/>
    <row r="349" s="3" customFormat="1" ht="18" customHeight="1" x14ac:dyDescent="0.35"/>
    <row r="350" s="3" customFormat="1" ht="18" customHeight="1" x14ac:dyDescent="0.35"/>
    <row r="351" s="3" customFormat="1" ht="18" customHeight="1" x14ac:dyDescent="0.35"/>
    <row r="352" s="3" customFormat="1" ht="18" customHeight="1" x14ac:dyDescent="0.35"/>
    <row r="353" s="3" customFormat="1" ht="18" customHeight="1" x14ac:dyDescent="0.35"/>
    <row r="354" s="3" customFormat="1" ht="18" customHeight="1" x14ac:dyDescent="0.35"/>
    <row r="355" s="3" customFormat="1" ht="18" customHeight="1" x14ac:dyDescent="0.35"/>
    <row r="356" s="3" customFormat="1" ht="18" customHeight="1" x14ac:dyDescent="0.35"/>
    <row r="357" s="3" customFormat="1" ht="18" customHeight="1" x14ac:dyDescent="0.35"/>
    <row r="358" s="3" customFormat="1" ht="18" customHeight="1" x14ac:dyDescent="0.35"/>
    <row r="359" s="3" customFormat="1" ht="18" customHeight="1" x14ac:dyDescent="0.35"/>
    <row r="360" s="3" customFormat="1" ht="18" customHeight="1" x14ac:dyDescent="0.35"/>
    <row r="361" s="3" customFormat="1" ht="18" customHeight="1" x14ac:dyDescent="0.35"/>
    <row r="362" s="3" customFormat="1" ht="18" customHeight="1" x14ac:dyDescent="0.35"/>
    <row r="363" s="3" customFormat="1" ht="18" customHeight="1" x14ac:dyDescent="0.35"/>
    <row r="364" s="3" customFormat="1" ht="18" customHeight="1" x14ac:dyDescent="0.35"/>
    <row r="365" s="3" customFormat="1" ht="18" customHeight="1" x14ac:dyDescent="0.35"/>
    <row r="366" s="3" customFormat="1" ht="18" customHeight="1" x14ac:dyDescent="0.35"/>
    <row r="367" s="3" customFormat="1" ht="18" customHeight="1" x14ac:dyDescent="0.35"/>
    <row r="368" s="3" customFormat="1" ht="18" customHeight="1" x14ac:dyDescent="0.35"/>
    <row r="369" s="3" customFormat="1" ht="18" customHeight="1" x14ac:dyDescent="0.35"/>
    <row r="370" s="3" customFormat="1" ht="18" customHeight="1" x14ac:dyDescent="0.35"/>
    <row r="371" s="3" customFormat="1" ht="18" customHeight="1" x14ac:dyDescent="0.35"/>
    <row r="372" s="3" customFormat="1" ht="18" customHeight="1" x14ac:dyDescent="0.35"/>
    <row r="373" s="3" customFormat="1" ht="18" customHeight="1" x14ac:dyDescent="0.35"/>
    <row r="374" s="3" customFormat="1" ht="18" customHeight="1" x14ac:dyDescent="0.35"/>
    <row r="375" s="3" customFormat="1" ht="18" customHeight="1" x14ac:dyDescent="0.35"/>
    <row r="376" s="3" customFormat="1" ht="18" customHeight="1" x14ac:dyDescent="0.35"/>
    <row r="377" s="3" customFormat="1" ht="18" customHeight="1" x14ac:dyDescent="0.35"/>
    <row r="378" s="3" customFormat="1" ht="18" customHeight="1" x14ac:dyDescent="0.35"/>
    <row r="379" s="3" customFormat="1" ht="18" customHeight="1" x14ac:dyDescent="0.35"/>
    <row r="380" s="3" customFormat="1" ht="18" customHeight="1" x14ac:dyDescent="0.35"/>
    <row r="381" s="3" customFormat="1" ht="18" customHeight="1" x14ac:dyDescent="0.35"/>
    <row r="382" s="3" customFormat="1" ht="18" customHeight="1" x14ac:dyDescent="0.35"/>
    <row r="383" s="3" customFormat="1" ht="18" customHeight="1" x14ac:dyDescent="0.35"/>
    <row r="384" s="3" customFormat="1" ht="18" customHeight="1" x14ac:dyDescent="0.35"/>
    <row r="385" s="3" customFormat="1" ht="18" customHeight="1" x14ac:dyDescent="0.35"/>
    <row r="386" s="3" customFormat="1" ht="18" customHeight="1" x14ac:dyDescent="0.35"/>
    <row r="387" s="3" customFormat="1" ht="18" customHeight="1" x14ac:dyDescent="0.35"/>
    <row r="388" s="3" customFormat="1" ht="18" customHeight="1" x14ac:dyDescent="0.35"/>
    <row r="389" s="3" customFormat="1" ht="18" customHeight="1" x14ac:dyDescent="0.35"/>
    <row r="390" s="3" customFormat="1" ht="18" customHeight="1" x14ac:dyDescent="0.35"/>
    <row r="391" s="3" customFormat="1" ht="18" customHeight="1" x14ac:dyDescent="0.35"/>
    <row r="392" s="3" customFormat="1" ht="18" customHeight="1" x14ac:dyDescent="0.35"/>
    <row r="393" s="3" customFormat="1" ht="18" customHeight="1" x14ac:dyDescent="0.35"/>
    <row r="394" s="3" customFormat="1" ht="18" customHeight="1" x14ac:dyDescent="0.35"/>
    <row r="395" s="3" customFormat="1" ht="18" customHeight="1" x14ac:dyDescent="0.35"/>
    <row r="396" s="3" customFormat="1" ht="18" customHeight="1" x14ac:dyDescent="0.35"/>
    <row r="397" s="3" customFormat="1" ht="18" customHeight="1" x14ac:dyDescent="0.35"/>
    <row r="398" s="3" customFormat="1" ht="18" customHeight="1" x14ac:dyDescent="0.35"/>
    <row r="399" s="3" customFormat="1" ht="18" customHeight="1" x14ac:dyDescent="0.35"/>
    <row r="400" s="3" customFormat="1" ht="18" customHeight="1" x14ac:dyDescent="0.35"/>
    <row r="401" s="3" customFormat="1" ht="18" customHeight="1" x14ac:dyDescent="0.35"/>
    <row r="402" s="3" customFormat="1" ht="18" customHeight="1" x14ac:dyDescent="0.35"/>
    <row r="403" s="3" customFormat="1" ht="18" customHeight="1" x14ac:dyDescent="0.35"/>
    <row r="404" s="3" customFormat="1" ht="18" customHeight="1" x14ac:dyDescent="0.35"/>
    <row r="405" s="3" customFormat="1" ht="18" customHeight="1" x14ac:dyDescent="0.35"/>
    <row r="406" s="3" customFormat="1" ht="18" customHeight="1" x14ac:dyDescent="0.35"/>
    <row r="407" s="3" customFormat="1" ht="18" customHeight="1" x14ac:dyDescent="0.35"/>
    <row r="408" s="3" customFormat="1" ht="18" customHeight="1" x14ac:dyDescent="0.35"/>
    <row r="409" s="3" customFormat="1" ht="18" customHeight="1" x14ac:dyDescent="0.35"/>
    <row r="410" s="3" customFormat="1" ht="18" customHeight="1" x14ac:dyDescent="0.35"/>
    <row r="411" s="3" customFormat="1" ht="18" customHeight="1" x14ac:dyDescent="0.35"/>
    <row r="412" s="3" customFormat="1" ht="18" customHeight="1" x14ac:dyDescent="0.35"/>
    <row r="413" s="3" customFormat="1" ht="18" customHeight="1" x14ac:dyDescent="0.35"/>
    <row r="414" s="3" customFormat="1" ht="18" customHeight="1" x14ac:dyDescent="0.35"/>
    <row r="415" s="3" customFormat="1" ht="18" customHeight="1" x14ac:dyDescent="0.35"/>
    <row r="416" s="3" customFormat="1" ht="18" customHeight="1" x14ac:dyDescent="0.35"/>
    <row r="417" s="3" customFormat="1" ht="18" customHeight="1" x14ac:dyDescent="0.35"/>
    <row r="418" s="3" customFormat="1" ht="18" customHeight="1" x14ac:dyDescent="0.35"/>
    <row r="419" s="3" customFormat="1" ht="18" customHeight="1" x14ac:dyDescent="0.35"/>
    <row r="420" s="3" customFormat="1" ht="18" customHeight="1" x14ac:dyDescent="0.35"/>
    <row r="421" s="3" customFormat="1" ht="18" customHeight="1" x14ac:dyDescent="0.35"/>
    <row r="422" s="3" customFormat="1" ht="18" customHeight="1" x14ac:dyDescent="0.35"/>
    <row r="423" s="3" customFormat="1" ht="18" customHeight="1" x14ac:dyDescent="0.35"/>
    <row r="424" s="3" customFormat="1" ht="18" customHeight="1" x14ac:dyDescent="0.35"/>
    <row r="425" s="3" customFormat="1" ht="18" customHeight="1" x14ac:dyDescent="0.35"/>
    <row r="426" s="3" customFormat="1" ht="18" customHeight="1" x14ac:dyDescent="0.35"/>
    <row r="427" s="3" customFormat="1" ht="18" customHeight="1" x14ac:dyDescent="0.35"/>
    <row r="428" s="3" customFormat="1" ht="18" customHeight="1" x14ac:dyDescent="0.35"/>
    <row r="429" s="3" customFormat="1" ht="18" customHeight="1" x14ac:dyDescent="0.35"/>
    <row r="430" s="3" customFormat="1" ht="18" customHeight="1" x14ac:dyDescent="0.35"/>
    <row r="431" s="3" customFormat="1" ht="18" customHeight="1" x14ac:dyDescent="0.35"/>
    <row r="432" s="3" customFormat="1" ht="18" customHeight="1" x14ac:dyDescent="0.35"/>
    <row r="433" s="3" customFormat="1" ht="18" customHeight="1" x14ac:dyDescent="0.35"/>
    <row r="434" s="3" customFormat="1" ht="18" customHeight="1" x14ac:dyDescent="0.35"/>
    <row r="435" s="3" customFormat="1" ht="18" customHeight="1" x14ac:dyDescent="0.35"/>
    <row r="436" s="3" customFormat="1" ht="18" customHeight="1" x14ac:dyDescent="0.35"/>
    <row r="437" s="3" customFormat="1" ht="18" customHeight="1" x14ac:dyDescent="0.35"/>
    <row r="438" s="3" customFormat="1" ht="18" customHeight="1" x14ac:dyDescent="0.35"/>
    <row r="439" s="3" customFormat="1" ht="18" customHeight="1" x14ac:dyDescent="0.35"/>
    <row r="440" s="3" customFormat="1" ht="18" customHeight="1" x14ac:dyDescent="0.35"/>
    <row r="441" s="3" customFormat="1" ht="18" customHeight="1" x14ac:dyDescent="0.35"/>
    <row r="442" s="3" customFormat="1" ht="18" customHeight="1" x14ac:dyDescent="0.35"/>
    <row r="443" s="3" customFormat="1" ht="18" customHeight="1" x14ac:dyDescent="0.35"/>
    <row r="444" s="3" customFormat="1" ht="18" customHeight="1" x14ac:dyDescent="0.35"/>
    <row r="445" s="3" customFormat="1" ht="18" customHeight="1" x14ac:dyDescent="0.35"/>
    <row r="446" s="3" customFormat="1" ht="18" customHeight="1" x14ac:dyDescent="0.35"/>
    <row r="447" s="3" customFormat="1" ht="18" customHeight="1" x14ac:dyDescent="0.35"/>
    <row r="448" s="3" customFormat="1" ht="18" customHeight="1" x14ac:dyDescent="0.35"/>
    <row r="449" s="3" customFormat="1" ht="18" customHeight="1" x14ac:dyDescent="0.35"/>
    <row r="450" s="3" customFormat="1" ht="18" customHeight="1" x14ac:dyDescent="0.35"/>
    <row r="451" s="3" customFormat="1" ht="18" customHeight="1" x14ac:dyDescent="0.35"/>
    <row r="452" s="3" customFormat="1" ht="18" customHeight="1" x14ac:dyDescent="0.35"/>
    <row r="453" s="3" customFormat="1" ht="18" customHeight="1" x14ac:dyDescent="0.35"/>
    <row r="454" s="3" customFormat="1" ht="18" customHeight="1" x14ac:dyDescent="0.35"/>
    <row r="455" s="3" customFormat="1" ht="18" customHeight="1" x14ac:dyDescent="0.35"/>
    <row r="456" s="3" customFormat="1" ht="18" customHeight="1" x14ac:dyDescent="0.35"/>
    <row r="457" s="3" customFormat="1" ht="18" customHeight="1" x14ac:dyDescent="0.35"/>
    <row r="458" s="3" customFormat="1" ht="18" customHeight="1" x14ac:dyDescent="0.35"/>
    <row r="459" s="3" customFormat="1" ht="18" customHeight="1" x14ac:dyDescent="0.35"/>
    <row r="460" s="3" customFormat="1" ht="18" customHeight="1" x14ac:dyDescent="0.35"/>
    <row r="461" s="3" customFormat="1" ht="18" customHeight="1" x14ac:dyDescent="0.35"/>
    <row r="462" s="3" customFormat="1" ht="18" customHeight="1" x14ac:dyDescent="0.35"/>
    <row r="463" s="3" customFormat="1" ht="18" customHeight="1" x14ac:dyDescent="0.35"/>
    <row r="464" s="3" customFormat="1" ht="18" customHeight="1" x14ac:dyDescent="0.35"/>
    <row r="465" s="3" customFormat="1" ht="18" customHeight="1" x14ac:dyDescent="0.35"/>
    <row r="466" s="3" customFormat="1" ht="18" customHeight="1" x14ac:dyDescent="0.35"/>
    <row r="467" s="3" customFormat="1" ht="18" customHeight="1" x14ac:dyDescent="0.35"/>
    <row r="468" s="3" customFormat="1" ht="18" customHeight="1" x14ac:dyDescent="0.35"/>
    <row r="469" s="3" customFormat="1" ht="18" customHeight="1" x14ac:dyDescent="0.35"/>
    <row r="470" s="3" customFormat="1" ht="18" customHeight="1" x14ac:dyDescent="0.35"/>
    <row r="471" s="3" customFormat="1" ht="18" customHeight="1" x14ac:dyDescent="0.35"/>
    <row r="472" s="3" customFormat="1" ht="18" customHeight="1" x14ac:dyDescent="0.35"/>
    <row r="473" s="3" customFormat="1" ht="18" customHeight="1" x14ac:dyDescent="0.35"/>
    <row r="474" s="3" customFormat="1" ht="18" customHeight="1" x14ac:dyDescent="0.35"/>
    <row r="475" s="3" customFormat="1" ht="18" customHeight="1" x14ac:dyDescent="0.35"/>
    <row r="476" s="3" customFormat="1" ht="18" customHeight="1" x14ac:dyDescent="0.35"/>
    <row r="477" s="3" customFormat="1" ht="18" customHeight="1" x14ac:dyDescent="0.35"/>
    <row r="478" s="3" customFormat="1" ht="18" customHeight="1" x14ac:dyDescent="0.35"/>
    <row r="479" s="3" customFormat="1" ht="18" customHeight="1" x14ac:dyDescent="0.35"/>
    <row r="480" s="3" customFormat="1" ht="18" customHeight="1" x14ac:dyDescent="0.35"/>
    <row r="481" s="3" customFormat="1" ht="18" customHeight="1" x14ac:dyDescent="0.35"/>
    <row r="482" s="3" customFormat="1" ht="18" customHeight="1" x14ac:dyDescent="0.35"/>
    <row r="483" s="3" customFormat="1" ht="18" customHeight="1" x14ac:dyDescent="0.35"/>
    <row r="484" s="3" customFormat="1" ht="18" customHeight="1" x14ac:dyDescent="0.35"/>
    <row r="485" s="3" customFormat="1" ht="18" customHeight="1" x14ac:dyDescent="0.35"/>
    <row r="486" s="3" customFormat="1" ht="18" customHeight="1" x14ac:dyDescent="0.35"/>
    <row r="487" s="3" customFormat="1" ht="18" customHeight="1" x14ac:dyDescent="0.35"/>
    <row r="488" s="3" customFormat="1" ht="18" customHeight="1" x14ac:dyDescent="0.35"/>
    <row r="489" s="3" customFormat="1" ht="18" customHeight="1" x14ac:dyDescent="0.35"/>
    <row r="490" s="3" customFormat="1" ht="18" customHeight="1" x14ac:dyDescent="0.35"/>
    <row r="491" s="3" customFormat="1" ht="18" customHeight="1" x14ac:dyDescent="0.35"/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W491"/>
  <sheetViews>
    <sheetView zoomScale="115" zoomScaleNormal="115" workbookViewId="0">
      <pane xSplit="1" ySplit="2" topLeftCell="B127" activePane="bottomRight" state="frozen"/>
      <selection pane="topRight" activeCell="B1" sqref="B1"/>
      <selection pane="bottomLeft" activeCell="A3" sqref="A3"/>
      <selection pane="bottomRight" activeCell="A132" sqref="A132:XFD133"/>
    </sheetView>
  </sheetViews>
  <sheetFormatPr defaultColWidth="14.90625" defaultRowHeight="14.5" x14ac:dyDescent="0.35"/>
  <cols>
    <col min="1" max="1" width="36.54296875" style="15" customWidth="1"/>
    <col min="2" max="2" width="22.36328125" style="51" customWidth="1"/>
    <col min="3" max="6" width="15.36328125" style="3" bestFit="1" customWidth="1"/>
    <col min="7" max="7" width="18.36328125" style="3" bestFit="1" customWidth="1"/>
    <col min="8" max="67" width="15.36328125" style="3" bestFit="1" customWidth="1"/>
    <col min="68" max="16384" width="14.90625" style="3"/>
  </cols>
  <sheetData>
    <row r="1" spans="1:61" x14ac:dyDescent="0.35">
      <c r="A1" s="15" t="s">
        <v>197</v>
      </c>
      <c r="B1" s="51">
        <v>1</v>
      </c>
      <c r="C1" s="3">
        <v>2</v>
      </c>
      <c r="D1" s="3">
        <v>3</v>
      </c>
      <c r="E1" s="3">
        <v>4</v>
      </c>
      <c r="F1" s="3">
        <v>5</v>
      </c>
      <c r="G1" s="3">
        <v>6</v>
      </c>
      <c r="H1" s="3">
        <v>7</v>
      </c>
      <c r="I1" s="3">
        <v>8</v>
      </c>
      <c r="J1" s="3">
        <v>9</v>
      </c>
      <c r="K1" s="3">
        <v>10</v>
      </c>
      <c r="L1" s="3">
        <v>11</v>
      </c>
      <c r="M1" s="3">
        <v>12</v>
      </c>
      <c r="N1" s="3">
        <v>13</v>
      </c>
      <c r="O1" s="3">
        <v>14</v>
      </c>
      <c r="P1" s="3">
        <v>15</v>
      </c>
      <c r="Q1" s="3">
        <v>16</v>
      </c>
      <c r="R1" s="3">
        <v>17</v>
      </c>
      <c r="S1" s="3">
        <v>18</v>
      </c>
      <c r="T1" s="3">
        <v>19</v>
      </c>
      <c r="U1" s="3">
        <v>20</v>
      </c>
      <c r="V1" s="3">
        <v>21</v>
      </c>
      <c r="W1" s="3">
        <v>22</v>
      </c>
      <c r="X1" s="3">
        <v>23</v>
      </c>
      <c r="Y1" s="3">
        <v>24</v>
      </c>
      <c r="Z1" s="3">
        <v>25</v>
      </c>
      <c r="AA1" s="3">
        <v>26</v>
      </c>
      <c r="AB1" s="3">
        <v>27</v>
      </c>
      <c r="AC1" s="3">
        <v>28</v>
      </c>
      <c r="AD1" s="3">
        <v>29</v>
      </c>
      <c r="AE1" s="3">
        <v>30</v>
      </c>
      <c r="AF1" s="3">
        <v>31</v>
      </c>
      <c r="AG1" s="3">
        <v>32</v>
      </c>
      <c r="AH1" s="3">
        <v>33</v>
      </c>
      <c r="AI1" s="3">
        <v>34</v>
      </c>
      <c r="AJ1" s="3">
        <v>35</v>
      </c>
      <c r="AK1" s="3">
        <v>36</v>
      </c>
      <c r="AL1" s="3">
        <v>37</v>
      </c>
      <c r="AM1" s="3">
        <v>38</v>
      </c>
      <c r="AN1" s="3">
        <v>39</v>
      </c>
      <c r="AO1" s="3">
        <f>+AN1+1</f>
        <v>40</v>
      </c>
      <c r="AP1" s="3">
        <f t="shared" ref="AP1:BI1" si="0">+AO1+1</f>
        <v>41</v>
      </c>
      <c r="AQ1" s="3">
        <f t="shared" si="0"/>
        <v>42</v>
      </c>
      <c r="AR1" s="3">
        <f t="shared" si="0"/>
        <v>43</v>
      </c>
      <c r="AS1" s="3">
        <f t="shared" si="0"/>
        <v>44</v>
      </c>
      <c r="AT1" s="3">
        <f t="shared" si="0"/>
        <v>45</v>
      </c>
      <c r="AU1" s="3">
        <f t="shared" si="0"/>
        <v>46</v>
      </c>
      <c r="AV1" s="3">
        <f t="shared" si="0"/>
        <v>47</v>
      </c>
      <c r="AW1" s="3">
        <f t="shared" si="0"/>
        <v>48</v>
      </c>
      <c r="AX1" s="3">
        <f t="shared" si="0"/>
        <v>49</v>
      </c>
      <c r="AY1" s="3">
        <f t="shared" si="0"/>
        <v>50</v>
      </c>
      <c r="AZ1" s="3">
        <f t="shared" si="0"/>
        <v>51</v>
      </c>
      <c r="BA1" s="3">
        <f t="shared" si="0"/>
        <v>52</v>
      </c>
      <c r="BB1" s="3">
        <f t="shared" si="0"/>
        <v>53</v>
      </c>
      <c r="BC1" s="3">
        <f t="shared" si="0"/>
        <v>54</v>
      </c>
      <c r="BD1" s="3">
        <f t="shared" si="0"/>
        <v>55</v>
      </c>
      <c r="BE1" s="3">
        <f t="shared" si="0"/>
        <v>56</v>
      </c>
      <c r="BF1" s="3">
        <f t="shared" si="0"/>
        <v>57</v>
      </c>
      <c r="BG1" s="3">
        <f t="shared" si="0"/>
        <v>58</v>
      </c>
      <c r="BH1" s="3">
        <f t="shared" si="0"/>
        <v>59</v>
      </c>
      <c r="BI1" s="3">
        <f t="shared" si="0"/>
        <v>60</v>
      </c>
    </row>
    <row r="2" spans="1:61" x14ac:dyDescent="0.35">
      <c r="A2" s="80"/>
      <c r="B2" s="51">
        <v>2010</v>
      </c>
      <c r="C2" s="3">
        <f>+B2+Parameters!$B$21</f>
        <v>2015</v>
      </c>
      <c r="D2" s="3">
        <f>+C2+Parameters!$B$21</f>
        <v>2020</v>
      </c>
      <c r="E2" s="3">
        <f>+D2+Parameters!$B$21</f>
        <v>2025</v>
      </c>
      <c r="F2" s="3">
        <f>+E2+Parameters!$B$21</f>
        <v>2030</v>
      </c>
      <c r="G2" s="3">
        <f>+F2+Parameters!$B$21</f>
        <v>2035</v>
      </c>
      <c r="H2" s="3">
        <f>+G2+Parameters!$B$21</f>
        <v>2040</v>
      </c>
      <c r="I2" s="3">
        <f>+H2+Parameters!$B$21</f>
        <v>2045</v>
      </c>
      <c r="J2" s="3">
        <f>+I2+Parameters!$B$21</f>
        <v>2050</v>
      </c>
      <c r="K2" s="3">
        <f>+J2+Parameters!$B$21</f>
        <v>2055</v>
      </c>
      <c r="L2" s="3">
        <f>+K2+Parameters!$B$21</f>
        <v>2060</v>
      </c>
      <c r="M2" s="3">
        <f>+L2+Parameters!$B$21</f>
        <v>2065</v>
      </c>
      <c r="N2" s="3">
        <f>+M2+Parameters!$B$21</f>
        <v>2070</v>
      </c>
      <c r="O2" s="3">
        <f>+N2+Parameters!$B$21</f>
        <v>2075</v>
      </c>
      <c r="P2" s="3">
        <f>+O2+Parameters!$B$21</f>
        <v>2080</v>
      </c>
      <c r="Q2" s="3">
        <f>+P2+Parameters!$B$21</f>
        <v>2085</v>
      </c>
      <c r="R2" s="3">
        <f>+Q2+Parameters!$B$21</f>
        <v>2090</v>
      </c>
      <c r="S2" s="3">
        <f>+R2+Parameters!$B$21</f>
        <v>2095</v>
      </c>
      <c r="T2" s="3">
        <f>+S2+Parameters!$B$21</f>
        <v>2100</v>
      </c>
      <c r="U2" s="3">
        <f>+T2+Parameters!$B$21</f>
        <v>2105</v>
      </c>
      <c r="V2" s="3">
        <f>+U2+Parameters!$B$21</f>
        <v>2110</v>
      </c>
      <c r="W2" s="3">
        <f>+V2+Parameters!$B$21</f>
        <v>2115</v>
      </c>
      <c r="X2" s="3">
        <f>+W2+Parameters!$B$21</f>
        <v>2120</v>
      </c>
      <c r="Y2" s="3">
        <f>+X2+Parameters!$B$21</f>
        <v>2125</v>
      </c>
      <c r="Z2" s="3">
        <f>+Y2+Parameters!$B$21</f>
        <v>2130</v>
      </c>
      <c r="AA2" s="3">
        <f>+Z2+Parameters!$B$21</f>
        <v>2135</v>
      </c>
      <c r="AB2" s="3">
        <f>+AA2+Parameters!$B$21</f>
        <v>2140</v>
      </c>
      <c r="AC2" s="3">
        <f>+AB2+Parameters!$B$21</f>
        <v>2145</v>
      </c>
      <c r="AD2" s="3">
        <f>+AC2+Parameters!$B$21</f>
        <v>2150</v>
      </c>
      <c r="AE2" s="3">
        <f>+AD2+Parameters!$B$21</f>
        <v>2155</v>
      </c>
      <c r="AF2" s="3">
        <f>+AE2+Parameters!$B$21</f>
        <v>2160</v>
      </c>
      <c r="AG2" s="3">
        <f>+AF2+Parameters!$B$21</f>
        <v>2165</v>
      </c>
      <c r="AH2" s="3">
        <f>+AG2+Parameters!$B$21</f>
        <v>2170</v>
      </c>
      <c r="AI2" s="3">
        <f>+AH2+Parameters!$B$21</f>
        <v>2175</v>
      </c>
      <c r="AJ2" s="3">
        <f>+AI2+Parameters!$B$21</f>
        <v>2180</v>
      </c>
      <c r="AK2" s="3">
        <f>+AJ2+Parameters!$B$21</f>
        <v>2185</v>
      </c>
      <c r="AL2" s="3">
        <f>+AK2+Parameters!$B$21</f>
        <v>2190</v>
      </c>
      <c r="AM2" s="3">
        <f>+AL2+Parameters!$B$21</f>
        <v>2195</v>
      </c>
      <c r="AN2" s="3">
        <f>+AM2+Parameters!$B$21</f>
        <v>2200</v>
      </c>
      <c r="AO2" s="3">
        <f>+AN2+Parameters!$B$21</f>
        <v>2205</v>
      </c>
      <c r="AP2" s="3">
        <f>+AO2+Parameters!$B$21</f>
        <v>2210</v>
      </c>
      <c r="AQ2" s="3">
        <f>+AP2+Parameters!$B$21</f>
        <v>2215</v>
      </c>
      <c r="AR2" s="3">
        <f>+AQ2+Parameters!$B$21</f>
        <v>2220</v>
      </c>
      <c r="AS2" s="3">
        <f>+AR2+Parameters!$B$21</f>
        <v>2225</v>
      </c>
      <c r="AT2" s="3">
        <f>+AS2+Parameters!$B$21</f>
        <v>2230</v>
      </c>
      <c r="AU2" s="3">
        <f>+AT2+Parameters!$B$21</f>
        <v>2235</v>
      </c>
      <c r="AV2" s="3">
        <f>+AU2+Parameters!$B$21</f>
        <v>2240</v>
      </c>
      <c r="AW2" s="3">
        <f>+AV2+Parameters!$B$21</f>
        <v>2245</v>
      </c>
      <c r="AX2" s="3">
        <f>+AW2+Parameters!$B$21</f>
        <v>2250</v>
      </c>
      <c r="AY2" s="3">
        <f>+AX2+Parameters!$B$21</f>
        <v>2255</v>
      </c>
      <c r="AZ2" s="3">
        <f>+AY2+Parameters!$B$21</f>
        <v>2260</v>
      </c>
      <c r="BA2" s="3">
        <f>+AZ2+Parameters!$B$21</f>
        <v>2265</v>
      </c>
      <c r="BB2" s="3">
        <f>+BA2+Parameters!$B$21</f>
        <v>2270</v>
      </c>
      <c r="BC2" s="3">
        <f>+BB2+Parameters!$B$21</f>
        <v>2275</v>
      </c>
      <c r="BD2" s="3">
        <f>+BC2+Parameters!$B$21</f>
        <v>2280</v>
      </c>
      <c r="BE2" s="3">
        <f>+BD2+Parameters!$B$21</f>
        <v>2285</v>
      </c>
      <c r="BF2" s="3">
        <f>+BE2+Parameters!$B$21</f>
        <v>2290</v>
      </c>
      <c r="BG2" s="3">
        <f>+BF2+Parameters!$B$21</f>
        <v>2295</v>
      </c>
      <c r="BH2" s="3">
        <f>+BG2+Parameters!$B$21</f>
        <v>2300</v>
      </c>
      <c r="BI2" s="3">
        <f>+BH2+Parameters!$B$21</f>
        <v>2305</v>
      </c>
    </row>
    <row r="3" spans="1:61" ht="45.5" thickBot="1" x14ac:dyDescent="0.4">
      <c r="A3" s="81" t="s">
        <v>201</v>
      </c>
    </row>
    <row r="4" spans="1:61" ht="35" thickTop="1" thickBot="1" x14ac:dyDescent="0.4">
      <c r="A4" s="82" t="s">
        <v>35</v>
      </c>
    </row>
    <row r="5" spans="1:61" ht="21" customHeight="1" thickTop="1" x14ac:dyDescent="0.35">
      <c r="A5" s="15" t="s">
        <v>51</v>
      </c>
      <c r="B5" s="51">
        <f>+Base!B5</f>
        <v>0.3</v>
      </c>
    </row>
    <row r="6" spans="1:61" ht="21" customHeight="1" x14ac:dyDescent="0.35">
      <c r="A6" s="15" t="s">
        <v>144</v>
      </c>
      <c r="B6" s="51">
        <f>+Base!B6</f>
        <v>0.1</v>
      </c>
    </row>
    <row r="7" spans="1:61" ht="1.25" customHeight="1" x14ac:dyDescent="0.35">
      <c r="A7" s="113" t="s">
        <v>167</v>
      </c>
      <c r="B7" s="114">
        <f>+Parameters!B22*Parameters!B23</f>
        <v>0</v>
      </c>
    </row>
    <row r="8" spans="1:61" ht="21" hidden="1" customHeight="1" x14ac:dyDescent="0.35">
      <c r="A8" s="113" t="s">
        <v>168</v>
      </c>
      <c r="B8" s="114">
        <f>1-Parameters!B24</f>
        <v>0.5</v>
      </c>
    </row>
    <row r="9" spans="1:61" ht="21" hidden="1" customHeight="1" x14ac:dyDescent="0.35">
      <c r="A9" s="113" t="s">
        <v>179</v>
      </c>
      <c r="B9" s="115">
        <f>+B7*B8</f>
        <v>0</v>
      </c>
    </row>
    <row r="10" spans="1:61" ht="21" hidden="1" customHeight="1" x14ac:dyDescent="0.35">
      <c r="A10" s="13" t="s">
        <v>315</v>
      </c>
      <c r="B10" s="8">
        <f>+B6+B9</f>
        <v>0.1</v>
      </c>
    </row>
    <row r="11" spans="1:61" ht="26.4" customHeight="1" x14ac:dyDescent="0.35">
      <c r="A11" s="15" t="s">
        <v>22</v>
      </c>
      <c r="B11" s="51">
        <f>+Base!B11</f>
        <v>66.95</v>
      </c>
    </row>
    <row r="12" spans="1:61" ht="21" customHeight="1" x14ac:dyDescent="0.35">
      <c r="A12" s="15" t="s">
        <v>13</v>
      </c>
      <c r="B12" s="51">
        <f>+Base!B12</f>
        <v>135</v>
      </c>
    </row>
    <row r="13" spans="1:61" ht="21" customHeight="1" x14ac:dyDescent="0.35">
      <c r="A13" s="15" t="s">
        <v>71</v>
      </c>
      <c r="B13" s="51">
        <f>+Base!B13</f>
        <v>3.7976214000000001</v>
      </c>
    </row>
    <row r="14" spans="1:61" ht="21" customHeight="1" thickBot="1" x14ac:dyDescent="0.4">
      <c r="A14" s="82" t="s">
        <v>52</v>
      </c>
    </row>
    <row r="15" spans="1:61" ht="21" customHeight="1" thickTop="1" x14ac:dyDescent="0.35">
      <c r="A15" s="15" t="s">
        <v>135</v>
      </c>
      <c r="B15" s="51">
        <f>+B16</f>
        <v>1E-3</v>
      </c>
      <c r="C15" s="3">
        <f>+B15</f>
        <v>1E-3</v>
      </c>
      <c r="D15" s="3">
        <f t="shared" ref="D15:BI15" si="1">+C15</f>
        <v>1E-3</v>
      </c>
      <c r="E15" s="3">
        <f t="shared" si="1"/>
        <v>1E-3</v>
      </c>
      <c r="F15" s="3">
        <f t="shared" si="1"/>
        <v>1E-3</v>
      </c>
      <c r="G15" s="3">
        <f t="shared" si="1"/>
        <v>1E-3</v>
      </c>
      <c r="H15" s="3">
        <f t="shared" si="1"/>
        <v>1E-3</v>
      </c>
      <c r="I15" s="3">
        <f t="shared" si="1"/>
        <v>1E-3</v>
      </c>
      <c r="J15" s="3">
        <f t="shared" si="1"/>
        <v>1E-3</v>
      </c>
      <c r="K15" s="3">
        <f t="shared" si="1"/>
        <v>1E-3</v>
      </c>
      <c r="L15" s="3">
        <f t="shared" si="1"/>
        <v>1E-3</v>
      </c>
      <c r="M15" s="3">
        <f t="shared" si="1"/>
        <v>1E-3</v>
      </c>
      <c r="N15" s="3">
        <f t="shared" si="1"/>
        <v>1E-3</v>
      </c>
      <c r="O15" s="3">
        <f t="shared" si="1"/>
        <v>1E-3</v>
      </c>
      <c r="P15" s="3">
        <f t="shared" si="1"/>
        <v>1E-3</v>
      </c>
      <c r="Q15" s="3">
        <f t="shared" si="1"/>
        <v>1E-3</v>
      </c>
      <c r="R15" s="3">
        <f t="shared" si="1"/>
        <v>1E-3</v>
      </c>
      <c r="S15" s="3">
        <f t="shared" si="1"/>
        <v>1E-3</v>
      </c>
      <c r="T15" s="3">
        <f t="shared" si="1"/>
        <v>1E-3</v>
      </c>
      <c r="U15" s="3">
        <f t="shared" si="1"/>
        <v>1E-3</v>
      </c>
      <c r="V15" s="3">
        <f t="shared" si="1"/>
        <v>1E-3</v>
      </c>
      <c r="W15" s="3">
        <f t="shared" si="1"/>
        <v>1E-3</v>
      </c>
      <c r="X15" s="3">
        <f t="shared" si="1"/>
        <v>1E-3</v>
      </c>
      <c r="Y15" s="3">
        <f t="shared" si="1"/>
        <v>1E-3</v>
      </c>
      <c r="Z15" s="3">
        <f t="shared" si="1"/>
        <v>1E-3</v>
      </c>
      <c r="AA15" s="3">
        <f t="shared" si="1"/>
        <v>1E-3</v>
      </c>
      <c r="AB15" s="3">
        <f t="shared" si="1"/>
        <v>1E-3</v>
      </c>
      <c r="AC15" s="3">
        <f t="shared" si="1"/>
        <v>1E-3</v>
      </c>
      <c r="AD15" s="3">
        <f t="shared" si="1"/>
        <v>1E-3</v>
      </c>
      <c r="AE15" s="3">
        <f t="shared" si="1"/>
        <v>1E-3</v>
      </c>
      <c r="AF15" s="3">
        <f t="shared" si="1"/>
        <v>1E-3</v>
      </c>
      <c r="AG15" s="3">
        <f t="shared" si="1"/>
        <v>1E-3</v>
      </c>
      <c r="AH15" s="3">
        <f t="shared" si="1"/>
        <v>1E-3</v>
      </c>
      <c r="AI15" s="3">
        <f t="shared" si="1"/>
        <v>1E-3</v>
      </c>
      <c r="AJ15" s="3">
        <f t="shared" si="1"/>
        <v>1E-3</v>
      </c>
      <c r="AK15" s="3">
        <f t="shared" si="1"/>
        <v>1E-3</v>
      </c>
      <c r="AL15" s="3">
        <f t="shared" si="1"/>
        <v>1E-3</v>
      </c>
      <c r="AM15" s="3">
        <f t="shared" si="1"/>
        <v>1E-3</v>
      </c>
      <c r="AN15" s="3">
        <f t="shared" si="1"/>
        <v>1E-3</v>
      </c>
      <c r="AO15" s="3">
        <f t="shared" si="1"/>
        <v>1E-3</v>
      </c>
      <c r="AP15" s="3">
        <f t="shared" si="1"/>
        <v>1E-3</v>
      </c>
      <c r="AQ15" s="3">
        <f t="shared" si="1"/>
        <v>1E-3</v>
      </c>
      <c r="AR15" s="3">
        <f t="shared" si="1"/>
        <v>1E-3</v>
      </c>
      <c r="AS15" s="3">
        <f t="shared" si="1"/>
        <v>1E-3</v>
      </c>
      <c r="AT15" s="3">
        <f t="shared" si="1"/>
        <v>1E-3</v>
      </c>
      <c r="AU15" s="3">
        <f t="shared" si="1"/>
        <v>1E-3</v>
      </c>
      <c r="AV15" s="3">
        <f t="shared" si="1"/>
        <v>1E-3</v>
      </c>
      <c r="AW15" s="3">
        <f t="shared" si="1"/>
        <v>1E-3</v>
      </c>
      <c r="AX15" s="3">
        <f t="shared" si="1"/>
        <v>1E-3</v>
      </c>
      <c r="AY15" s="3">
        <f t="shared" si="1"/>
        <v>1E-3</v>
      </c>
      <c r="AZ15" s="3">
        <f t="shared" si="1"/>
        <v>1E-3</v>
      </c>
      <c r="BA15" s="3">
        <f t="shared" si="1"/>
        <v>1E-3</v>
      </c>
      <c r="BB15" s="3">
        <f t="shared" si="1"/>
        <v>1E-3</v>
      </c>
      <c r="BC15" s="3">
        <f t="shared" si="1"/>
        <v>1E-3</v>
      </c>
      <c r="BD15" s="3">
        <f t="shared" si="1"/>
        <v>1E-3</v>
      </c>
      <c r="BE15" s="3">
        <f t="shared" si="1"/>
        <v>1E-3</v>
      </c>
      <c r="BF15" s="3">
        <f t="shared" si="1"/>
        <v>1E-3</v>
      </c>
      <c r="BG15" s="3">
        <f t="shared" si="1"/>
        <v>1E-3</v>
      </c>
      <c r="BH15" s="3">
        <f t="shared" si="1"/>
        <v>1E-3</v>
      </c>
      <c r="BI15" s="3">
        <f t="shared" si="1"/>
        <v>1E-3</v>
      </c>
    </row>
    <row r="16" spans="1:61" ht="21" customHeight="1" x14ac:dyDescent="0.35">
      <c r="A16" s="15" t="s">
        <v>143</v>
      </c>
      <c r="B16" s="51">
        <v>1E-3</v>
      </c>
    </row>
    <row r="17" spans="1:124" ht="0.65" customHeight="1" x14ac:dyDescent="0.35">
      <c r="A17" s="15" t="s">
        <v>169</v>
      </c>
      <c r="B17" s="51">
        <f>+Base!B17</f>
        <v>0</v>
      </c>
    </row>
    <row r="18" spans="1:124" ht="21" customHeight="1" x14ac:dyDescent="0.35">
      <c r="A18" s="15" t="s">
        <v>53</v>
      </c>
      <c r="B18" s="51">
        <f>+Base!B18</f>
        <v>1</v>
      </c>
      <c r="C18" s="3">
        <f t="shared" ref="C18:BI18" si="2">B18/(1+B15)^(C2-B2)</f>
        <v>0.99501496506987486</v>
      </c>
      <c r="D18" s="3">
        <f t="shared" si="2"/>
        <v>0.99005478071300423</v>
      </c>
      <c r="E18" s="3">
        <f t="shared" si="2"/>
        <v>0.98511932304841254</v>
      </c>
      <c r="F18" s="3">
        <f t="shared" si="2"/>
        <v>0.98020846881267498</v>
      </c>
      <c r="G18" s="3">
        <f t="shared" si="2"/>
        <v>0.97532209535683934</v>
      </c>
      <c r="H18" s="3">
        <f t="shared" si="2"/>
        <v>0.97046008064336264</v>
      </c>
      <c r="I18" s="3">
        <f t="shared" si="2"/>
        <v>0.96562230324306342</v>
      </c>
      <c r="J18" s="3">
        <f t="shared" si="2"/>
        <v>0.96080864233208885</v>
      </c>
      <c r="K18" s="3">
        <f t="shared" si="2"/>
        <v>0.95601897768889732</v>
      </c>
      <c r="L18" s="3">
        <f t="shared" si="2"/>
        <v>0.95125318969125561</v>
      </c>
      <c r="M18" s="3">
        <f t="shared" si="2"/>
        <v>0.94651115931325169</v>
      </c>
      <c r="N18" s="3">
        <f t="shared" si="2"/>
        <v>0.94179276812232193</v>
      </c>
      <c r="O18" s="3">
        <f t="shared" si="2"/>
        <v>0.93709789827629286</v>
      </c>
      <c r="P18" s="3">
        <f t="shared" si="2"/>
        <v>0.93242643252043866</v>
      </c>
      <c r="Q18" s="3">
        <f t="shared" si="2"/>
        <v>0.92777825418455229</v>
      </c>
      <c r="R18" s="3">
        <f t="shared" si="2"/>
        <v>0.92315324718003178</v>
      </c>
      <c r="S18" s="3">
        <f t="shared" si="2"/>
        <v>0.91855129599698082</v>
      </c>
      <c r="T18" s="3">
        <f t="shared" si="2"/>
        <v>0.91397228570132416</v>
      </c>
      <c r="U18" s="3">
        <f t="shared" si="2"/>
        <v>0.90941610193193678</v>
      </c>
      <c r="V18" s="3">
        <f t="shared" si="2"/>
        <v>0.90488263089778787</v>
      </c>
      <c r="W18" s="3">
        <f t="shared" si="2"/>
        <v>0.90037175937509883</v>
      </c>
      <c r="X18" s="3">
        <f t="shared" si="2"/>
        <v>0.89588337470451573</v>
      </c>
      <c r="Y18" s="3">
        <f t="shared" si="2"/>
        <v>0.89141736478829536</v>
      </c>
      <c r="Z18" s="3">
        <f t="shared" si="2"/>
        <v>0.88697361808750563</v>
      </c>
      <c r="AA18" s="3">
        <f t="shared" si="2"/>
        <v>0.8825520236192399</v>
      </c>
      <c r="AB18" s="3">
        <f t="shared" si="2"/>
        <v>0.87815247095384541</v>
      </c>
      <c r="AC18" s="3">
        <f t="shared" si="2"/>
        <v>0.87377485021216483</v>
      </c>
      <c r="AD18" s="3">
        <f t="shared" si="2"/>
        <v>0.86941905206279235</v>
      </c>
      <c r="AE18" s="3">
        <f t="shared" si="2"/>
        <v>0.86508496771934307</v>
      </c>
      <c r="AF18" s="3">
        <f t="shared" si="2"/>
        <v>0.86077248893773595</v>
      </c>
      <c r="AG18" s="3">
        <f t="shared" si="2"/>
        <v>0.85648150801349054</v>
      </c>
      <c r="AH18" s="3">
        <f t="shared" si="2"/>
        <v>0.85221191777903704</v>
      </c>
      <c r="AI18" s="3">
        <f t="shared" si="2"/>
        <v>0.84796361160103961</v>
      </c>
      <c r="AJ18" s="3">
        <f t="shared" si="2"/>
        <v>0.84373648337773333</v>
      </c>
      <c r="AK18" s="3">
        <f t="shared" si="2"/>
        <v>0.83953042753627438</v>
      </c>
      <c r="AL18" s="3">
        <f t="shared" si="2"/>
        <v>0.83534533903010311</v>
      </c>
      <c r="AM18" s="3">
        <f t="shared" si="2"/>
        <v>0.83118111333632083</v>
      </c>
      <c r="AN18" s="3">
        <f t="shared" si="2"/>
        <v>0.82703764645307898</v>
      </c>
      <c r="AO18" s="3">
        <f t="shared" si="2"/>
        <v>0.82291483489698192</v>
      </c>
      <c r="AP18" s="3">
        <f t="shared" si="2"/>
        <v>0.81881257570050225</v>
      </c>
      <c r="AQ18" s="3">
        <f t="shared" si="2"/>
        <v>0.81473076640940956</v>
      </c>
      <c r="AR18" s="3">
        <f t="shared" si="2"/>
        <v>0.81066930508021107</v>
      </c>
      <c r="AS18" s="3">
        <f t="shared" si="2"/>
        <v>0.80662809027760596</v>
      </c>
      <c r="AT18" s="3">
        <f t="shared" si="2"/>
        <v>0.80260702107195192</v>
      </c>
      <c r="AU18" s="3">
        <f t="shared" si="2"/>
        <v>0.79860599703674451</v>
      </c>
      <c r="AV18" s="3">
        <f t="shared" si="2"/>
        <v>0.79462491824610892</v>
      </c>
      <c r="AW18" s="3">
        <f t="shared" si="2"/>
        <v>0.79066368527230424</v>
      </c>
      <c r="AX18" s="3">
        <f t="shared" si="2"/>
        <v>0.78672219918324038</v>
      </c>
      <c r="AY18" s="3">
        <f t="shared" si="2"/>
        <v>0.78280036154000709</v>
      </c>
      <c r="AZ18" s="3">
        <f t="shared" si="2"/>
        <v>0.77889807439441561</v>
      </c>
      <c r="BA18" s="3">
        <f t="shared" si="2"/>
        <v>0.77501524028655222</v>
      </c>
      <c r="BB18" s="3">
        <f t="shared" si="2"/>
        <v>0.77115176224234439</v>
      </c>
      <c r="BC18" s="3">
        <f t="shared" si="2"/>
        <v>0.76730754377113874</v>
      </c>
      <c r="BD18" s="3">
        <f t="shared" si="2"/>
        <v>0.76348248886329106</v>
      </c>
      <c r="BE18" s="3">
        <f t="shared" si="2"/>
        <v>0.7596765019877687</v>
      </c>
      <c r="BF18" s="3">
        <f t="shared" si="2"/>
        <v>0.75588948808976442</v>
      </c>
      <c r="BG18" s="3">
        <f t="shared" si="2"/>
        <v>0.75212135258832258</v>
      </c>
      <c r="BH18" s="3">
        <f t="shared" si="2"/>
        <v>0.74837200137397686</v>
      </c>
      <c r="BI18" s="3">
        <f t="shared" si="2"/>
        <v>0.74464134080639988</v>
      </c>
    </row>
    <row r="19" spans="1:124" ht="21" customHeight="1" x14ac:dyDescent="0.35">
      <c r="A19" s="15" t="s">
        <v>58</v>
      </c>
      <c r="B19" s="51">
        <v>2.1</v>
      </c>
    </row>
    <row r="20" spans="1:124" ht="21" customHeight="1" thickBot="1" x14ac:dyDescent="0.4">
      <c r="A20" s="83" t="s">
        <v>15</v>
      </c>
    </row>
    <row r="21" spans="1:124" ht="21" customHeight="1" thickTop="1" x14ac:dyDescent="0.35">
      <c r="A21" s="15" t="s">
        <v>88</v>
      </c>
      <c r="B21" s="51">
        <f>+Base!B21</f>
        <v>3.7976214000000001</v>
      </c>
      <c r="C21" s="51">
        <f>+Base!C21</f>
        <v>4.1233674267100975</v>
      </c>
      <c r="D21" s="51">
        <f>+Base!D21</f>
        <v>4.4657337879870225</v>
      </c>
      <c r="E21" s="51">
        <f>+Base!E21</f>
        <v>4.8246876450561675</v>
      </c>
      <c r="F21" s="51">
        <f>+Base!F21</f>
        <v>5.2001407372762589</v>
      </c>
      <c r="G21" s="51">
        <f>+Base!G21</f>
        <v>5.5919503241395958</v>
      </c>
      <c r="H21" s="51">
        <f>+Base!H21</f>
        <v>5.9999204992367279</v>
      </c>
      <c r="I21" s="51">
        <f>+Base!I21</f>
        <v>6.4238038470291627</v>
      </c>
      <c r="J21" s="51">
        <f>+Base!J21</f>
        <v>6.8633034110325832</v>
      </c>
      <c r="K21" s="51">
        <f>+Base!K21</f>
        <v>7.3180749403940499</v>
      </c>
      <c r="L21" s="51">
        <f>+Base!L21</f>
        <v>7.7877293808181882</v>
      </c>
      <c r="M21" s="51">
        <f>+Base!M21</f>
        <v>8.2718355753199262</v>
      </c>
      <c r="N21" s="51">
        <f>+Base!N21</f>
        <v>8.7699231403093645</v>
      </c>
      <c r="O21" s="51">
        <f>+Base!O21</f>
        <v>9.2814854829978692</v>
      </c>
      <c r="P21" s="51">
        <f>+Base!P21</f>
        <v>9.805982927000942</v>
      </c>
      <c r="Q21" s="51">
        <f>+Base!Q21</f>
        <v>10.342845914248688</v>
      </c>
      <c r="R21" s="51">
        <f>+Base!R21</f>
        <v>10.891478252845129</v>
      </c>
      <c r="S21" s="51">
        <f>+Base!S21</f>
        <v>11.451260382290016</v>
      </c>
      <c r="T21" s="51">
        <f>+Base!T21</f>
        <v>12.021552629440624</v>
      </c>
      <c r="U21" s="51">
        <f>+Base!U21</f>
        <v>12.601698430697848</v>
      </c>
      <c r="V21" s="51">
        <f>+Base!V21</f>
        <v>13.191027498106218</v>
      </c>
      <c r="W21" s="51">
        <f>+Base!W21</f>
        <v>13.788858909319805</v>
      </c>
      <c r="X21" s="51">
        <f>+Base!X21</f>
        <v>14.394504103668551</v>
      </c>
      <c r="Y21" s="51">
        <f>+Base!Y21</f>
        <v>15.007269768829158</v>
      </c>
      <c r="Z21" s="51">
        <f>+Base!Z21</f>
        <v>15.626460604832571</v>
      </c>
      <c r="AA21" s="51">
        <f>+Base!AA21</f>
        <v>16.251381954301731</v>
      </c>
      <c r="AB21" s="51">
        <f>+Base!AB21</f>
        <v>16.881342289887851</v>
      </c>
      <c r="AC21" s="51">
        <f>+Base!AC21</f>
        <v>17.515655551844304</v>
      </c>
      <c r="AD21" s="51">
        <f>+Base!AD21</f>
        <v>18.153643330531068</v>
      </c>
      <c r="AE21" s="51">
        <f>+Base!AE21</f>
        <v>18.794636890369542</v>
      </c>
      <c r="AF21" s="51">
        <f>+Base!AF21</f>
        <v>19.437979033360847</v>
      </c>
      <c r="AG21" s="51">
        <f>+Base!AG21</f>
        <v>20.08302580173595</v>
      </c>
      <c r="AH21" s="51">
        <f>+Base!AH21</f>
        <v>20.729148020621849</v>
      </c>
      <c r="AI21" s="51">
        <f>+Base!AI21</f>
        <v>21.375732682784619</v>
      </c>
      <c r="AJ21" s="51">
        <f>+Base!AJ21</f>
        <v>22.022184178549967</v>
      </c>
      <c r="AK21" s="51">
        <f>+Base!AK21</f>
        <v>22.667925374908592</v>
      </c>
      <c r="AL21" s="51">
        <f>+Base!AL21</f>
        <v>23.312398548592238</v>
      </c>
      <c r="AM21" s="51">
        <f>+Base!AM21</f>
        <v>23.955066178562941</v>
      </c>
      <c r="AN21" s="51">
        <f>+Base!AN21</f>
        <v>24.595411603899361</v>
      </c>
      <c r="AO21" s="51">
        <f>+Base!AO21</f>
        <v>25.232939553497779</v>
      </c>
      <c r="AP21" s="51">
        <f>+Base!AP21</f>
        <v>25.867176554338993</v>
      </c>
      <c r="AQ21" s="51">
        <f>+Base!AQ21</f>
        <v>26.497671225314146</v>
      </c>
      <c r="AR21" s="51">
        <f>+Base!AR21</f>
        <v>27.123994463760443</v>
      </c>
      <c r="AS21" s="51">
        <f>+Base!AS21</f>
        <v>27.745739531939883</v>
      </c>
      <c r="AT21" s="51">
        <f>+Base!AT21</f>
        <v>28.362522050708495</v>
      </c>
      <c r="AU21" s="51">
        <f>+Base!AU21</f>
        <v>28.973979907577796</v>
      </c>
      <c r="AV21" s="51">
        <f>+Base!AV21</f>
        <v>29.579773086271572</v>
      </c>
      <c r="AW21" s="51">
        <f>+Base!AW21</f>
        <v>30.179583424736954</v>
      </c>
      <c r="AX21" s="51">
        <f>+Base!AX21</f>
        <v>30.773114308385264</v>
      </c>
      <c r="AY21" s="51">
        <f>+Base!AY21</f>
        <v>31.360090305122124</v>
      </c>
      <c r="AZ21" s="51">
        <f>+Base!AZ21</f>
        <v>31.94025674848292</v>
      </c>
      <c r="BA21" s="51">
        <f>+Base!BA21</f>
        <v>32.513379274924787</v>
      </c>
      <c r="BB21" s="51">
        <f>+Base!BB21</f>
        <v>33.07924332104443</v>
      </c>
      <c r="BC21" s="51">
        <f>+Base!BC21</f>
        <v>33.63765358619667</v>
      </c>
      <c r="BD21" s="51">
        <f>+Base!BD21</f>
        <v>34.188433465685904</v>
      </c>
      <c r="BE21" s="51">
        <f>+Base!BE21</f>
        <v>34.73142445939488</v>
      </c>
      <c r="BF21" s="51">
        <f>+Base!BF21</f>
        <v>35.266485560405712</v>
      </c>
      <c r="BG21" s="51">
        <f>+Base!BG21</f>
        <v>35.793492627859642</v>
      </c>
      <c r="BH21" s="51">
        <f>+Base!BH21</f>
        <v>36.312337747996835</v>
      </c>
      <c r="BI21" s="51">
        <f>+Base!BI21</f>
        <v>36.822928587018112</v>
      </c>
      <c r="BJ21" s="51"/>
      <c r="BK21" s="51"/>
      <c r="BL21" s="51"/>
      <c r="BM21" s="51"/>
      <c r="BN21" s="51"/>
      <c r="BO21" s="51"/>
      <c r="BP21" s="51"/>
      <c r="BQ21" s="51"/>
      <c r="BR21" s="51"/>
      <c r="BS21" s="51"/>
      <c r="BT21" s="51"/>
      <c r="BU21" s="51"/>
      <c r="BV21" s="51"/>
      <c r="BW21" s="51"/>
      <c r="BX21" s="51"/>
      <c r="BY21" s="51"/>
      <c r="BZ21" s="51"/>
      <c r="CA21" s="51"/>
      <c r="CB21" s="51"/>
      <c r="CC21" s="51"/>
      <c r="CD21" s="51"/>
      <c r="CE21" s="51"/>
      <c r="CF21" s="51"/>
      <c r="CG21" s="51"/>
      <c r="CH21" s="51"/>
      <c r="CI21" s="51"/>
      <c r="CJ21" s="51"/>
      <c r="CK21" s="51"/>
      <c r="CL21" s="51"/>
      <c r="CM21" s="51"/>
      <c r="CN21" s="51"/>
      <c r="CO21" s="51"/>
      <c r="CP21" s="51"/>
      <c r="CQ21" s="51"/>
      <c r="CR21" s="51"/>
      <c r="CS21" s="51"/>
      <c r="CT21" s="51"/>
      <c r="CU21" s="51"/>
      <c r="CV21" s="51"/>
      <c r="CW21" s="51"/>
      <c r="CX21" s="51"/>
      <c r="CY21" s="51"/>
      <c r="CZ21" s="51"/>
      <c r="DA21" s="51"/>
      <c r="DB21" s="51"/>
      <c r="DC21" s="51"/>
      <c r="DD21" s="51"/>
      <c r="DE21" s="51"/>
      <c r="DF21" s="51"/>
      <c r="DG21" s="51"/>
      <c r="DH21" s="51"/>
      <c r="DI21" s="51"/>
      <c r="DJ21" s="51"/>
      <c r="DK21" s="51"/>
      <c r="DL21" s="51"/>
      <c r="DM21" s="51"/>
      <c r="DN21" s="51"/>
      <c r="DO21" s="51"/>
      <c r="DP21" s="51"/>
      <c r="DQ21" s="51"/>
      <c r="DR21" s="51"/>
      <c r="DS21" s="51"/>
      <c r="DT21" s="51"/>
    </row>
    <row r="22" spans="1:124" ht="21" customHeight="1" x14ac:dyDescent="0.35">
      <c r="A22" s="15" t="s">
        <v>89</v>
      </c>
      <c r="B22" s="51">
        <f>+Base!B22</f>
        <v>3.7976214000000001</v>
      </c>
    </row>
    <row r="23" spans="1:124" ht="21" customHeight="1" x14ac:dyDescent="0.35">
      <c r="A23" s="15" t="s">
        <v>145</v>
      </c>
      <c r="B23" s="3"/>
      <c r="C23" s="51">
        <f>+Base!C23</f>
        <v>7.9000000000000001E-2</v>
      </c>
      <c r="D23" s="51">
        <f>+Base!D23</f>
        <v>7.666519715033214E-2</v>
      </c>
      <c r="E23" s="51">
        <f>+Base!E23</f>
        <v>7.4399398153155646E-2</v>
      </c>
      <c r="F23" s="51">
        <f>+Base!F23</f>
        <v>7.2200563636427031E-2</v>
      </c>
      <c r="G23" s="51">
        <f>+Base!G23</f>
        <v>7.0066714500655436E-2</v>
      </c>
      <c r="H23" s="51">
        <f>+Base!H23</f>
        <v>6.7995930137579569E-2</v>
      </c>
      <c r="I23" s="51">
        <f>+Base!I23</f>
        <v>6.5986346701490492E-2</v>
      </c>
      <c r="J23" s="51">
        <f>+Base!J23</f>
        <v>6.4036155431644787E-2</v>
      </c>
      <c r="K23" s="51">
        <f>+Base!K23</f>
        <v>6.2143601024257727E-2</v>
      </c>
      <c r="L23" s="51">
        <f>+Base!L23</f>
        <v>6.0306980052611397E-2</v>
      </c>
      <c r="M23" s="51">
        <f>+Base!M23</f>
        <v>5.8524639433855712E-2</v>
      </c>
      <c r="N23" s="51">
        <f>+Base!N23</f>
        <v>5.6794974941122171E-2</v>
      </c>
      <c r="O23" s="51">
        <f>+Base!O23</f>
        <v>5.5116429759611452E-2</v>
      </c>
      <c r="P23" s="51">
        <f>+Base!P23</f>
        <v>5.3487493085355005E-2</v>
      </c>
      <c r="Q23" s="51">
        <f>+Base!Q23</f>
        <v>5.1906698765389482E-2</v>
      </c>
      <c r="R23" s="51">
        <f>+Base!R23</f>
        <v>5.0372623978120097E-2</v>
      </c>
      <c r="S23" s="51">
        <f>+Base!S23</f>
        <v>4.8883887952685126E-2</v>
      </c>
      <c r="T23" s="51">
        <f>+Base!T23</f>
        <v>4.7439150726169006E-2</v>
      </c>
      <c r="U23" s="51">
        <f>+Base!U23</f>
        <v>4.6037111937545179E-2</v>
      </c>
      <c r="V23" s="51">
        <f>+Base!V23</f>
        <v>4.4676509657263427E-2</v>
      </c>
      <c r="W23" s="51">
        <f>+Base!W23</f>
        <v>4.3356119251428085E-2</v>
      </c>
      <c r="X23" s="51">
        <f>+Base!X23</f>
        <v>4.207475227954488E-2</v>
      </c>
      <c r="Y23" s="51">
        <f>+Base!Y23</f>
        <v>4.0831255424844247E-2</v>
      </c>
      <c r="Z23" s="51">
        <f>+Base!Z23</f>
        <v>3.9624509456218392E-2</v>
      </c>
      <c r="AA23" s="51">
        <f>+Base!AA23</f>
        <v>3.8453428220837763E-2</v>
      </c>
      <c r="AB23" s="51">
        <f>+Base!AB23</f>
        <v>3.7316957666540161E-2</v>
      </c>
      <c r="AC23" s="51">
        <f>+Base!AC23</f>
        <v>3.6214074893112659E-2</v>
      </c>
      <c r="AD23" s="51">
        <f>+Base!AD23</f>
        <v>3.514378723161235E-2</v>
      </c>
      <c r="AE23" s="51">
        <f>+Base!AE23</f>
        <v>3.4105131350897301E-2</v>
      </c>
      <c r="AF23" s="51">
        <f>+Base!AF23</f>
        <v>3.3097172390563478E-2</v>
      </c>
      <c r="AG23" s="51">
        <f>+Base!AG23</f>
        <v>3.2119003119507335E-2</v>
      </c>
      <c r="AH23" s="51">
        <f>+Base!AH23</f>
        <v>3.116974311935649E-2</v>
      </c>
      <c r="AI23" s="51">
        <f>+Base!AI23</f>
        <v>3.0248537992033853E-2</v>
      </c>
      <c r="AJ23" s="51">
        <f>+Base!AJ23</f>
        <v>2.9354558590741611E-2</v>
      </c>
      <c r="AK23" s="51">
        <f>+Base!AK23</f>
        <v>2.8487000273673187E-2</v>
      </c>
      <c r="AL23" s="51">
        <f>+Base!AL23</f>
        <v>2.7645082179781271E-2</v>
      </c>
      <c r="AM23" s="51">
        <f>+Base!AM23</f>
        <v>2.6828046525950191E-2</v>
      </c>
      <c r="AN23" s="51">
        <f>+Base!AN23</f>
        <v>2.603515792493994E-2</v>
      </c>
      <c r="AO23" s="51">
        <f>+Base!AO23</f>
        <v>2.5265702723488014E-2</v>
      </c>
      <c r="AP23" s="51">
        <f>+Base!AP23</f>
        <v>2.4518988359973317E-2</v>
      </c>
      <c r="AQ23" s="51">
        <f>+Base!AQ23</f>
        <v>2.379434274106397E-2</v>
      </c>
      <c r="AR23" s="51">
        <f>+Base!AR23</f>
        <v>2.3091113636787893E-2</v>
      </c>
      <c r="AS23" s="51">
        <f>+Base!AS23</f>
        <v>2.2408668093481861E-2</v>
      </c>
      <c r="AT23" s="51">
        <f>+Base!AT23</f>
        <v>2.1746391864090435E-2</v>
      </c>
      <c r="AU23" s="51">
        <f>+Base!AU23</f>
        <v>2.1103688855302182E-2</v>
      </c>
      <c r="AV23" s="51">
        <f>+Base!AV23</f>
        <v>2.0479980591025435E-2</v>
      </c>
      <c r="AW23" s="51">
        <f>+Base!AW23</f>
        <v>1.9874705691720763E-2</v>
      </c>
      <c r="AX23" s="51">
        <f>+Base!AX23</f>
        <v>1.9287319369121533E-2</v>
      </c>
      <c r="AY23" s="51">
        <f>+Base!AY23</f>
        <v>1.8717292935887621E-2</v>
      </c>
      <c r="AZ23" s="51">
        <f>+Base!AZ23</f>
        <v>1.8164113329751184E-2</v>
      </c>
      <c r="BA23" s="51">
        <f>+Base!BA23</f>
        <v>1.7627282651725956E-2</v>
      </c>
      <c r="BB23" s="51">
        <f>+Base!BB23</f>
        <v>1.7106317717964559E-2</v>
      </c>
      <c r="BC23" s="51">
        <f>+Base!BC23</f>
        <v>1.6600749624860411E-2</v>
      </c>
      <c r="BD23" s="51">
        <f>+Base!BD23</f>
        <v>1.6110123327002866E-2</v>
      </c>
      <c r="BE23" s="51">
        <f>+Base!BE23</f>
        <v>1.5633997227605563E-2</v>
      </c>
      <c r="BF23" s="51">
        <f>+Base!BF23</f>
        <v>1.5171942781039578E-2</v>
      </c>
      <c r="BG23" s="51">
        <f>+Base!BG23</f>
        <v>1.4723544107113387E-2</v>
      </c>
      <c r="BH23" s="51">
        <f>+Base!BH23</f>
        <v>1.4288397616752647E-2</v>
      </c>
      <c r="BI23" s="51">
        <f>+Base!BI23</f>
        <v>1.3866111648742753E-2</v>
      </c>
    </row>
    <row r="24" spans="1:124" ht="21" customHeight="1" thickBot="1" x14ac:dyDescent="0.4">
      <c r="A24" s="82" t="s">
        <v>50</v>
      </c>
    </row>
    <row r="25" spans="1:124" ht="21" customHeight="1" thickTop="1" x14ac:dyDescent="0.35">
      <c r="A25" s="15" t="s">
        <v>81</v>
      </c>
      <c r="B25" s="51">
        <f>+Base!B25</f>
        <v>0</v>
      </c>
    </row>
    <row r="26" spans="1:124" ht="21" customHeight="1" x14ac:dyDescent="0.35">
      <c r="A26" s="15" t="s">
        <v>82</v>
      </c>
      <c r="B26" s="51">
        <f>+Base!B26</f>
        <v>2.6637500000000003E-3</v>
      </c>
    </row>
    <row r="27" spans="1:124" ht="21" customHeight="1" x14ac:dyDescent="0.35">
      <c r="A27" s="15" t="s">
        <v>20</v>
      </c>
      <c r="B27" s="51">
        <f>+Base!B27</f>
        <v>2</v>
      </c>
    </row>
    <row r="28" spans="1:124" ht="21" customHeight="1" x14ac:dyDescent="0.35">
      <c r="A28" s="15" t="str">
        <f>+Parameters!A18</f>
        <v>Threshold for catastrophic damages</v>
      </c>
      <c r="B28" s="51">
        <f>+Base!B28</f>
        <v>4</v>
      </c>
    </row>
    <row r="29" spans="1:124" ht="21" customHeight="1" x14ac:dyDescent="0.35">
      <c r="A29" s="15" t="str">
        <f>+Parameters!A19</f>
        <v>Exponent for catastrophic damages</v>
      </c>
      <c r="B29" s="51">
        <f>+Base!B29</f>
        <v>3</v>
      </c>
    </row>
    <row r="30" spans="1:124" ht="21" customHeight="1" x14ac:dyDescent="0.35">
      <c r="A30" s="15" t="str">
        <f>+Parameters!A17</f>
        <v>Damage rate at threshold for catastrophic damages</v>
      </c>
      <c r="B30" s="51">
        <f>+Base!B30</f>
        <v>0</v>
      </c>
    </row>
    <row r="31" spans="1:124" ht="21" customHeight="1" thickBot="1" x14ac:dyDescent="0.4">
      <c r="A31" s="82" t="s">
        <v>49</v>
      </c>
    </row>
    <row r="32" spans="1:124" ht="21" customHeight="1" thickTop="1" x14ac:dyDescent="0.35">
      <c r="A32" s="15" t="s">
        <v>36</v>
      </c>
      <c r="B32" s="3">
        <f>+B34*B41/$B39/1000</f>
        <v>6.0074995839112348E-2</v>
      </c>
      <c r="C32" s="3">
        <f t="shared" ref="C32:BI32" si="3">+C34*C41/$B39/1000</f>
        <v>5.5716476125948579E-2</v>
      </c>
      <c r="D32" s="3">
        <f t="shared" si="3"/>
        <v>5.1687067072907732E-2</v>
      </c>
      <c r="E32" s="3">
        <f t="shared" si="3"/>
        <v>4.7960969508636458E-2</v>
      </c>
      <c r="F32" s="3">
        <f t="shared" si="3"/>
        <v>4.4514479113862096E-2</v>
      </c>
      <c r="G32" s="3">
        <f t="shared" si="3"/>
        <v>4.1325810583862081E-2</v>
      </c>
      <c r="H32" s="3">
        <f t="shared" si="3"/>
        <v>3.8374937020832646E-2</v>
      </c>
      <c r="I32" s="3">
        <f t="shared" si="3"/>
        <v>3.5643443197204687E-2</v>
      </c>
      <c r="J32" s="3">
        <f t="shared" si="3"/>
        <v>3.311439145569213E-2</v>
      </c>
      <c r="K32" s="3">
        <f t="shared" si="3"/>
        <v>3.0772199124832176E-2</v>
      </c>
      <c r="L32" s="3">
        <f t="shared" si="3"/>
        <v>2.8602526431127418E-2</v>
      </c>
      <c r="M32" s="3">
        <f t="shared" si="3"/>
        <v>2.6592173981650903E-2</v>
      </c>
      <c r="N32" s="3">
        <f t="shared" si="3"/>
        <v>2.4728988975051856E-2</v>
      </c>
      <c r="O32" s="3">
        <f t="shared" si="3"/>
        <v>2.3001779375133119E-2</v>
      </c>
      <c r="P32" s="3">
        <f t="shared" si="3"/>
        <v>2.1400235350313459E-2</v>
      </c>
      <c r="Q32" s="3">
        <f t="shared" si="3"/>
        <v>1.9914857345015261E-2</v>
      </c>
      <c r="R32" s="3">
        <f t="shared" si="3"/>
        <v>1.8536890205941146E-2</v>
      </c>
      <c r="S32" s="3">
        <f t="shared" si="3"/>
        <v>1.7258262837874048E-2</v>
      </c>
      <c r="T32" s="3">
        <f t="shared" si="3"/>
        <v>1.6071532910550385E-2</v>
      </c>
      <c r="U32" s="3">
        <f t="shared" si="3"/>
        <v>1.4969836180765512E-2</v>
      </c>
      <c r="V32" s="3">
        <f t="shared" si="3"/>
        <v>1.3946840032579743E-2</v>
      </c>
      <c r="W32" s="3">
        <f t="shared" si="3"/>
        <v>1.2996700873668398E-2</v>
      </c>
      <c r="X32" s="3">
        <f t="shared" si="3"/>
        <v>1.2114025057832123E-2</v>
      </c>
      <c r="Y32" s="3">
        <f t="shared" si="3"/>
        <v>1.1293833032752996E-2</v>
      </c>
      <c r="Z32" s="3">
        <f t="shared" si="3"/>
        <v>1.0531526438518842E-2</v>
      </c>
      <c r="AA32" s="3">
        <f t="shared" si="3"/>
        <v>9.8228579064871049E-3</v>
      </c>
      <c r="AB32" s="3">
        <f t="shared" si="3"/>
        <v>9.163903329942269E-3</v>
      </c>
      <c r="AC32" s="3">
        <f t="shared" si="3"/>
        <v>8.5510363979175111E-3</v>
      </c>
      <c r="AD32" s="3">
        <f t="shared" si="3"/>
        <v>7.9809052016832499E-3</v>
      </c>
      <c r="AE32" s="3">
        <f t="shared" si="3"/>
        <v>7.4504107399169621E-3</v>
      </c>
      <c r="AF32" s="3">
        <f t="shared" si="3"/>
        <v>6.9566871636085629E-3</v>
      </c>
      <c r="AG32" s="3">
        <f t="shared" si="3"/>
        <v>6.497083615458683E-3</v>
      </c>
      <c r="AH32" s="3">
        <f t="shared" si="3"/>
        <v>6.0691475310152209E-3</v>
      </c>
      <c r="AI32" s="3">
        <f t="shared" si="3"/>
        <v>5.6706092801773935E-3</v>
      </c>
      <c r="AJ32" s="3">
        <f t="shared" si="3"/>
        <v>5.299368038076303E-3</v>
      </c>
      <c r="AK32" s="3">
        <f t="shared" si="3"/>
        <v>4.9534787838078796E-3</v>
      </c>
      <c r="AL32" s="3">
        <f t="shared" si="3"/>
        <v>4.631140334130277E-3</v>
      </c>
      <c r="AM32" s="3">
        <f t="shared" si="3"/>
        <v>4.3306843271184161E-3</v>
      </c>
      <c r="AN32" s="3">
        <f t="shared" si="3"/>
        <v>4.0505650779612068E-3</v>
      </c>
      <c r="AO32" s="3">
        <f t="shared" si="3"/>
        <v>3.7893502356536506E-3</v>
      </c>
      <c r="AP32" s="3">
        <f t="shared" si="3"/>
        <v>3.5457121753327409E-3</v>
      </c>
      <c r="AQ32" s="3">
        <f t="shared" si="3"/>
        <v>3.3184200664834141E-3</v>
      </c>
      <c r="AR32" s="3">
        <f t="shared" si="3"/>
        <v>3.1063325622451266E-3</v>
      </c>
      <c r="AS32" s="3">
        <f t="shared" si="3"/>
        <v>2.9083910596229097E-3</v>
      </c>
      <c r="AT32" s="3">
        <f t="shared" si="3"/>
        <v>2.7236134845870928E-3</v>
      </c>
      <c r="AU32" s="3">
        <f t="shared" si="3"/>
        <v>2.5510885598679588E-3</v>
      </c>
      <c r="AV32" s="3">
        <f t="shared" si="3"/>
        <v>2.3899705167470639E-3</v>
      </c>
      <c r="AW32" s="3">
        <f t="shared" si="3"/>
        <v>2.2394742153443556E-3</v>
      </c>
      <c r="AX32" s="3">
        <f t="shared" si="3"/>
        <v>2.0988706408258074E-3</v>
      </c>
      <c r="AY32" s="3">
        <f t="shared" si="3"/>
        <v>1.9674827456336989E-3</v>
      </c>
      <c r="AZ32" s="3">
        <f t="shared" si="3"/>
        <v>1.8446816102926501E-3</v>
      </c>
      <c r="BA32" s="3">
        <f t="shared" si="3"/>
        <v>1.7298828975886378E-3</v>
      </c>
      <c r="BB32" s="3">
        <f t="shared" si="3"/>
        <v>1.6225435769735177E-3</v>
      </c>
      <c r="BC32" s="3">
        <f t="shared" si="3"/>
        <v>1.5221588979303421E-3</v>
      </c>
      <c r="BD32" s="3">
        <f t="shared" si="3"/>
        <v>1.4282595927598738E-3</v>
      </c>
      <c r="BE32" s="3">
        <f t="shared" si="3"/>
        <v>1.3404092908297566E-3</v>
      </c>
      <c r="BF32" s="3">
        <f t="shared" si="3"/>
        <v>1.2582021277771501E-3</v>
      </c>
      <c r="BG32" s="3">
        <f t="shared" si="3"/>
        <v>1.1812605344845683E-3</v>
      </c>
      <c r="BH32" s="3">
        <f t="shared" si="3"/>
        <v>1.1092331918674599E-3</v>
      </c>
      <c r="BI32" s="3">
        <f t="shared" si="3"/>
        <v>1.041793138630097E-3</v>
      </c>
    </row>
    <row r="33" spans="1:124" ht="21" customHeight="1" x14ac:dyDescent="0.35">
      <c r="A33" s="15" t="s">
        <v>207</v>
      </c>
      <c r="B33" s="51">
        <f>+Base!B33</f>
        <v>344</v>
      </c>
    </row>
    <row r="34" spans="1:124" ht="21" customHeight="1" x14ac:dyDescent="0.35">
      <c r="A34" s="15" t="s">
        <v>155</v>
      </c>
      <c r="B34" s="51">
        <f>+B33</f>
        <v>344</v>
      </c>
      <c r="C34" s="3">
        <f>+B34*(1-$B$36)</f>
        <v>335.4</v>
      </c>
      <c r="D34" s="3">
        <f>+C34*(1-$B$36)</f>
        <v>327.01499999999999</v>
      </c>
      <c r="E34" s="3">
        <f>+D34*(1-$B$36)</f>
        <v>318.83962499999996</v>
      </c>
      <c r="F34" s="3">
        <f>+E34*(1-$B$36)</f>
        <v>310.86863437499994</v>
      </c>
      <c r="G34" s="3">
        <f>+F34*(1-$B$36)</f>
        <v>303.09691851562496</v>
      </c>
      <c r="H34" s="3">
        <f t="shared" ref="H34:BI34" si="4">+G34*(1-$B$36)</f>
        <v>295.51949555273433</v>
      </c>
      <c r="I34" s="3">
        <f t="shared" si="4"/>
        <v>288.13150816391595</v>
      </c>
      <c r="J34" s="3">
        <f t="shared" si="4"/>
        <v>280.92822045981802</v>
      </c>
      <c r="K34" s="3">
        <f t="shared" si="4"/>
        <v>273.90501494832256</v>
      </c>
      <c r="L34" s="3">
        <f t="shared" si="4"/>
        <v>267.05738957461449</v>
      </c>
      <c r="M34" s="3">
        <f t="shared" si="4"/>
        <v>260.3809548352491</v>
      </c>
      <c r="N34" s="3">
        <f t="shared" si="4"/>
        <v>253.87143096436787</v>
      </c>
      <c r="O34" s="3">
        <f t="shared" si="4"/>
        <v>247.52464519025867</v>
      </c>
      <c r="P34" s="3">
        <f t="shared" si="4"/>
        <v>241.33652906050219</v>
      </c>
      <c r="Q34" s="3">
        <f t="shared" si="4"/>
        <v>235.30311583398964</v>
      </c>
      <c r="R34" s="3">
        <f t="shared" si="4"/>
        <v>229.42053793813989</v>
      </c>
      <c r="S34" s="3">
        <f t="shared" si="4"/>
        <v>223.68502448968638</v>
      </c>
      <c r="T34" s="3">
        <f t="shared" si="4"/>
        <v>218.09289887744421</v>
      </c>
      <c r="U34" s="3">
        <f t="shared" si="4"/>
        <v>212.64057640550811</v>
      </c>
      <c r="V34" s="3">
        <f t="shared" si="4"/>
        <v>207.3245619953704</v>
      </c>
      <c r="W34" s="3">
        <f t="shared" si="4"/>
        <v>202.14144794548614</v>
      </c>
      <c r="X34" s="3">
        <f t="shared" si="4"/>
        <v>197.08791174684899</v>
      </c>
      <c r="Y34" s="3">
        <f t="shared" si="4"/>
        <v>192.16071395317775</v>
      </c>
      <c r="Z34" s="3">
        <f t="shared" si="4"/>
        <v>187.35669610434829</v>
      </c>
      <c r="AA34" s="3">
        <f t="shared" si="4"/>
        <v>182.67277870173959</v>
      </c>
      <c r="AB34" s="3">
        <f t="shared" si="4"/>
        <v>178.10595923419609</v>
      </c>
      <c r="AC34" s="3">
        <f t="shared" si="4"/>
        <v>173.65331025334117</v>
      </c>
      <c r="AD34" s="3">
        <f t="shared" si="4"/>
        <v>169.31197749700763</v>
      </c>
      <c r="AE34" s="3">
        <f t="shared" si="4"/>
        <v>165.07917805958243</v>
      </c>
      <c r="AF34" s="3">
        <f t="shared" si="4"/>
        <v>160.95219860809286</v>
      </c>
      <c r="AG34" s="3">
        <f t="shared" si="4"/>
        <v>156.92839364289054</v>
      </c>
      <c r="AH34" s="3">
        <f t="shared" si="4"/>
        <v>153.00518380181828</v>
      </c>
      <c r="AI34" s="3">
        <f t="shared" si="4"/>
        <v>149.18005420677281</v>
      </c>
      <c r="AJ34" s="3">
        <f t="shared" si="4"/>
        <v>145.45055285160348</v>
      </c>
      <c r="AK34" s="3">
        <f t="shared" si="4"/>
        <v>141.81428903031338</v>
      </c>
      <c r="AL34" s="3">
        <f t="shared" si="4"/>
        <v>138.26893180455554</v>
      </c>
      <c r="AM34" s="3">
        <f t="shared" si="4"/>
        <v>134.81220850944163</v>
      </c>
      <c r="AN34" s="3">
        <f t="shared" si="4"/>
        <v>131.44190329670559</v>
      </c>
      <c r="AO34" s="3">
        <f t="shared" si="4"/>
        <v>128.15585571428795</v>
      </c>
      <c r="AP34" s="3">
        <f t="shared" si="4"/>
        <v>124.95195932143075</v>
      </c>
      <c r="AQ34" s="3">
        <f t="shared" si="4"/>
        <v>121.82816033839498</v>
      </c>
      <c r="AR34" s="3">
        <f t="shared" si="4"/>
        <v>118.7824563299351</v>
      </c>
      <c r="AS34" s="3">
        <f t="shared" si="4"/>
        <v>115.81289492168672</v>
      </c>
      <c r="AT34" s="3">
        <f t="shared" si="4"/>
        <v>112.91757254864454</v>
      </c>
      <c r="AU34" s="3">
        <f t="shared" si="4"/>
        <v>110.09463323492842</v>
      </c>
      <c r="AV34" s="3">
        <f t="shared" si="4"/>
        <v>107.34226740405521</v>
      </c>
      <c r="AW34" s="3">
        <f t="shared" si="4"/>
        <v>104.65871071895383</v>
      </c>
      <c r="AX34" s="3">
        <f t="shared" si="4"/>
        <v>102.04224295097998</v>
      </c>
      <c r="AY34" s="3">
        <f t="shared" si="4"/>
        <v>99.491186877205479</v>
      </c>
      <c r="AZ34" s="3">
        <f t="shared" si="4"/>
        <v>97.00390720527534</v>
      </c>
      <c r="BA34" s="3">
        <f t="shared" si="4"/>
        <v>94.578809525143456</v>
      </c>
      <c r="BB34" s="3">
        <f t="shared" si="4"/>
        <v>92.214339287014866</v>
      </c>
      <c r="BC34" s="3">
        <f t="shared" si="4"/>
        <v>89.908980804839487</v>
      </c>
      <c r="BD34" s="3">
        <f t="shared" si="4"/>
        <v>87.661256284718505</v>
      </c>
      <c r="BE34" s="3">
        <f t="shared" si="4"/>
        <v>85.469724877600541</v>
      </c>
      <c r="BF34" s="3">
        <f t="shared" si="4"/>
        <v>83.332981755660526</v>
      </c>
      <c r="BG34" s="3">
        <f t="shared" si="4"/>
        <v>81.249657211769005</v>
      </c>
      <c r="BH34" s="3">
        <f t="shared" si="4"/>
        <v>79.218415781474775</v>
      </c>
      <c r="BI34" s="3">
        <f t="shared" si="4"/>
        <v>77.237955386937898</v>
      </c>
    </row>
    <row r="35" spans="1:124" ht="21" customHeight="1" x14ac:dyDescent="0.35">
      <c r="A35" s="15" t="s">
        <v>208</v>
      </c>
      <c r="B35" s="51">
        <f>+Base!B35</f>
        <v>0</v>
      </c>
      <c r="D35" s="3">
        <f>+D34/C34</f>
        <v>0.97499999999999998</v>
      </c>
      <c r="E35" s="3">
        <f t="shared" ref="E35:AC35" si="5">+E34/D34</f>
        <v>0.97499999999999987</v>
      </c>
      <c r="F35" s="3">
        <f t="shared" si="5"/>
        <v>0.97499999999999998</v>
      </c>
      <c r="G35" s="3">
        <f t="shared" si="5"/>
        <v>0.97500000000000009</v>
      </c>
      <c r="H35" s="3">
        <f t="shared" si="5"/>
        <v>0.97499999999999998</v>
      </c>
      <c r="I35" s="3">
        <f t="shared" si="5"/>
        <v>0.97499999999999998</v>
      </c>
      <c r="J35" s="3">
        <f t="shared" si="5"/>
        <v>0.97499999999999987</v>
      </c>
      <c r="K35" s="3">
        <f t="shared" si="5"/>
        <v>0.97499999999999998</v>
      </c>
      <c r="L35" s="3">
        <f t="shared" si="5"/>
        <v>0.97499999999999998</v>
      </c>
      <c r="M35" s="3">
        <f t="shared" si="5"/>
        <v>0.97499999999999987</v>
      </c>
      <c r="N35" s="3">
        <f t="shared" si="5"/>
        <v>0.97499999999999998</v>
      </c>
      <c r="O35" s="3">
        <f t="shared" si="5"/>
        <v>0.97499999999999998</v>
      </c>
      <c r="P35" s="3">
        <f t="shared" si="5"/>
        <v>0.97499999999999998</v>
      </c>
      <c r="Q35" s="3">
        <f t="shared" si="5"/>
        <v>0.97499999999999998</v>
      </c>
      <c r="R35" s="3">
        <f t="shared" si="5"/>
        <v>0.97499999999999998</v>
      </c>
      <c r="S35" s="3">
        <f t="shared" si="5"/>
        <v>0.97499999999999998</v>
      </c>
      <c r="T35" s="3">
        <f t="shared" si="5"/>
        <v>0.97499999999999998</v>
      </c>
      <c r="U35" s="3">
        <f t="shared" si="5"/>
        <v>0.97499999999999998</v>
      </c>
      <c r="V35" s="3">
        <f t="shared" si="5"/>
        <v>0.97499999999999998</v>
      </c>
      <c r="W35" s="3">
        <f t="shared" si="5"/>
        <v>0.97499999999999998</v>
      </c>
      <c r="X35" s="3">
        <f t="shared" si="5"/>
        <v>0.97499999999999998</v>
      </c>
      <c r="Y35" s="3">
        <f t="shared" si="5"/>
        <v>0.97499999999999987</v>
      </c>
      <c r="Z35" s="3">
        <f t="shared" si="5"/>
        <v>0.97499999999999987</v>
      </c>
      <c r="AA35" s="3">
        <f t="shared" si="5"/>
        <v>0.97500000000000009</v>
      </c>
      <c r="AB35" s="3">
        <f t="shared" si="5"/>
        <v>0.97499999999999998</v>
      </c>
      <c r="AC35" s="3">
        <f t="shared" si="5"/>
        <v>0.97499999999999987</v>
      </c>
    </row>
    <row r="36" spans="1:124" ht="21" customHeight="1" x14ac:dyDescent="0.35">
      <c r="A36" s="15" t="s">
        <v>209</v>
      </c>
      <c r="B36" s="51">
        <f>+Base!B36</f>
        <v>2.5000000000000001E-2</v>
      </c>
    </row>
    <row r="37" spans="1:124" ht="21" customHeight="1" x14ac:dyDescent="0.35">
      <c r="A37" s="15" t="s">
        <v>43</v>
      </c>
      <c r="B37" s="51">
        <f>+Base!B37</f>
        <v>1</v>
      </c>
    </row>
    <row r="38" spans="1:124" ht="28.25" customHeight="1" x14ac:dyDescent="0.35">
      <c r="A38" s="15" t="s">
        <v>161</v>
      </c>
      <c r="B38" s="51">
        <f>+Base!B38</f>
        <v>2250</v>
      </c>
    </row>
    <row r="39" spans="1:124" ht="21" customHeight="1" x14ac:dyDescent="0.35">
      <c r="A39" s="15" t="s">
        <v>37</v>
      </c>
      <c r="B39" s="51">
        <f>+Base!B39</f>
        <v>2.8</v>
      </c>
    </row>
    <row r="40" spans="1:124" ht="21" customHeight="1" thickBot="1" x14ac:dyDescent="0.4">
      <c r="A40" s="82" t="s">
        <v>38</v>
      </c>
    </row>
    <row r="41" spans="1:124" ht="24" customHeight="1" thickTop="1" x14ac:dyDescent="0.35">
      <c r="A41" s="15" t="s">
        <v>210</v>
      </c>
      <c r="B41" s="51">
        <f>+B42</f>
        <v>0.48898252427184469</v>
      </c>
      <c r="C41" s="3">
        <f t="shared" ref="C41:BI41" si="6">+B41*EXP(C43*(C2-B2))</f>
        <v>0.46513456515401325</v>
      </c>
      <c r="D41" s="3">
        <f t="shared" si="6"/>
        <v>0.44256008991679779</v>
      </c>
      <c r="E41" s="3">
        <f t="shared" si="6"/>
        <v>0.42118577521279577</v>
      </c>
      <c r="F41" s="3">
        <f t="shared" si="6"/>
        <v>0.40094280263881599</v>
      </c>
      <c r="G41" s="3">
        <f t="shared" si="6"/>
        <v>0.38176656563022343</v>
      </c>
      <c r="H41" s="3">
        <f t="shared" si="6"/>
        <v>0.36359639643184688</v>
      </c>
      <c r="I41" s="3">
        <f t="shared" si="6"/>
        <v>0.3463753117045314</v>
      </c>
      <c r="J41" s="3">
        <f t="shared" si="6"/>
        <v>0.33004977543436226</v>
      </c>
      <c r="K41" s="3">
        <f t="shared" si="6"/>
        <v>0.31456947791111545</v>
      </c>
      <c r="L41" s="3">
        <f t="shared" si="6"/>
        <v>0.29988712963428726</v>
      </c>
      <c r="M41" s="3">
        <f t="shared" si="6"/>
        <v>0.28595826908974353</v>
      </c>
      <c r="N41" s="3">
        <f t="shared" si="6"/>
        <v>0.27274108341817926</v>
      </c>
      <c r="O41" s="3">
        <f t="shared" si="6"/>
        <v>0.26019624106871514</v>
      </c>
      <c r="P41" s="3">
        <f t="shared" si="6"/>
        <v>0.24828673559755968</v>
      </c>
      <c r="Q41" s="3">
        <f t="shared" si="6"/>
        <v>0.23697773983317538</v>
      </c>
      <c r="R41" s="3">
        <f t="shared" si="6"/>
        <v>0.22623646968620664</v>
      </c>
      <c r="S41" s="3">
        <f t="shared" si="6"/>
        <v>0.21603205693493088</v>
      </c>
      <c r="T41" s="3">
        <f t="shared" si="6"/>
        <v>0.20633543036551905</v>
      </c>
      <c r="U41" s="3">
        <f t="shared" si="6"/>
        <v>0.19711920469125327</v>
      </c>
      <c r="V41" s="3">
        <f t="shared" si="6"/>
        <v>0.18835757671633377</v>
      </c>
      <c r="W41" s="3">
        <f t="shared" si="6"/>
        <v>0.1800262282482781</v>
      </c>
      <c r="X41" s="3">
        <f t="shared" si="6"/>
        <v>0.17210223529841748</v>
      </c>
      <c r="Y41" s="3">
        <f t="shared" si="6"/>
        <v>0.16456398314284804</v>
      </c>
      <c r="Z41" s="3">
        <f t="shared" si="6"/>
        <v>0.15739108684660658</v>
      </c>
      <c r="AA41" s="3">
        <f t="shared" si="6"/>
        <v>0.15056431688199842</v>
      </c>
      <c r="AB41" s="3">
        <f t="shared" si="6"/>
        <v>0.14406552949808246</v>
      </c>
      <c r="AC41" s="3">
        <f t="shared" si="6"/>
        <v>0.13787760152247575</v>
      </c>
      <c r="AD41" s="3">
        <f t="shared" si="6"/>
        <v>0.13198436929902402</v>
      </c>
      <c r="AE41" s="3">
        <f t="shared" si="6"/>
        <v>0.12637057148562994</v>
      </c>
      <c r="AF41" s="3">
        <f t="shared" si="6"/>
        <v>0.12102179545576312</v>
      </c>
      <c r="AG41" s="3">
        <f t="shared" si="6"/>
        <v>0.11592442706500916</v>
      </c>
      <c r="AH41" s="3">
        <f t="shared" si="6"/>
        <v>0.11106560356055512</v>
      </c>
      <c r="AI41" s="3">
        <f t="shared" si="6"/>
        <v>0.10643316942685391</v>
      </c>
      <c r="AJ41" s="3">
        <f t="shared" si="6"/>
        <v>0.10201563497494859</v>
      </c>
      <c r="AK41" s="3">
        <f t="shared" si="6"/>
        <v>9.7802137496154212E-2</v>
      </c>
      <c r="AL41" s="3">
        <f t="shared" si="6"/>
        <v>9.3782404813064046E-2</v>
      </c>
      <c r="AM41" s="3">
        <f t="shared" si="6"/>
        <v>8.9946721072241179E-2</v>
      </c>
      <c r="AN41" s="3">
        <f t="shared" si="6"/>
        <v>8.628589463353914E-2</v>
      </c>
      <c r="AO41" s="3">
        <f t="shared" si="6"/>
        <v>8.2791227920826896E-2</v>
      </c>
      <c r="AP41" s="3">
        <f t="shared" si="6"/>
        <v>7.9454489108030366E-2</v>
      </c>
      <c r="AQ41" s="3">
        <f t="shared" si="6"/>
        <v>7.6267885522894624E-2</v>
      </c>
      <c r="AR41" s="3">
        <f t="shared" si="6"/>
        <v>7.3224038658766005E-2</v>
      </c>
      <c r="AS41" s="3">
        <f t="shared" si="6"/>
        <v>7.031596069203537E-2</v>
      </c>
      <c r="AT41" s="3">
        <f t="shared" si="6"/>
        <v>6.7537032409712414E-2</v>
      </c>
      <c r="AU41" s="3">
        <f t="shared" si="6"/>
        <v>6.4880982457954123E-2</v>
      </c>
      <c r="AV41" s="3">
        <f t="shared" si="6"/>
        <v>6.2341867828282604E-2</v>
      </c>
      <c r="AW41" s="3">
        <f t="shared" si="6"/>
        <v>5.991405550372976E-2</v>
      </c>
      <c r="AX41" s="3">
        <f t="shared" si="6"/>
        <v>5.7592205192269555E-2</v>
      </c>
      <c r="AY41" s="3">
        <f t="shared" si="6"/>
        <v>5.5371253079668684E-2</v>
      </c>
      <c r="AZ41" s="3">
        <f t="shared" si="6"/>
        <v>5.3246396538329618E-2</v>
      </c>
      <c r="BA41" s="3">
        <f t="shared" si="6"/>
        <v>5.1213079732839228E-2</v>
      </c>
      <c r="BB41" s="3">
        <f t="shared" si="6"/>
        <v>4.9266980066793017E-2</v>
      </c>
      <c r="BC41" s="3">
        <f t="shared" si="6"/>
        <v>4.7403995419059923E-2</v>
      </c>
      <c r="BD41" s="3">
        <f t="shared" si="6"/>
        <v>4.5620232121003627E-2</v>
      </c>
      <c r="BE41" s="3">
        <f t="shared" si="6"/>
        <v>4.3911993629301163E-2</v>
      </c>
      <c r="BF41" s="3">
        <f t="shared" si="6"/>
        <v>4.22757698519136E-2</v>
      </c>
      <c r="BG41" s="3">
        <f t="shared" si="6"/>
        <v>4.0708227087482361E-2</v>
      </c>
      <c r="BH41" s="3">
        <f t="shared" si="6"/>
        <v>3.9206198540960864E-2</v>
      </c>
      <c r="BI41" s="3">
        <f t="shared" si="6"/>
        <v>3.776667538065856E-2</v>
      </c>
    </row>
    <row r="42" spans="1:124" ht="21" customHeight="1" x14ac:dyDescent="0.35">
      <c r="A42" s="15" t="s">
        <v>211</v>
      </c>
      <c r="B42" s="51">
        <f>+Base!B42</f>
        <v>0.48898252427184469</v>
      </c>
      <c r="C42" s="51"/>
    </row>
    <row r="43" spans="1:124" ht="21" customHeight="1" x14ac:dyDescent="0.35">
      <c r="A43" s="15" t="s">
        <v>212</v>
      </c>
      <c r="B43" s="3"/>
      <c r="C43" s="3">
        <f>+Parameters!B15</f>
        <v>-0.01</v>
      </c>
      <c r="D43" s="3">
        <f>+C43*(1+Parameters!$B$57)^5</f>
        <v>-9.9500999000499898E-3</v>
      </c>
      <c r="E43" s="3">
        <f>+D43*(1+Parameters!$B$57)^5</f>
        <v>-9.9004488020974814E-3</v>
      </c>
      <c r="F43" s="3">
        <f>+E43*(1+Parameters!$B$57)^5</f>
        <v>-9.8510454636200201E-3</v>
      </c>
      <c r="G43" s="3">
        <f>+F43*(1+Parameters!$B$57)^5</f>
        <v>-9.8018886482953479E-3</v>
      </c>
      <c r="H43" s="3">
        <f>+G43*(1+Parameters!$B$57)^5</f>
        <v>-9.7529771259704679E-3</v>
      </c>
      <c r="I43" s="3">
        <f>+H43*(1+Parameters!$B$57)^5</f>
        <v>-9.7043096726308585E-3</v>
      </c>
      <c r="J43" s="3">
        <f>+I43*(1+Parameters!$B$57)^5</f>
        <v>-9.6558850703698466E-3</v>
      </c>
      <c r="K43" s="3">
        <f>+J43*(1+Parameters!$B$57)^5</f>
        <v>-9.6077021073581199E-3</v>
      </c>
      <c r="L43" s="3">
        <f>+K43*(1+Parameters!$B$57)^5</f>
        <v>-9.559759577813411E-3</v>
      </c>
      <c r="M43" s="3">
        <f>+L43*(1+Parameters!$B$57)^5</f>
        <v>-9.5120562819703148E-3</v>
      </c>
      <c r="N43" s="3">
        <f>+M43*(1+Parameters!$B$57)^5</f>
        <v>-9.4645910260502709E-3</v>
      </c>
      <c r="O43" s="3">
        <f>+N43*(1+Parameters!$B$57)^5</f>
        <v>-9.4173626222316831E-3</v>
      </c>
      <c r="P43" s="3">
        <f>+O43*(1+Parameters!$B$57)^5</f>
        <v>-9.3703698886201982E-3</v>
      </c>
      <c r="Q43" s="3">
        <f>+P43*(1+Parameters!$B$57)^5</f>
        <v>-9.3236116492191271E-3</v>
      </c>
      <c r="R43" s="3">
        <f>+Q43*(1+Parameters!$B$57)^5</f>
        <v>-9.2770867339000158E-3</v>
      </c>
      <c r="S43" s="3">
        <f>+R43*(1+Parameters!$B$57)^5</f>
        <v>-9.2307939783733643E-3</v>
      </c>
      <c r="T43" s="3">
        <f>+S43*(1+Parameters!$B$57)^5</f>
        <v>-9.1847322241594854E-3</v>
      </c>
      <c r="U43" s="3">
        <f>+T43*(1+Parameters!$B$57)^5</f>
        <v>-9.1389003185595227E-3</v>
      </c>
      <c r="V43" s="3">
        <f>+U43*(1+Parameters!$B$57)^5</f>
        <v>-9.0932971146265931E-3</v>
      </c>
      <c r="W43" s="3">
        <f>+V43*(1+Parameters!$B$57)^5</f>
        <v>-9.0479214711370933E-3</v>
      </c>
      <c r="X43" s="3">
        <f>+W43*(1+Parameters!$B$57)^5</f>
        <v>-9.0027722525621353E-3</v>
      </c>
      <c r="Y43" s="3">
        <f>+X43*(1+Parameters!$B$57)^5</f>
        <v>-8.9578483290391319E-3</v>
      </c>
      <c r="Z43" s="3">
        <f>+Y43*(1+Parameters!$B$57)^5</f>
        <v>-8.9131485763435242E-3</v>
      </c>
      <c r="AA43" s="3">
        <f>+Z43*(1+Parameters!$B$57)^5</f>
        <v>-8.8686718758606408E-3</v>
      </c>
      <c r="AB43" s="3">
        <f>+AA43*(1+Parameters!$B$57)^5</f>
        <v>-8.8244171145577116E-3</v>
      </c>
      <c r="AC43" s="3">
        <f>+AB43*(1+Parameters!$B$57)^5</f>
        <v>-8.7803831849560116E-3</v>
      </c>
      <c r="AD43" s="3">
        <f>+AC43*(1+Parameters!$B$57)^5</f>
        <v>-8.7365689851031433E-3</v>
      </c>
      <c r="AE43" s="3">
        <f>+AD43*(1+Parameters!$B$57)^5</f>
        <v>-8.6929734185454636E-3</v>
      </c>
      <c r="AF43" s="3">
        <f>+AE43*(1+Parameters!$B$57)^5</f>
        <v>-8.6495953943006437E-3</v>
      </c>
      <c r="AG43" s="3">
        <f>+AF43*(1+Parameters!$B$57)^5</f>
        <v>-8.6064338268303682E-3</v>
      </c>
      <c r="AH43" s="3">
        <f>+AG43*(1+Parameters!$B$57)^5</f>
        <v>-8.5634876360131708E-3</v>
      </c>
      <c r="AI43" s="3">
        <f>+AH43*(1+Parameters!$B$57)^5</f>
        <v>-8.5207557471173971E-3</v>
      </c>
      <c r="AJ43" s="3">
        <f>+AI43*(1+Parameters!$B$57)^5</f>
        <v>-8.4782370907743199E-3</v>
      </c>
      <c r="AK43" s="3">
        <f>+AJ43*(1+Parameters!$B$57)^5</f>
        <v>-8.4359306029513671E-3</v>
      </c>
      <c r="AL43" s="3">
        <f>+AK43*(1+Parameters!$B$57)^5</f>
        <v>-8.3938352249255058E-3</v>
      </c>
      <c r="AM43" s="3">
        <f>+AL43*(1+Parameters!$B$57)^5</f>
        <v>-8.3519499032567359E-3</v>
      </c>
      <c r="AN43" s="3">
        <f>+AM43*(1+Parameters!$B$57)^5</f>
        <v>-8.3102735897617377E-3</v>
      </c>
      <c r="AO43" s="3">
        <f>+AN43*(1+Parameters!$B$57)^5</f>
        <v>-8.2688052414876343E-3</v>
      </c>
      <c r="AP43" s="3">
        <f>+AO43*(1+Parameters!$B$57)^5</f>
        <v>-8.2275438206858946E-3</v>
      </c>
      <c r="AQ43" s="3">
        <f>+AP43*(1+Parameters!$B$57)^5</f>
        <v>-8.1864882947863642E-3</v>
      </c>
      <c r="AR43" s="3">
        <f>+AQ43*(1+Parameters!$B$57)^5</f>
        <v>-8.1456376363714215E-3</v>
      </c>
      <c r="AS43" s="3">
        <f>+AR43*(1+Parameters!$B$57)^5</f>
        <v>-8.1049908231502713E-3</v>
      </c>
      <c r="AT43" s="3">
        <f>+AS43*(1+Parameters!$B$57)^5</f>
        <v>-8.0645468379333604E-3</v>
      </c>
      <c r="AU43" s="3">
        <f>+AT43*(1+Parameters!$B$57)^5</f>
        <v>-8.0243046686069193E-3</v>
      </c>
      <c r="AV43" s="3">
        <f>+AU43*(1+Parameters!$B$57)^5</f>
        <v>-7.9842633081076385E-3</v>
      </c>
      <c r="AW43" s="3">
        <f>+AV43*(1+Parameters!$B$57)^5</f>
        <v>-7.9444217543974613E-3</v>
      </c>
      <c r="AX43" s="3">
        <f>+AW43*(1+Parameters!$B$57)^5</f>
        <v>-7.9047790104385153E-3</v>
      </c>
      <c r="AY43" s="3">
        <f>+AX43*(1+Parameters!$B$57)^5</f>
        <v>-7.8653340841681532E-3</v>
      </c>
      <c r="AZ43" s="3">
        <f>+AY43*(1+Parameters!$B$57)^5</f>
        <v>-7.8260859884741324E-3</v>
      </c>
      <c r="BA43" s="3">
        <f>+AZ43*(1+Parameters!$B$57)^5</f>
        <v>-7.7870337411699089E-3</v>
      </c>
      <c r="BB43" s="3">
        <f>+BA43*(1+Parameters!$B$57)^5</f>
        <v>-7.748176364970061E-3</v>
      </c>
      <c r="BC43" s="3">
        <f>+BB43*(1+Parameters!$B$57)^5</f>
        <v>-7.70951288746583E-3</v>
      </c>
      <c r="BD43" s="3">
        <f>+BC43*(1+Parameters!$B$57)^5</f>
        <v>-7.6710423411007868E-3</v>
      </c>
      <c r="BE43" s="3">
        <f>+BD43*(1+Parameters!$B$57)^5</f>
        <v>-7.6327637631466178E-3</v>
      </c>
      <c r="BF43" s="3">
        <f>+BE43*(1+Parameters!$B$57)^5</f>
        <v>-7.5946761956790345E-3</v>
      </c>
      <c r="BG43" s="3">
        <f>+BF43*(1+Parameters!$B$57)^5</f>
        <v>-7.5567786855537996E-3</v>
      </c>
      <c r="BH43" s="3">
        <f>+BG43*(1+Parameters!$B$57)^5</f>
        <v>-7.5190702843828758E-3</v>
      </c>
      <c r="BI43" s="3">
        <f>+BH43*(1+Parameters!$B$57)^5</f>
        <v>-7.4815500485106903E-3</v>
      </c>
    </row>
    <row r="44" spans="1:124" ht="21" customHeight="1" x14ac:dyDescent="0.35">
      <c r="A44" s="15" t="s">
        <v>164</v>
      </c>
      <c r="B44" s="51">
        <f>+B45</f>
        <v>1.53972</v>
      </c>
      <c r="C44" s="3">
        <f>+B44*(1-Parameters!$C$55)</f>
        <v>1.231776</v>
      </c>
      <c r="D44" s="3">
        <f>+C44*(1-Parameters!$C$55)</f>
        <v>0.98542079999999999</v>
      </c>
      <c r="E44" s="3">
        <f>+D44*(1-Parameters!$C$55)</f>
        <v>0.78833664000000003</v>
      </c>
      <c r="F44" s="3">
        <f>+E44*(1-Parameters!$C$55)</f>
        <v>0.63066931200000009</v>
      </c>
      <c r="G44" s="3">
        <f>+F44*(1-Parameters!$C$55)</f>
        <v>0.50453544960000007</v>
      </c>
      <c r="H44" s="3">
        <f>+G44*(1-Parameters!$C$55)</f>
        <v>0.4036283596800001</v>
      </c>
      <c r="I44" s="3">
        <f>+H44*(1-Parameters!$C$55)</f>
        <v>0.32290268774400011</v>
      </c>
      <c r="J44" s="3">
        <f>+I44*(1-Parameters!$C$55)</f>
        <v>0.25832215019520011</v>
      </c>
      <c r="K44" s="3">
        <f>+J44*(1-Parameters!$C$55)</f>
        <v>0.2066577201561601</v>
      </c>
      <c r="L44" s="3">
        <f>+K44*(1-Parameters!$C$55)</f>
        <v>0.16532617612492809</v>
      </c>
      <c r="M44" s="3">
        <f>+L44*(1-Parameters!$C$55)</f>
        <v>0.13226094089994248</v>
      </c>
      <c r="N44" s="3">
        <f>+M44*(1-Parameters!$C$55)</f>
        <v>0.10580875271995399</v>
      </c>
      <c r="O44" s="3">
        <f>+N44*(1-Parameters!$C$55)</f>
        <v>8.4647002175963201E-2</v>
      </c>
      <c r="P44" s="3">
        <f>+O44*(1-Parameters!$C$55)</f>
        <v>6.7717601740770558E-2</v>
      </c>
      <c r="Q44" s="3">
        <f>+P44*(1-Parameters!$C$55)</f>
        <v>5.4174081392616452E-2</v>
      </c>
      <c r="R44" s="3">
        <f>+Q44*(1-Parameters!$C$55)</f>
        <v>4.3339265114093167E-2</v>
      </c>
      <c r="S44" s="3">
        <f>+R44*(1-Parameters!$C$55)</f>
        <v>3.4671412091274535E-2</v>
      </c>
      <c r="T44" s="3">
        <f>+S44*(1-Parameters!$C$55)</f>
        <v>2.7737129673019629E-2</v>
      </c>
      <c r="U44" s="3">
        <f>+T44*(1-Parameters!$C$55)</f>
        <v>2.2189703738415705E-2</v>
      </c>
      <c r="V44" s="3">
        <f>+U44*(1-Parameters!$C$55)</f>
        <v>1.7751762990732566E-2</v>
      </c>
      <c r="W44" s="3">
        <f>+V44*(1-Parameters!$C$55)</f>
        <v>1.4201410392586053E-2</v>
      </c>
      <c r="X44" s="3">
        <f>+W44*(1-Parameters!$C$55)</f>
        <v>1.1361128314068844E-2</v>
      </c>
      <c r="Y44" s="3">
        <f>+X44*(1-Parameters!$C$55)</f>
        <v>9.0889026512550753E-3</v>
      </c>
      <c r="Z44" s="3">
        <f>+Y44*(1-Parameters!$C$55)</f>
        <v>7.2711221210040606E-3</v>
      </c>
      <c r="AA44" s="3">
        <f>+Z44*(1-Parameters!$C$55)</f>
        <v>5.8168976968032485E-3</v>
      </c>
      <c r="AB44" s="3">
        <f>+AA44*(1-Parameters!$C$55)</f>
        <v>4.6535181574425986E-3</v>
      </c>
      <c r="AC44" s="3">
        <f>+AB44*(1-Parameters!$C$55)</f>
        <v>3.722814525954079E-3</v>
      </c>
      <c r="AD44" s="3">
        <f>+AC44*(1-Parameters!$C$55)</f>
        <v>2.9782516207632632E-3</v>
      </c>
      <c r="AE44" s="3">
        <f>+AD44*(1-Parameters!$C$55)</f>
        <v>2.3826012966106109E-3</v>
      </c>
      <c r="AF44" s="3">
        <f>+AE44*(1-Parameters!$C$55)</f>
        <v>1.9060810372884887E-3</v>
      </c>
      <c r="AG44" s="3">
        <f>+AF44*(1-Parameters!$C$55)</f>
        <v>1.524864829830791E-3</v>
      </c>
      <c r="AH44" s="3">
        <f>+AG44*(1-Parameters!$C$55)</f>
        <v>1.2198918638646329E-3</v>
      </c>
      <c r="AI44" s="3">
        <f>+AH44*(1-Parameters!$C$55)</f>
        <v>9.7591349109170638E-4</v>
      </c>
      <c r="AJ44" s="3">
        <f>+AI44*(1-Parameters!$C$55)</f>
        <v>7.8073079287336515E-4</v>
      </c>
      <c r="AK44" s="3">
        <f>+AJ44*(1-Parameters!$C$55)</f>
        <v>6.2458463429869221E-4</v>
      </c>
      <c r="AL44" s="3">
        <f>+AK44*(1-Parameters!$C$55)</f>
        <v>4.9966770743895374E-4</v>
      </c>
      <c r="AM44" s="3">
        <f>+AL44*(1-Parameters!$C$55)</f>
        <v>3.9973416595116303E-4</v>
      </c>
      <c r="AN44" s="3">
        <f>+AM44*(1-Parameters!$C$55)</f>
        <v>3.1978733276093044E-4</v>
      </c>
      <c r="AO44" s="3">
        <f>+AN44*(1-Parameters!$C$55)</f>
        <v>2.5582986620874439E-4</v>
      </c>
      <c r="AP44" s="3">
        <f>+AO44*(1-Parameters!$C$55)</f>
        <v>2.0466389296699552E-4</v>
      </c>
      <c r="AQ44" s="3">
        <f>+AP44*(1-Parameters!$C$55)</f>
        <v>1.6373111437359642E-4</v>
      </c>
      <c r="AR44" s="3">
        <f>+AQ44*(1-Parameters!$C$55)</f>
        <v>1.3098489149887714E-4</v>
      </c>
      <c r="AS44" s="3">
        <f>+AR44*(1-Parameters!$C$55)</f>
        <v>1.0478791319910172E-4</v>
      </c>
      <c r="AT44" s="3">
        <f>+AS44*(1-Parameters!$C$55)</f>
        <v>8.3830330559281379E-5</v>
      </c>
      <c r="AU44" s="3">
        <f>+AT44*(1-Parameters!$C$55)</f>
        <v>6.7064264447425106E-5</v>
      </c>
      <c r="AV44" s="3">
        <f>+AU44*(1-Parameters!$C$55)</f>
        <v>5.365141155794009E-5</v>
      </c>
      <c r="AW44" s="3">
        <f>+AV44*(1-Parameters!$C$55)</f>
        <v>4.2921129246352076E-5</v>
      </c>
      <c r="AX44" s="3">
        <f>+AW44*(1-Parameters!$C$55)</f>
        <v>3.4336903397081661E-5</v>
      </c>
      <c r="AY44" s="3">
        <f>+AX44*(1-Parameters!$C$55)</f>
        <v>2.7469522717665329E-5</v>
      </c>
      <c r="AZ44" s="3">
        <f>+AY44*(1-Parameters!$C$55)</f>
        <v>2.1975618174132264E-5</v>
      </c>
      <c r="BA44" s="3">
        <f>+AZ44*(1-Parameters!$C$55)</f>
        <v>1.7580494539305812E-5</v>
      </c>
      <c r="BB44" s="3">
        <f>+BA44*(1-Parameters!$C$55)</f>
        <v>1.4064395631444651E-5</v>
      </c>
      <c r="BC44" s="3">
        <f>+BB44*(1-Parameters!$C$55)</f>
        <v>1.1251516505155721E-5</v>
      </c>
      <c r="BD44" s="3">
        <f>+BC44*(1-Parameters!$C$55)</f>
        <v>9.0012132041245777E-6</v>
      </c>
      <c r="BE44" s="3">
        <f>+BD44*(1-Parameters!$C$55)</f>
        <v>7.2009705632996627E-6</v>
      </c>
      <c r="BF44" s="3">
        <f>+BE44*(1-Parameters!$C$55)</f>
        <v>5.7607764506397308E-6</v>
      </c>
      <c r="BG44" s="3">
        <f>+BF44*(1-Parameters!$C$55)</f>
        <v>4.6086211605117848E-6</v>
      </c>
      <c r="BH44" s="3">
        <f>+BG44*(1-Parameters!$C$55)</f>
        <v>3.6868969284094279E-6</v>
      </c>
      <c r="BI44" s="3">
        <f>+BH44*(1-Parameters!$C$55)</f>
        <v>2.9495175427275426E-6</v>
      </c>
    </row>
    <row r="45" spans="1:124" ht="22.25" customHeight="1" x14ac:dyDescent="0.35">
      <c r="A45" s="15" t="s">
        <v>213</v>
      </c>
      <c r="B45" s="51">
        <f>+Base!B45</f>
        <v>1.53972</v>
      </c>
    </row>
    <row r="46" spans="1:124" ht="21" customHeight="1" thickBot="1" x14ac:dyDescent="0.4">
      <c r="A46" s="83" t="s">
        <v>3</v>
      </c>
      <c r="B46" s="56"/>
    </row>
    <row r="47" spans="1:124" ht="21" customHeight="1" thickTop="1" x14ac:dyDescent="0.35">
      <c r="A47" s="15" t="str">
        <f>+IF(Parameters!B27=1,"Copenhagen",IF(Parameters!B27=2,"Copenhagen rich",IF(Parameters!B27=3,"Realistically optimistic","All immediate")))</f>
        <v>All immediate</v>
      </c>
      <c r="B47" s="57">
        <v>1</v>
      </c>
      <c r="C47" s="57">
        <f>+IF(Parameters!$B$27=1,Parameters!C45,IF(Parameters!$B$27=2,Parameters!C46,IF(Parameters!$B$27=3,Parameters!C47,Parameters!C48)))</f>
        <v>1</v>
      </c>
      <c r="D47" s="57">
        <f>+IF(Parameters!$B$27=1,Parameters!D45,IF(Parameters!$B$27=2,Parameters!D46,IF(Parameters!$B$27=3,Parameters!D47,Parameters!D48)))</f>
        <v>1</v>
      </c>
      <c r="E47" s="57">
        <f>+IF(Parameters!$B$27=1,Parameters!E45,IF(Parameters!$B$27=2,Parameters!E46,IF(Parameters!$B$27=3,Parameters!E47,Parameters!E48)))</f>
        <v>1</v>
      </c>
      <c r="F47" s="57">
        <f>+IF(Parameters!$B$27=1,Parameters!F45,IF(Parameters!$B$27=2,Parameters!F46,IF(Parameters!$B$27=3,Parameters!F47,Parameters!F48)))</f>
        <v>1</v>
      </c>
      <c r="G47" s="57">
        <f>+IF(Parameters!$B$27=1,Parameters!G45,IF(Parameters!$B$27=2,Parameters!G46,IF(Parameters!$B$27=3,Parameters!G47,Parameters!G48)))</f>
        <v>1</v>
      </c>
      <c r="H47" s="57">
        <f>+IF(Parameters!$B$27=1,Parameters!H45,IF(Parameters!$B$27=2,Parameters!H46,IF(Parameters!$B$27=3,Parameters!H47,Parameters!H48)))</f>
        <v>1</v>
      </c>
      <c r="I47" s="57">
        <f>+IF(Parameters!$B$27=1,Parameters!I45,IF(Parameters!$B$27=2,Parameters!I46,IF(Parameters!$B$27=3,Parameters!I47,Parameters!I48)))</f>
        <v>1</v>
      </c>
      <c r="J47" s="57">
        <f>+IF(Parameters!$B$27=1,Parameters!J45,IF(Parameters!$B$27=2,Parameters!J46,IF(Parameters!$B$27=3,Parameters!J47,Parameters!J48)))</f>
        <v>1</v>
      </c>
      <c r="K47" s="57">
        <f>+IF(Parameters!$B$27=1,Parameters!K45,IF(Parameters!$B$27=2,Parameters!K46,IF(Parameters!$B$27=3,Parameters!K47,Parameters!K48)))</f>
        <v>1</v>
      </c>
      <c r="L47" s="57">
        <f>+IF(Parameters!$B$27=1,Parameters!L45,IF(Parameters!$B$27=2,Parameters!L46,IF(Parameters!$B$27=3,Parameters!L47,Parameters!L48)))</f>
        <v>1</v>
      </c>
      <c r="M47" s="57">
        <f>+IF(Parameters!$B$27=1,Parameters!M45,IF(Parameters!$B$27=2,Parameters!M46,IF(Parameters!$B$27=3,Parameters!M47,Parameters!M48)))</f>
        <v>1</v>
      </c>
      <c r="N47" s="57">
        <f>+IF(Parameters!$B$27=1,Parameters!N45,IF(Parameters!$B$27=2,Parameters!N46,IF(Parameters!$B$27=3,Parameters!N47,Parameters!N48)))</f>
        <v>1</v>
      </c>
      <c r="O47" s="57">
        <f>+IF(Parameters!$B$27=1,Parameters!O45,IF(Parameters!$B$27=2,Parameters!O46,IF(Parameters!$B$27=3,Parameters!O47,Parameters!O48)))</f>
        <v>1</v>
      </c>
      <c r="P47" s="57">
        <f>+IF(Parameters!$B$27=1,Parameters!P45,IF(Parameters!$B$27=2,Parameters!P46,IF(Parameters!$B$27=3,Parameters!P47,Parameters!P48)))</f>
        <v>1</v>
      </c>
      <c r="Q47" s="57">
        <f>+IF(Parameters!$B$27=1,Parameters!Q45,IF(Parameters!$B$27=2,Parameters!Q46,IF(Parameters!$B$27=3,Parameters!Q47,Parameters!Q48)))</f>
        <v>1</v>
      </c>
      <c r="R47" s="57">
        <f>+IF(Parameters!$B$27=1,Parameters!R45,IF(Parameters!$B$27=2,Parameters!R46,IF(Parameters!$B$27=3,Parameters!R47,Parameters!R48)))</f>
        <v>1</v>
      </c>
      <c r="S47" s="57">
        <f>+IF(Parameters!$B$27=1,Parameters!S45,IF(Parameters!$B$27=2,Parameters!S46,IF(Parameters!$B$27=3,Parameters!S47,Parameters!S48)))</f>
        <v>1</v>
      </c>
      <c r="T47" s="57">
        <f>+IF(Parameters!$B$27=1,Parameters!T45,IF(Parameters!$B$27=2,Parameters!T46,IF(Parameters!$B$27=3,Parameters!T47,Parameters!T48)))</f>
        <v>1</v>
      </c>
      <c r="U47" s="57">
        <f>+IF(Parameters!$B$27=1,Parameters!U45,IF(Parameters!$B$27=2,Parameters!U46,IF(Parameters!$B$27=3,Parameters!U47,Parameters!U48)))</f>
        <v>1</v>
      </c>
      <c r="V47" s="57">
        <f>+IF(Parameters!$B$27=1,Parameters!V45,IF(Parameters!$B$27=2,Parameters!V46,IF(Parameters!$B$27=3,Parameters!V47,Parameters!V48)))</f>
        <v>1</v>
      </c>
      <c r="W47" s="57">
        <f>+IF(Parameters!$B$27=1,Parameters!W45,IF(Parameters!$B$27=2,Parameters!W46,IF(Parameters!$B$27=3,Parameters!W47,Parameters!W48)))</f>
        <v>1</v>
      </c>
      <c r="X47" s="57">
        <f>+IF(Parameters!$B$27=1,Parameters!X45,IF(Parameters!$B$27=2,Parameters!X46,IF(Parameters!$B$27=3,Parameters!X47,Parameters!X48)))</f>
        <v>1</v>
      </c>
      <c r="Y47" s="57">
        <f>+IF(Parameters!$B$27=1,Parameters!Y45,IF(Parameters!$B$27=2,Parameters!Y46,IF(Parameters!$B$27=3,Parameters!Y47,Parameters!Y48)))</f>
        <v>1</v>
      </c>
      <c r="Z47" s="57">
        <f>+IF(Parameters!$B$27=1,Parameters!Z45,IF(Parameters!$B$27=2,Parameters!Z46,IF(Parameters!$B$27=3,Parameters!Z47,Parameters!Z48)))</f>
        <v>1</v>
      </c>
      <c r="AA47" s="57">
        <f>+IF(Parameters!$B$27=1,Parameters!AA45,IF(Parameters!$B$27=2,Parameters!AA46,IF(Parameters!$B$27=3,Parameters!AA47,Parameters!AA48)))</f>
        <v>1</v>
      </c>
      <c r="AB47" s="57">
        <f>+IF(Parameters!$B$27=1,Parameters!AB45,IF(Parameters!$B$27=2,Parameters!AB46,IF(Parameters!$B$27=3,Parameters!AB47,Parameters!AB48)))</f>
        <v>1</v>
      </c>
      <c r="AC47" s="57">
        <f>+IF(Parameters!$B$27=1,Parameters!AC45,IF(Parameters!$B$27=2,Parameters!AC46,IF(Parameters!$B$27=3,Parameters!AC47,Parameters!AC48)))</f>
        <v>1</v>
      </c>
      <c r="AD47" s="57">
        <f>+IF(Parameters!$B$27=1,Parameters!AD45,IF(Parameters!$B$27=2,Parameters!AD46,IF(Parameters!$B$27=3,Parameters!AD47,Parameters!AD48)))</f>
        <v>1</v>
      </c>
      <c r="AE47" s="57">
        <f>+IF(Parameters!$B$27=1,Parameters!AE45,IF(Parameters!$B$27=2,Parameters!AE46,IF(Parameters!$B$27=3,Parameters!AE47,Parameters!AE48)))</f>
        <v>1</v>
      </c>
      <c r="AF47" s="57">
        <f>+IF(Parameters!$B$27=1,Parameters!AF45,IF(Parameters!$B$27=2,Parameters!AF46,IF(Parameters!$B$27=3,Parameters!AF47,Parameters!AF48)))</f>
        <v>1</v>
      </c>
      <c r="AG47" s="57">
        <f>+IF(Parameters!$B$27=1,Parameters!AG45,IF(Parameters!$B$27=2,Parameters!AG46,IF(Parameters!$B$27=3,Parameters!AG47,Parameters!AG48)))</f>
        <v>1</v>
      </c>
      <c r="AH47" s="57">
        <f>+IF(Parameters!$B$27=1,Parameters!AH45,IF(Parameters!$B$27=2,Parameters!AH46,IF(Parameters!$B$27=3,Parameters!AH47,Parameters!AH48)))</f>
        <v>1</v>
      </c>
      <c r="AI47" s="57">
        <f>+IF(Parameters!$B$27=1,Parameters!AI45,IF(Parameters!$B$27=2,Parameters!AI46,IF(Parameters!$B$27=3,Parameters!AI47,Parameters!AI48)))</f>
        <v>1</v>
      </c>
      <c r="AJ47" s="57">
        <f>+IF(Parameters!$B$27=1,Parameters!AJ45,IF(Parameters!$B$27=2,Parameters!AJ46,IF(Parameters!$B$27=3,Parameters!AJ47,Parameters!AJ48)))</f>
        <v>1</v>
      </c>
      <c r="AK47" s="57">
        <f>+IF(Parameters!$B$27=1,Parameters!AK45,IF(Parameters!$B$27=2,Parameters!AK46,IF(Parameters!$B$27=3,Parameters!AK47,Parameters!AK48)))</f>
        <v>1</v>
      </c>
      <c r="AL47" s="57">
        <f>+IF(Parameters!$B$27=1,Parameters!AL45,IF(Parameters!$B$27=2,Parameters!AL46,IF(Parameters!$B$27=3,Parameters!AL47,Parameters!AL48)))</f>
        <v>1</v>
      </c>
      <c r="AM47" s="57">
        <f>+IF(Parameters!$B$27=1,Parameters!AM45,IF(Parameters!$B$27=2,Parameters!AM46,IF(Parameters!$B$27=3,Parameters!AM47,Parameters!AM48)))</f>
        <v>1</v>
      </c>
      <c r="AN47" s="57">
        <f>+IF(Parameters!$B$27=1,Parameters!AN45,IF(Parameters!$B$27=2,Parameters!AN46,IF(Parameters!$B$27=3,Parameters!AN47,Parameters!AN48)))</f>
        <v>1</v>
      </c>
      <c r="AO47" s="57">
        <f>+IF(Parameters!$B$27=1,Parameters!AO45,IF(Parameters!$B$27=2,Parameters!AO46,IF(Parameters!$B$27=3,Parameters!AO47,Parameters!AO48)))</f>
        <v>1</v>
      </c>
      <c r="AP47" s="57">
        <f>+IF(Parameters!$B$27=1,Parameters!AP45,IF(Parameters!$B$27=2,Parameters!AP46,IF(Parameters!$B$27=3,Parameters!AP47,Parameters!AP48)))</f>
        <v>1</v>
      </c>
      <c r="AQ47" s="57">
        <f>+IF(Parameters!$B$27=1,Parameters!AQ45,IF(Parameters!$B$27=2,Parameters!AQ46,IF(Parameters!$B$27=3,Parameters!AQ47,Parameters!AQ48)))</f>
        <v>1</v>
      </c>
      <c r="AR47" s="57">
        <f>+IF(Parameters!$B$27=1,Parameters!AR45,IF(Parameters!$B$27=2,Parameters!AR46,IF(Parameters!$B$27=3,Parameters!AR47,Parameters!AR48)))</f>
        <v>1</v>
      </c>
      <c r="AS47" s="57">
        <f>+IF(Parameters!$B$27=1,Parameters!AS45,IF(Parameters!$B$27=2,Parameters!AS46,IF(Parameters!$B$27=3,Parameters!AS47,Parameters!AS48)))</f>
        <v>1</v>
      </c>
      <c r="AT47" s="57">
        <f>+IF(Parameters!$B$27=1,Parameters!AT45,IF(Parameters!$B$27=2,Parameters!AT46,IF(Parameters!$B$27=3,Parameters!AT47,Parameters!AT48)))</f>
        <v>1</v>
      </c>
      <c r="AU47" s="57">
        <f>+IF(Parameters!$B$27=1,Parameters!AU45,IF(Parameters!$B$27=2,Parameters!AU46,IF(Parameters!$B$27=3,Parameters!AU47,Parameters!AU48)))</f>
        <v>1</v>
      </c>
      <c r="AV47" s="57">
        <f>+IF(Parameters!$B$27=1,Parameters!AV45,IF(Parameters!$B$27=2,Parameters!AV46,IF(Parameters!$B$27=3,Parameters!AV47,Parameters!AV48)))</f>
        <v>1</v>
      </c>
      <c r="AW47" s="57">
        <f>+IF(Parameters!$B$27=1,Parameters!AW45,IF(Parameters!$B$27=2,Parameters!AW46,IF(Parameters!$B$27=3,Parameters!AW47,Parameters!AW48)))</f>
        <v>1</v>
      </c>
      <c r="AX47" s="57">
        <f>+IF(Parameters!$B$27=1,Parameters!AX45,IF(Parameters!$B$27=2,Parameters!AX46,IF(Parameters!$B$27=3,Parameters!AX47,Parameters!AX48)))</f>
        <v>1</v>
      </c>
      <c r="AY47" s="57">
        <f>+IF(Parameters!$B$27=1,Parameters!AY45,IF(Parameters!$B$27=2,Parameters!AY46,IF(Parameters!$B$27=3,Parameters!AY47,Parameters!AY48)))</f>
        <v>1</v>
      </c>
      <c r="AZ47" s="57">
        <f>+IF(Parameters!$B$27=1,Parameters!AZ45,IF(Parameters!$B$27=2,Parameters!AZ46,IF(Parameters!$B$27=3,Parameters!AZ47,Parameters!AZ48)))</f>
        <v>1</v>
      </c>
      <c r="BA47" s="57">
        <f>+IF(Parameters!$B$27=1,Parameters!BA45,IF(Parameters!$B$27=2,Parameters!BA46,IF(Parameters!$B$27=3,Parameters!BA47,Parameters!BA48)))</f>
        <v>1</v>
      </c>
      <c r="BB47" s="57">
        <f>+IF(Parameters!$B$27=1,Parameters!BB45,IF(Parameters!$B$27=2,Parameters!BB46,IF(Parameters!$B$27=3,Parameters!BB47,Parameters!BB48)))</f>
        <v>1</v>
      </c>
      <c r="BC47" s="57">
        <f>+IF(Parameters!$B$27=1,Parameters!BC45,IF(Parameters!$B$27=2,Parameters!BC46,IF(Parameters!$B$27=3,Parameters!BC47,Parameters!BC48)))</f>
        <v>1</v>
      </c>
      <c r="BD47" s="57">
        <f>+IF(Parameters!$B$27=1,Parameters!BD45,IF(Parameters!$B$27=2,Parameters!BD46,IF(Parameters!$B$27=3,Parameters!BD47,Parameters!BD48)))</f>
        <v>1</v>
      </c>
      <c r="BE47" s="57">
        <f>+IF(Parameters!$B$27=1,Parameters!BE45,IF(Parameters!$B$27=2,Parameters!BE46,IF(Parameters!$B$27=3,Parameters!BE47,Parameters!BE48)))</f>
        <v>1</v>
      </c>
      <c r="BF47" s="57">
        <f>+IF(Parameters!$B$27=1,Parameters!BF45,IF(Parameters!$B$27=2,Parameters!BF46,IF(Parameters!$B$27=3,Parameters!BF47,Parameters!BF48)))</f>
        <v>1</v>
      </c>
      <c r="BG47" s="57">
        <f>+IF(Parameters!$B$27=1,Parameters!BG45,IF(Parameters!$B$27=2,Parameters!BG46,IF(Parameters!$B$27=3,Parameters!BG47,Parameters!BG48)))</f>
        <v>1</v>
      </c>
      <c r="BH47" s="57">
        <f>+IF(Parameters!$B$27=1,Parameters!BH45,IF(Parameters!$B$27=2,Parameters!BH46,IF(Parameters!$B$27=3,Parameters!BH47,Parameters!BH48)))</f>
        <v>1</v>
      </c>
      <c r="BI47" s="57">
        <f>+IF(Parameters!$B$27=1,Parameters!BI45,IF(Parameters!$B$27=2,Parameters!BI46,IF(Parameters!$B$27=3,Parameters!BI47,Parameters!BI48)))</f>
        <v>1</v>
      </c>
      <c r="BJ47" s="57"/>
      <c r="BK47" s="57"/>
      <c r="BL47" s="57"/>
      <c r="BM47" s="57"/>
      <c r="BN47" s="57"/>
      <c r="BO47" s="57"/>
      <c r="BP47" s="57"/>
      <c r="BQ47" s="57"/>
      <c r="BR47" s="57"/>
      <c r="BS47" s="57"/>
      <c r="BT47" s="57"/>
      <c r="BU47" s="57"/>
      <c r="BV47" s="57"/>
      <c r="BW47" s="57"/>
      <c r="BX47" s="57"/>
      <c r="BY47" s="57"/>
      <c r="BZ47" s="57"/>
      <c r="CA47" s="57"/>
      <c r="CB47" s="57"/>
      <c r="CC47" s="57"/>
      <c r="CD47" s="57"/>
      <c r="CE47" s="57"/>
      <c r="CF47" s="57"/>
      <c r="CG47" s="57"/>
      <c r="CH47" s="57"/>
      <c r="CI47" s="57"/>
      <c r="CJ47" s="57"/>
      <c r="CK47" s="57"/>
      <c r="CL47" s="57"/>
      <c r="CM47" s="57"/>
      <c r="CN47" s="57"/>
      <c r="CO47" s="57"/>
      <c r="CP47" s="57"/>
      <c r="CQ47" s="57"/>
      <c r="CR47" s="57"/>
      <c r="CS47" s="57"/>
      <c r="CT47" s="57"/>
      <c r="CU47" s="57"/>
      <c r="CV47" s="57"/>
      <c r="CW47" s="57"/>
      <c r="CX47" s="57"/>
      <c r="CY47" s="57"/>
      <c r="CZ47" s="57"/>
      <c r="DA47" s="57"/>
      <c r="DB47" s="57"/>
      <c r="DC47" s="57"/>
      <c r="DD47" s="57"/>
      <c r="DE47" s="57"/>
      <c r="DF47" s="57"/>
      <c r="DG47" s="57"/>
      <c r="DH47" s="57"/>
      <c r="DI47" s="57"/>
      <c r="DJ47" s="57"/>
      <c r="DK47" s="57"/>
      <c r="DL47" s="57"/>
      <c r="DM47" s="57"/>
      <c r="DN47" s="57"/>
      <c r="DO47" s="57"/>
      <c r="DP47" s="57"/>
      <c r="DQ47" s="57"/>
      <c r="DR47" s="57"/>
      <c r="DS47" s="57"/>
      <c r="DT47" s="57"/>
    </row>
    <row r="48" spans="1:124" ht="21" customHeight="1" thickBot="1" x14ac:dyDescent="0.4">
      <c r="A48" s="82" t="s">
        <v>98</v>
      </c>
      <c r="C48" s="3" t="s">
        <v>131</v>
      </c>
      <c r="D48" s="3">
        <f>+B127</f>
        <v>6.9057380647434785</v>
      </c>
      <c r="E48" s="3">
        <v>7.5267760935020336</v>
      </c>
      <c r="F48" s="51"/>
    </row>
    <row r="49" spans="1:124" ht="21" customHeight="1" thickTop="1" x14ac:dyDescent="0.35">
      <c r="A49" s="15" t="s">
        <v>54</v>
      </c>
      <c r="B49" s="51">
        <f>+Base!B49</f>
        <v>1.6396699869977365E-2</v>
      </c>
      <c r="C49" s="51"/>
    </row>
    <row r="50" spans="1:124" ht="21" customHeight="1" x14ac:dyDescent="0.35">
      <c r="A50" s="15" t="s">
        <v>55</v>
      </c>
      <c r="B50" s="51">
        <f>+Base!B50</f>
        <v>-3823.8684027386507</v>
      </c>
      <c r="C50" s="58"/>
      <c r="D50" s="58"/>
    </row>
    <row r="51" spans="1:124" ht="21" customHeight="1" thickBot="1" x14ac:dyDescent="0.4">
      <c r="A51" s="82" t="s">
        <v>253</v>
      </c>
      <c r="B51" s="51">
        <v>0</v>
      </c>
      <c r="C51" s="3" t="s">
        <v>146</v>
      </c>
      <c r="D51" s="3">
        <f>+D50-B130</f>
        <v>8453.7370671215849</v>
      </c>
    </row>
    <row r="52" spans="1:124" ht="21" customHeight="1" thickTop="1" thickBot="1" x14ac:dyDescent="0.4">
      <c r="A52" s="82" t="s">
        <v>17</v>
      </c>
      <c r="C52" s="51"/>
      <c r="D52" s="51"/>
      <c r="E52" s="51"/>
      <c r="F52" s="51"/>
      <c r="G52" s="51"/>
      <c r="H52" s="51"/>
      <c r="I52" s="51"/>
      <c r="J52" s="51"/>
      <c r="K52" s="51"/>
      <c r="L52" s="51"/>
      <c r="M52" s="51"/>
      <c r="N52" s="51"/>
      <c r="O52" s="51"/>
      <c r="P52" s="51"/>
      <c r="Q52" s="51"/>
      <c r="R52" s="51"/>
      <c r="S52" s="51"/>
      <c r="T52" s="51"/>
      <c r="U52" s="51"/>
      <c r="V52" s="51"/>
      <c r="W52" s="51"/>
      <c r="X52" s="51"/>
      <c r="Y52" s="51"/>
      <c r="Z52" s="51"/>
      <c r="AA52" s="51"/>
      <c r="AB52" s="51"/>
      <c r="AC52" s="51"/>
      <c r="AD52" s="51"/>
      <c r="AE52" s="51"/>
      <c r="AF52" s="51"/>
      <c r="AG52" s="51"/>
      <c r="AH52" s="51"/>
      <c r="AI52" s="51"/>
      <c r="AJ52" s="51"/>
      <c r="AK52" s="51"/>
      <c r="AL52" s="51"/>
      <c r="AM52" s="51"/>
      <c r="AN52" s="51"/>
      <c r="AO52" s="51"/>
      <c r="AP52" s="51"/>
      <c r="AQ52" s="51"/>
      <c r="AR52" s="51"/>
      <c r="AS52" s="51"/>
      <c r="AT52" s="51"/>
      <c r="AU52" s="51"/>
      <c r="AV52" s="51"/>
      <c r="AW52" s="51"/>
      <c r="AX52" s="51"/>
      <c r="AY52" s="51"/>
      <c r="AZ52" s="51"/>
      <c r="BA52" s="51"/>
      <c r="BB52" s="51"/>
      <c r="BC52" s="51"/>
      <c r="BD52" s="51"/>
      <c r="BE52" s="51"/>
      <c r="BF52" s="51"/>
      <c r="BG52" s="51"/>
      <c r="BH52" s="51"/>
      <c r="BI52" s="51"/>
      <c r="BJ52" s="51"/>
      <c r="BK52" s="51"/>
      <c r="BL52" s="51"/>
      <c r="BM52" s="51"/>
      <c r="BN52" s="51"/>
      <c r="BO52" s="51"/>
      <c r="BP52" s="51"/>
      <c r="BQ52" s="51"/>
      <c r="BR52" s="51"/>
      <c r="BS52" s="51"/>
      <c r="BT52" s="51"/>
      <c r="BU52" s="51"/>
      <c r="BV52" s="51"/>
      <c r="BW52" s="51"/>
      <c r="BX52" s="51"/>
      <c r="BY52" s="51"/>
      <c r="BZ52" s="51"/>
      <c r="CA52" s="51"/>
      <c r="CB52" s="51"/>
      <c r="CC52" s="51"/>
      <c r="CD52" s="51"/>
      <c r="CE52" s="51"/>
      <c r="CF52" s="51"/>
      <c r="CG52" s="51"/>
      <c r="CH52" s="51"/>
      <c r="CI52" s="51"/>
      <c r="CJ52" s="51"/>
      <c r="CK52" s="51"/>
      <c r="CL52" s="51"/>
      <c r="CM52" s="51"/>
      <c r="CN52" s="51"/>
      <c r="CO52" s="51"/>
      <c r="CP52" s="51"/>
      <c r="CQ52" s="51"/>
      <c r="CR52" s="51"/>
      <c r="CS52" s="51"/>
      <c r="CT52" s="51"/>
      <c r="CU52" s="51"/>
      <c r="CV52" s="51"/>
      <c r="CW52" s="51"/>
      <c r="CX52" s="51"/>
      <c r="CY52" s="51"/>
      <c r="CZ52" s="51"/>
      <c r="DA52" s="51"/>
      <c r="DB52" s="51"/>
      <c r="DC52" s="51"/>
      <c r="DD52" s="51"/>
      <c r="DE52" s="51"/>
      <c r="DF52" s="51"/>
      <c r="DG52" s="51"/>
      <c r="DH52" s="51"/>
      <c r="DI52" s="51"/>
      <c r="DJ52" s="51"/>
      <c r="DK52" s="51"/>
      <c r="DL52" s="51"/>
      <c r="DM52" s="51"/>
      <c r="DN52" s="51"/>
      <c r="DO52" s="51"/>
      <c r="DP52" s="51"/>
      <c r="DQ52" s="51"/>
      <c r="DR52" s="51"/>
      <c r="DS52" s="51"/>
      <c r="DT52" s="51"/>
    </row>
    <row r="53" spans="1:124" ht="21" customHeight="1" thickTop="1" x14ac:dyDescent="0.35">
      <c r="A53" s="15" t="s">
        <v>18</v>
      </c>
      <c r="B53" s="51">
        <f>+Base!B53</f>
        <v>6838</v>
      </c>
      <c r="C53" s="51">
        <f>+Base!C53</f>
        <v>7244.0131682715773</v>
      </c>
      <c r="D53" s="51">
        <f>+Base!D53</f>
        <v>7614.8328217481658</v>
      </c>
      <c r="E53" s="51">
        <f>+Base!E53</f>
        <v>7951.0707590505608</v>
      </c>
      <c r="F53" s="51">
        <f>+Base!F53</f>
        <v>8254.0505790007173</v>
      </c>
      <c r="G53" s="51">
        <f>+Base!G53</f>
        <v>8525.5874386257801</v>
      </c>
      <c r="H53" s="51">
        <f>+Base!H53</f>
        <v>8767.8063434235337</v>
      </c>
      <c r="I53" s="51">
        <f>+Base!I53</f>
        <v>8982.9978140746662</v>
      </c>
      <c r="J53" s="51">
        <f>+Base!J53</f>
        <v>9173.5073444878253</v>
      </c>
      <c r="K53" s="51">
        <f>+Base!K53</f>
        <v>9341.6539239806625</v>
      </c>
      <c r="L53" s="51">
        <f>+Base!L53</f>
        <v>9489.6726076231553</v>
      </c>
      <c r="M53" s="51">
        <f>+Base!M53</f>
        <v>9619.6763483350842</v>
      </c>
      <c r="N53" s="51">
        <f>+Base!N53</f>
        <v>9733.6328118544734</v>
      </c>
      <c r="O53" s="51">
        <f>+Base!O53</f>
        <v>9833.3525197035178</v>
      </c>
      <c r="P53" s="51">
        <f>+Base!P53</f>
        <v>9920.4853046792614</v>
      </c>
      <c r="Q53" s="51">
        <f>+Base!Q53</f>
        <v>9996.5226603527044</v>
      </c>
      <c r="R53" s="51">
        <f>+Base!R53</f>
        <v>10062.804091979313</v>
      </c>
      <c r="S53" s="51">
        <f>+Base!S53</f>
        <v>10120.526021146155</v>
      </c>
      <c r="T53" s="51">
        <f>+Base!T53</f>
        <v>10170.75216151042</v>
      </c>
      <c r="U53" s="51">
        <f>+Base!U53</f>
        <v>10214.424575159541</v>
      </c>
      <c r="V53" s="51">
        <f>+Base!V53</f>
        <v>10252.374848116402</v>
      </c>
      <c r="W53" s="51">
        <f>+Base!W53</f>
        <v>10285.334999620252</v>
      </c>
      <c r="X53" s="51">
        <f>+Base!X53</f>
        <v>10313.947872827168</v>
      </c>
      <c r="Y53" s="51">
        <f>+Base!Y53</f>
        <v>10338.776853219713</v>
      </c>
      <c r="Z53" s="51">
        <f>+Base!Z53</f>
        <v>10360.314832745784</v>
      </c>
      <c r="AA53" s="51">
        <f>+Base!AA53</f>
        <v>10378.992388692368</v>
      </c>
      <c r="AB53" s="51">
        <f>+Base!AB53</f>
        <v>10395.185181534063</v>
      </c>
      <c r="AC53" s="51">
        <f>+Base!AC53</f>
        <v>10409.220599442217</v>
      </c>
      <c r="AD53" s="51">
        <f>+Base!AD53</f>
        <v>10421.383691897539</v>
      </c>
      <c r="AE53" s="51">
        <f>+Base!AE53</f>
        <v>10431.922443305928</v>
      </c>
      <c r="AF53" s="51">
        <f>+Base!AF53</f>
        <v>10441.052441493106</v>
      </c>
      <c r="AG53" s="51">
        <f>+Base!AG53</f>
        <v>10448.960996817566</v>
      </c>
      <c r="AH53" s="51">
        <f>+Base!AH53</f>
        <v>10455.810766410352</v>
      </c>
      <c r="AI53" s="51">
        <f>+Base!AI53</f>
        <v>10461.742935471591</v>
      </c>
      <c r="AJ53" s="51">
        <f>+Base!AJ53</f>
        <v>10466.880004167821</v>
      </c>
      <c r="AK53" s="51">
        <f>+Base!AK53</f>
        <v>10471.3282248657</v>
      </c>
      <c r="AL53" s="51">
        <f>+Base!AL53</f>
        <v>10475.179730475338</v>
      </c>
      <c r="AM53" s="51">
        <f>+Base!AM53</f>
        <v>10478.514390742053</v>
      </c>
      <c r="AN53" s="51">
        <f>+Base!AN53</f>
        <v>10481.401429538373</v>
      </c>
      <c r="AO53" s="51">
        <f>+Base!AO53</f>
        <v>10483.900832641932</v>
      </c>
      <c r="AP53" s="51">
        <f>+Base!AP53</f>
        <v>10486.064572180732</v>
      </c>
      <c r="AQ53" s="51">
        <f>+Base!AQ53</f>
        <v>10487.937670903442</v>
      </c>
      <c r="AR53" s="51">
        <f>+Base!AR53</f>
        <v>10489.559126691636</v>
      </c>
      <c r="AS53" s="51">
        <f>+Base!AS53</f>
        <v>10490.962715265843</v>
      </c>
      <c r="AT53" s="51">
        <f>+Base!AT53</f>
        <v>10492.177686833749</v>
      </c>
      <c r="AU53" s="51">
        <f>+Base!AU53</f>
        <v>10493.229370469204</v>
      </c>
      <c r="AV53" s="51">
        <f>+Base!AV53</f>
        <v>10494.139698275025</v>
      </c>
      <c r="AW53" s="51">
        <f>+Base!AW53</f>
        <v>10494.927659850739</v>
      </c>
      <c r="AX53" s="51">
        <f>+Base!AX53</f>
        <v>10495.609696238218</v>
      </c>
      <c r="AY53" s="51">
        <f>+Base!AY53</f>
        <v>10496.200041334723</v>
      </c>
      <c r="AZ53" s="51">
        <f>+Base!AZ53</f>
        <v>10496.711017725867</v>
      </c>
      <c r="BA53" s="51">
        <f>+Base!BA53</f>
        <v>10497.153292984229</v>
      </c>
      <c r="BB53" s="51">
        <f>+Base!BB53</f>
        <v>10497.536101687356</v>
      </c>
      <c r="BC53" s="51">
        <f>+Base!BC53</f>
        <v>10497.867437718181</v>
      </c>
      <c r="BD53" s="51">
        <f>+Base!BD53</f>
        <v>10498.154220809072</v>
      </c>
      <c r="BE53" s="51">
        <f>+Base!BE53</f>
        <v>10498.402440766844</v>
      </c>
      <c r="BF53" s="51">
        <f>+Base!BF53</f>
        <v>10498.617282360547</v>
      </c>
      <c r="BG53" s="51">
        <f>+Base!BG53</f>
        <v>10498.803233457693</v>
      </c>
      <c r="BH53" s="51">
        <f>+Base!BH53</f>
        <v>10498.964178650702</v>
      </c>
      <c r="BI53" s="51">
        <f>+Base!BI53</f>
        <v>10499.103480316548</v>
      </c>
      <c r="BJ53" s="51"/>
      <c r="BK53" s="51"/>
      <c r="BL53" s="51"/>
      <c r="BM53" s="51"/>
      <c r="BN53" s="51"/>
      <c r="BO53" s="51"/>
      <c r="BP53" s="51"/>
      <c r="BQ53" s="51"/>
      <c r="BR53" s="51"/>
      <c r="BS53" s="51"/>
      <c r="BT53" s="51"/>
      <c r="BU53" s="51"/>
      <c r="BV53" s="51"/>
      <c r="BW53" s="51"/>
      <c r="BX53" s="51"/>
      <c r="BY53" s="51"/>
      <c r="BZ53" s="51"/>
      <c r="CA53" s="51"/>
      <c r="CB53" s="51"/>
      <c r="CC53" s="51"/>
      <c r="CD53" s="51"/>
      <c r="CE53" s="51"/>
      <c r="CF53" s="51"/>
      <c r="CG53" s="51"/>
      <c r="CH53" s="51"/>
      <c r="CI53" s="51"/>
      <c r="CJ53" s="51"/>
      <c r="CK53" s="51"/>
      <c r="CL53" s="51"/>
      <c r="CM53" s="51"/>
      <c r="CN53" s="51"/>
      <c r="CO53" s="51"/>
      <c r="CP53" s="51"/>
      <c r="CQ53" s="51"/>
      <c r="CR53" s="51"/>
      <c r="CS53" s="51"/>
      <c r="CT53" s="51"/>
      <c r="CU53" s="51"/>
      <c r="CV53" s="51"/>
      <c r="CW53" s="51"/>
      <c r="CX53" s="51"/>
      <c r="CY53" s="51"/>
      <c r="CZ53" s="51"/>
      <c r="DA53" s="51"/>
      <c r="DB53" s="51"/>
      <c r="DC53" s="51"/>
      <c r="DD53" s="51"/>
      <c r="DE53" s="51"/>
      <c r="DF53" s="51"/>
      <c r="DG53" s="51"/>
      <c r="DH53" s="51"/>
      <c r="DI53" s="51"/>
      <c r="DJ53" s="51"/>
      <c r="DK53" s="51"/>
      <c r="DL53" s="51"/>
      <c r="DM53" s="51"/>
      <c r="DN53" s="51"/>
      <c r="DO53" s="51"/>
      <c r="DP53" s="51"/>
      <c r="DQ53" s="51"/>
      <c r="DR53" s="51"/>
      <c r="DS53" s="51"/>
      <c r="DT53" s="51"/>
    </row>
    <row r="54" spans="1:124" ht="21" customHeight="1" x14ac:dyDescent="0.35">
      <c r="A54" s="15" t="s">
        <v>160</v>
      </c>
      <c r="C54" s="51">
        <f t="shared" ref="C54:BI54" si="7">+C53/B53-1</f>
        <v>5.9376011739043166E-2</v>
      </c>
      <c r="D54" s="51">
        <f t="shared" si="7"/>
        <v>5.1189809414035947E-2</v>
      </c>
      <c r="E54" s="51">
        <f t="shared" si="7"/>
        <v>4.4155655832927909E-2</v>
      </c>
      <c r="F54" s="51">
        <f t="shared" si="7"/>
        <v>3.8105536868135559E-2</v>
      </c>
      <c r="G54" s="51">
        <f t="shared" si="7"/>
        <v>3.2897406797564921E-2</v>
      </c>
      <c r="H54" s="51">
        <f t="shared" si="7"/>
        <v>2.841081703066739E-2</v>
      </c>
      <c r="I54" s="51">
        <f t="shared" si="7"/>
        <v>2.4543364921893129E-2</v>
      </c>
      <c r="J54" s="51">
        <f t="shared" si="7"/>
        <v>2.1207789911143804E-2</v>
      </c>
      <c r="K54" s="51">
        <f t="shared" si="7"/>
        <v>1.8329584659227738E-2</v>
      </c>
      <c r="L54" s="51">
        <f t="shared" si="7"/>
        <v>1.5845018970625624E-2</v>
      </c>
      <c r="M54" s="51">
        <f t="shared" si="7"/>
        <v>1.3699496925478227E-2</v>
      </c>
      <c r="N54" s="51">
        <f t="shared" si="7"/>
        <v>1.1846184777215774E-2</v>
      </c>
      <c r="O54" s="51">
        <f t="shared" si="7"/>
        <v>1.0244860246587217E-2</v>
      </c>
      <c r="P54" s="51">
        <f t="shared" si="7"/>
        <v>8.8609438948874519E-3</v>
      </c>
      <c r="Q54" s="51">
        <f t="shared" si="7"/>
        <v>7.6646810451479475E-3</v>
      </c>
      <c r="R54" s="51">
        <f t="shared" si="7"/>
        <v>6.6304487949082613E-3</v>
      </c>
      <c r="S54" s="51">
        <f t="shared" si="7"/>
        <v>5.736167437946138E-3</v>
      </c>
      <c r="T54" s="51">
        <f t="shared" si="7"/>
        <v>4.9627993900041023E-3</v>
      </c>
      <c r="U54" s="51">
        <f t="shared" si="7"/>
        <v>4.2939217233501914E-3</v>
      </c>
      <c r="V54" s="51">
        <f t="shared" si="7"/>
        <v>3.7153608289548501E-3</v>
      </c>
      <c r="W54" s="51">
        <f t="shared" si="7"/>
        <v>3.2148796734550178E-3</v>
      </c>
      <c r="X54" s="51">
        <f t="shared" si="7"/>
        <v>2.7819097003618509E-3</v>
      </c>
      <c r="Y54" s="51">
        <f t="shared" si="7"/>
        <v>2.4073207174102329E-3</v>
      </c>
      <c r="Z54" s="51">
        <f t="shared" si="7"/>
        <v>2.0832231734804196E-3</v>
      </c>
      <c r="AA54" s="51">
        <f t="shared" si="7"/>
        <v>1.8027981048944763E-3</v>
      </c>
      <c r="AB54" s="51">
        <f t="shared" si="7"/>
        <v>1.56015075792304E-3</v>
      </c>
      <c r="AC54" s="51">
        <f t="shared" si="7"/>
        <v>1.3501845001362422E-3</v>
      </c>
      <c r="AD54" s="51">
        <f t="shared" si="7"/>
        <v>1.1684921401295956E-3</v>
      </c>
      <c r="AE54" s="51">
        <f t="shared" si="7"/>
        <v>1.0112622008708883E-3</v>
      </c>
      <c r="AF54" s="51">
        <f t="shared" si="7"/>
        <v>8.7519805067537426E-4</v>
      </c>
      <c r="AG54" s="51">
        <f t="shared" si="7"/>
        <v>7.5744809910460731E-4</v>
      </c>
      <c r="AH54" s="51">
        <f t="shared" si="7"/>
        <v>6.5554552216928741E-4</v>
      </c>
      <c r="AI54" s="51">
        <f t="shared" si="7"/>
        <v>5.6735619970260665E-4</v>
      </c>
      <c r="AJ54" s="51">
        <f t="shared" si="7"/>
        <v>4.9103373385439575E-4</v>
      </c>
      <c r="AK54" s="51">
        <f t="shared" si="7"/>
        <v>4.249805764571235E-4</v>
      </c>
      <c r="AL54" s="51">
        <f t="shared" si="7"/>
        <v>3.6781442878397463E-4</v>
      </c>
      <c r="AM54" s="51">
        <f t="shared" si="7"/>
        <v>3.1833919345691797E-4</v>
      </c>
      <c r="AN54" s="51">
        <f t="shared" si="7"/>
        <v>2.7551985793627942E-4</v>
      </c>
      <c r="AO54" s="51">
        <f t="shared" si="7"/>
        <v>2.3846077457867487E-4</v>
      </c>
      <c r="AP54" s="51">
        <f t="shared" si="7"/>
        <v>2.0638687577667625E-4</v>
      </c>
      <c r="AQ54" s="51">
        <f t="shared" si="7"/>
        <v>1.7862742593433012E-4</v>
      </c>
      <c r="AR54" s="51">
        <f t="shared" si="7"/>
        <v>1.546019664755427E-4</v>
      </c>
      <c r="AS54" s="51">
        <f t="shared" si="7"/>
        <v>1.3380815697350279E-4</v>
      </c>
      <c r="AT54" s="51">
        <f t="shared" si="7"/>
        <v>1.1581125592385888E-4</v>
      </c>
      <c r="AU54" s="51">
        <f t="shared" si="7"/>
        <v>1.0023501953981828E-4</v>
      </c>
      <c r="AV54" s="51">
        <f t="shared" si="7"/>
        <v>8.6753827032826081E-5</v>
      </c>
      <c r="AW54" s="51">
        <f t="shared" si="7"/>
        <v>7.5085866814150748E-5</v>
      </c>
      <c r="AX54" s="51">
        <f t="shared" si="7"/>
        <v>6.498724046366533E-5</v>
      </c>
      <c r="AY54" s="51">
        <f t="shared" si="7"/>
        <v>5.6246860696163026E-5</v>
      </c>
      <c r="AZ54" s="51">
        <f t="shared" si="7"/>
        <v>4.8682036273284268E-5</v>
      </c>
      <c r="BA54" s="51">
        <f t="shared" si="7"/>
        <v>4.2134651283998181E-5</v>
      </c>
      <c r="BB54" s="51">
        <f t="shared" si="7"/>
        <v>3.6467858708144618E-5</v>
      </c>
      <c r="BC54" s="51">
        <f t="shared" si="7"/>
        <v>3.1563218989338893E-5</v>
      </c>
      <c r="BD54" s="51">
        <f t="shared" si="7"/>
        <v>2.7318223686068066E-5</v>
      </c>
      <c r="BE54" s="51">
        <f t="shared" si="7"/>
        <v>2.3644152348234471E-5</v>
      </c>
      <c r="BF54" s="51">
        <f t="shared" si="7"/>
        <v>2.0464217762139469E-5</v>
      </c>
      <c r="BG54" s="51">
        <f t="shared" si="7"/>
        <v>1.7711960741628729E-5</v>
      </c>
      <c r="BH54" s="51">
        <f t="shared" si="7"/>
        <v>1.5329860883150914E-5</v>
      </c>
      <c r="BI54" s="51">
        <f t="shared" si="7"/>
        <v>1.3268134215538296E-5</v>
      </c>
      <c r="BJ54" s="51"/>
      <c r="BK54" s="51"/>
      <c r="BL54" s="51"/>
      <c r="BM54" s="51"/>
      <c r="BN54" s="51"/>
      <c r="BO54" s="51"/>
      <c r="BP54" s="51"/>
      <c r="BQ54" s="51"/>
      <c r="BR54" s="51"/>
      <c r="BS54" s="51"/>
      <c r="BT54" s="51"/>
      <c r="BU54" s="51"/>
      <c r="BV54" s="51"/>
      <c r="BW54" s="51"/>
      <c r="BX54" s="51"/>
      <c r="BY54" s="51"/>
      <c r="BZ54" s="51"/>
      <c r="CA54" s="51"/>
      <c r="CB54" s="51"/>
      <c r="CC54" s="51"/>
      <c r="CD54" s="51"/>
      <c r="CE54" s="51"/>
      <c r="CF54" s="51"/>
      <c r="CG54" s="51"/>
      <c r="CH54" s="51"/>
      <c r="CI54" s="51"/>
      <c r="CJ54" s="51"/>
      <c r="CK54" s="51"/>
      <c r="CL54" s="51"/>
      <c r="CM54" s="51"/>
      <c r="CN54" s="51"/>
      <c r="CO54" s="51"/>
      <c r="CP54" s="51"/>
      <c r="CQ54" s="51"/>
      <c r="CR54" s="51"/>
      <c r="CS54" s="51"/>
      <c r="CT54" s="51"/>
      <c r="CU54" s="51"/>
      <c r="CV54" s="51"/>
      <c r="CW54" s="51"/>
      <c r="CX54" s="51"/>
      <c r="CY54" s="51"/>
      <c r="CZ54" s="51"/>
      <c r="DA54" s="51"/>
      <c r="DB54" s="51"/>
      <c r="DC54" s="51"/>
      <c r="DD54" s="51"/>
      <c r="DE54" s="51"/>
      <c r="DF54" s="51"/>
      <c r="DG54" s="51"/>
      <c r="DH54" s="51"/>
      <c r="DI54" s="51"/>
      <c r="DJ54" s="51"/>
      <c r="DK54" s="51"/>
      <c r="DL54" s="51"/>
      <c r="DM54" s="51"/>
      <c r="DN54" s="51"/>
      <c r="DO54" s="51"/>
      <c r="DP54" s="51"/>
      <c r="DQ54" s="51"/>
      <c r="DR54" s="51"/>
      <c r="DS54" s="51"/>
      <c r="DT54" s="51"/>
    </row>
    <row r="55" spans="1:124" s="59" customFormat="1" ht="38.4" customHeight="1" thickBot="1" x14ac:dyDescent="0.3">
      <c r="A55" s="81" t="s">
        <v>203</v>
      </c>
    </row>
    <row r="56" spans="1:124" s="23" customFormat="1" ht="21" customHeight="1" thickTop="1" thickBot="1" x14ac:dyDescent="0.35">
      <c r="A56" s="82" t="s">
        <v>8</v>
      </c>
      <c r="B56" s="60"/>
      <c r="C56" s="60"/>
      <c r="D56" s="60"/>
      <c r="E56" s="60"/>
      <c r="F56" s="60"/>
      <c r="G56" s="60"/>
      <c r="H56" s="60"/>
      <c r="I56" s="60"/>
      <c r="J56" s="60"/>
      <c r="K56" s="60"/>
      <c r="L56" s="60"/>
      <c r="M56" s="60"/>
      <c r="N56" s="60"/>
      <c r="O56" s="60"/>
      <c r="P56" s="60"/>
      <c r="Q56" s="60"/>
      <c r="R56" s="60"/>
      <c r="S56" s="60"/>
      <c r="T56" s="60"/>
      <c r="U56" s="60"/>
      <c r="V56" s="60"/>
      <c r="W56" s="60"/>
      <c r="X56" s="60"/>
      <c r="Y56" s="60"/>
      <c r="Z56" s="60"/>
      <c r="AA56" s="60"/>
      <c r="AB56" s="60"/>
      <c r="AC56" s="60"/>
      <c r="AD56" s="60"/>
      <c r="AE56" s="60"/>
      <c r="AF56" s="60"/>
      <c r="AG56" s="60"/>
      <c r="AH56" s="60"/>
      <c r="AI56" s="60"/>
      <c r="AJ56" s="60"/>
      <c r="AK56" s="60"/>
      <c r="AL56" s="60"/>
      <c r="AM56" s="60"/>
      <c r="AN56" s="60"/>
      <c r="AO56" s="60"/>
      <c r="AP56" s="60"/>
      <c r="AQ56" s="60"/>
      <c r="AR56" s="60"/>
      <c r="AS56" s="60"/>
      <c r="AT56" s="60"/>
      <c r="AU56" s="60"/>
      <c r="AV56" s="60"/>
      <c r="AW56" s="60"/>
      <c r="AX56" s="60"/>
      <c r="AY56" s="60"/>
      <c r="AZ56" s="60"/>
      <c r="BA56" s="60"/>
      <c r="BB56" s="60"/>
      <c r="BC56" s="60"/>
      <c r="BD56" s="60"/>
      <c r="BE56" s="60"/>
      <c r="BF56" s="60"/>
      <c r="BG56" s="60"/>
      <c r="BH56" s="60"/>
      <c r="BI56" s="60"/>
    </row>
    <row r="57" spans="1:124" s="23" customFormat="1" ht="21" customHeight="1" thickTop="1" x14ac:dyDescent="0.35">
      <c r="A57" s="15" t="s">
        <v>28</v>
      </c>
      <c r="B57" s="51">
        <f>+Base!B57</f>
        <v>6000</v>
      </c>
      <c r="C57" s="60"/>
      <c r="D57" s="60"/>
      <c r="E57" s="60"/>
      <c r="F57" s="60"/>
      <c r="G57" s="60"/>
      <c r="H57" s="60"/>
      <c r="I57" s="60"/>
      <c r="J57" s="60"/>
      <c r="K57" s="60"/>
      <c r="L57" s="60"/>
      <c r="M57" s="60"/>
      <c r="N57" s="60"/>
      <c r="O57" s="60"/>
      <c r="P57" s="60"/>
      <c r="Q57" s="60"/>
      <c r="R57" s="60"/>
      <c r="S57" s="60"/>
      <c r="T57" s="60"/>
      <c r="U57" s="60"/>
      <c r="V57" s="60"/>
      <c r="W57" s="60"/>
      <c r="X57" s="60"/>
      <c r="Y57" s="60"/>
      <c r="Z57" s="60"/>
      <c r="AA57" s="60"/>
      <c r="AB57" s="60"/>
      <c r="AC57" s="60"/>
      <c r="AD57" s="60"/>
      <c r="AE57" s="60"/>
      <c r="AF57" s="60"/>
      <c r="AG57" s="60"/>
      <c r="AH57" s="60"/>
      <c r="AI57" s="60"/>
      <c r="AJ57" s="60"/>
      <c r="AK57" s="60"/>
      <c r="AL57" s="60"/>
      <c r="AM57" s="60"/>
      <c r="AN57" s="60"/>
      <c r="AO57" s="60"/>
      <c r="AP57" s="60"/>
      <c r="AQ57" s="60"/>
      <c r="AR57" s="60"/>
      <c r="AS57" s="60"/>
      <c r="AT57" s="60"/>
      <c r="AU57" s="60"/>
      <c r="AV57" s="60"/>
      <c r="AW57" s="60"/>
      <c r="AX57" s="60"/>
      <c r="AY57" s="60"/>
      <c r="AZ57" s="60"/>
      <c r="BA57" s="60"/>
      <c r="BB57" s="60"/>
      <c r="BC57" s="60"/>
      <c r="BD57" s="60"/>
      <c r="BE57" s="60"/>
      <c r="BF57" s="60"/>
      <c r="BG57" s="60"/>
      <c r="BH57" s="60"/>
      <c r="BI57" s="60"/>
    </row>
    <row r="58" spans="1:124" s="23" customFormat="1" ht="21" customHeight="1" thickBot="1" x14ac:dyDescent="0.35">
      <c r="A58" s="82" t="s">
        <v>216</v>
      </c>
      <c r="B58" s="60"/>
      <c r="C58" s="60"/>
      <c r="D58" s="60"/>
      <c r="E58" s="60"/>
      <c r="F58" s="60"/>
      <c r="G58" s="60"/>
      <c r="H58" s="60"/>
      <c r="I58" s="60"/>
      <c r="J58" s="60"/>
      <c r="K58" s="60"/>
      <c r="L58" s="60"/>
      <c r="M58" s="60"/>
      <c r="N58" s="60"/>
      <c r="O58" s="60"/>
      <c r="P58" s="60"/>
      <c r="Q58" s="60"/>
      <c r="R58" s="60"/>
      <c r="S58" s="60"/>
      <c r="T58" s="60"/>
      <c r="U58" s="60"/>
      <c r="V58" s="60"/>
      <c r="W58" s="60"/>
      <c r="X58" s="60"/>
      <c r="Y58" s="60"/>
      <c r="Z58" s="60"/>
      <c r="AA58" s="60"/>
      <c r="AB58" s="60"/>
      <c r="AC58" s="60"/>
      <c r="AD58" s="60"/>
      <c r="AE58" s="60"/>
      <c r="AF58" s="60"/>
      <c r="AG58" s="60"/>
      <c r="AH58" s="60"/>
      <c r="AI58" s="60"/>
      <c r="AJ58" s="60"/>
      <c r="AK58" s="60"/>
      <c r="AL58" s="60"/>
      <c r="AM58" s="60"/>
      <c r="AN58" s="60"/>
      <c r="AO58" s="60"/>
      <c r="AP58" s="60"/>
      <c r="AQ58" s="60"/>
      <c r="AR58" s="60"/>
      <c r="AS58" s="60"/>
      <c r="AT58" s="60"/>
      <c r="AU58" s="60"/>
      <c r="AV58" s="60"/>
      <c r="AW58" s="60"/>
      <c r="AX58" s="60"/>
      <c r="AY58" s="60"/>
      <c r="AZ58" s="60"/>
      <c r="BA58" s="60"/>
      <c r="BB58" s="60"/>
      <c r="BC58" s="60"/>
      <c r="BD58" s="60"/>
      <c r="BE58" s="60"/>
      <c r="BF58" s="60"/>
      <c r="BG58" s="60"/>
      <c r="BH58" s="60"/>
      <c r="BI58" s="60"/>
    </row>
    <row r="59" spans="1:124" s="23" customFormat="1" ht="21" customHeight="1" thickTop="1" x14ac:dyDescent="0.3">
      <c r="A59" s="15" t="s">
        <v>46</v>
      </c>
      <c r="D59" s="60"/>
      <c r="E59" s="60"/>
      <c r="F59" s="60"/>
      <c r="G59" s="60"/>
      <c r="H59" s="60"/>
      <c r="I59" s="60"/>
      <c r="J59" s="60"/>
      <c r="K59" s="60"/>
      <c r="L59" s="60"/>
      <c r="M59" s="60"/>
      <c r="N59" s="60"/>
      <c r="O59" s="60"/>
      <c r="P59" s="60"/>
      <c r="Q59" s="60"/>
      <c r="R59" s="60"/>
      <c r="S59" s="60"/>
      <c r="T59" s="60"/>
      <c r="U59" s="60"/>
      <c r="V59" s="60"/>
      <c r="W59" s="60"/>
      <c r="X59" s="60"/>
      <c r="Y59" s="60"/>
      <c r="Z59" s="60"/>
      <c r="AA59" s="60"/>
      <c r="AB59" s="60"/>
      <c r="AC59" s="60"/>
      <c r="AD59" s="60"/>
      <c r="AE59" s="60"/>
      <c r="AF59" s="60"/>
      <c r="AG59" s="60"/>
      <c r="AH59" s="60"/>
      <c r="AI59" s="60"/>
      <c r="AJ59" s="60"/>
      <c r="AK59" s="60"/>
      <c r="AL59" s="60"/>
      <c r="AM59" s="60"/>
      <c r="AN59" s="60"/>
      <c r="AO59" s="60"/>
      <c r="AP59" s="60"/>
      <c r="AQ59" s="60"/>
      <c r="AR59" s="60"/>
      <c r="AS59" s="60"/>
      <c r="AT59" s="60"/>
      <c r="AU59" s="60"/>
      <c r="AV59" s="60"/>
      <c r="AW59" s="60"/>
      <c r="AX59" s="60"/>
      <c r="AY59" s="60"/>
      <c r="AZ59" s="60"/>
      <c r="BA59" s="60"/>
      <c r="BB59" s="60"/>
      <c r="BC59" s="60"/>
      <c r="BD59" s="60"/>
      <c r="BE59" s="60"/>
      <c r="BF59" s="60"/>
      <c r="BG59" s="60"/>
      <c r="BH59" s="60"/>
      <c r="BI59" s="60"/>
    </row>
    <row r="60" spans="1:124" s="23" customFormat="1" ht="21" customHeight="1" x14ac:dyDescent="0.35">
      <c r="A60" s="15" t="s">
        <v>271</v>
      </c>
      <c r="B60" s="51">
        <f>+Base!B60</f>
        <v>818.98500000000001</v>
      </c>
      <c r="C60" s="60"/>
      <c r="D60" s="60"/>
      <c r="E60" s="60"/>
      <c r="F60" s="60"/>
      <c r="G60" s="60"/>
      <c r="H60" s="60"/>
      <c r="I60" s="60"/>
      <c r="J60" s="60"/>
      <c r="K60" s="60"/>
      <c r="L60" s="60"/>
      <c r="M60" s="60"/>
      <c r="N60" s="60"/>
      <c r="O60" s="60"/>
      <c r="P60" s="60"/>
      <c r="Q60" s="60"/>
      <c r="R60" s="60"/>
      <c r="S60" s="60"/>
      <c r="T60" s="60"/>
      <c r="U60" s="60"/>
      <c r="V60" s="60"/>
      <c r="W60" s="60"/>
      <c r="X60" s="60"/>
      <c r="Y60" s="60"/>
      <c r="Z60" s="60"/>
      <c r="AA60" s="60"/>
      <c r="AB60" s="60"/>
      <c r="AC60" s="60"/>
      <c r="AD60" s="60"/>
      <c r="AE60" s="60"/>
      <c r="AF60" s="60"/>
      <c r="AG60" s="60"/>
      <c r="AH60" s="60"/>
      <c r="AI60" s="60"/>
      <c r="AJ60" s="60"/>
      <c r="AK60" s="60"/>
      <c r="AL60" s="60"/>
      <c r="AM60" s="60"/>
      <c r="AN60" s="60"/>
      <c r="AO60" s="60"/>
      <c r="AP60" s="60"/>
      <c r="AQ60" s="60"/>
      <c r="AR60" s="60"/>
      <c r="AS60" s="60"/>
      <c r="AT60" s="60"/>
      <c r="AU60" s="60"/>
      <c r="AV60" s="60"/>
      <c r="AW60" s="60"/>
      <c r="AX60" s="60"/>
      <c r="AY60" s="60"/>
      <c r="AZ60" s="60"/>
      <c r="BA60" s="60"/>
      <c r="BB60" s="60"/>
      <c r="BC60" s="60"/>
      <c r="BD60" s="60"/>
      <c r="BE60" s="60"/>
      <c r="BF60" s="60"/>
      <c r="BG60" s="60"/>
      <c r="BH60" s="60"/>
      <c r="BI60" s="60"/>
    </row>
    <row r="61" spans="1:124" s="23" customFormat="1" ht="21" customHeight="1" x14ac:dyDescent="0.35">
      <c r="A61" s="15" t="s">
        <v>272</v>
      </c>
      <c r="B61" s="51">
        <f>+Base!B61</f>
        <v>839.64599999999996</v>
      </c>
      <c r="C61" s="60"/>
      <c r="D61" s="60"/>
      <c r="E61" s="60"/>
      <c r="F61" s="60"/>
      <c r="G61" s="60"/>
      <c r="H61" s="60"/>
      <c r="I61" s="60"/>
      <c r="J61" s="60"/>
      <c r="K61" s="60"/>
      <c r="L61" s="60"/>
      <c r="M61" s="60"/>
      <c r="N61" s="60"/>
      <c r="O61" s="60"/>
      <c r="P61" s="60"/>
      <c r="Q61" s="60"/>
      <c r="R61" s="60"/>
      <c r="S61" s="60"/>
      <c r="T61" s="60"/>
      <c r="U61" s="60"/>
      <c r="V61" s="60"/>
      <c r="W61" s="60"/>
      <c r="X61" s="60"/>
      <c r="Y61" s="60"/>
      <c r="Z61" s="60"/>
      <c r="AA61" s="60"/>
      <c r="AB61" s="60"/>
      <c r="AC61" s="60"/>
      <c r="AD61" s="60"/>
      <c r="AE61" s="60"/>
      <c r="AF61" s="60"/>
      <c r="AG61" s="60"/>
      <c r="AH61" s="60"/>
      <c r="AI61" s="60"/>
      <c r="AJ61" s="60"/>
      <c r="AK61" s="60"/>
      <c r="AL61" s="60"/>
      <c r="AM61" s="60"/>
      <c r="AN61" s="60"/>
      <c r="AO61" s="60"/>
      <c r="AP61" s="60"/>
      <c r="AQ61" s="60"/>
      <c r="AR61" s="60"/>
      <c r="AS61" s="60"/>
      <c r="AT61" s="60"/>
      <c r="AU61" s="60"/>
      <c r="AV61" s="60"/>
      <c r="AW61" s="60"/>
      <c r="AX61" s="60"/>
      <c r="AY61" s="60"/>
      <c r="AZ61" s="60"/>
      <c r="BA61" s="60"/>
      <c r="BB61" s="60"/>
      <c r="BC61" s="60"/>
      <c r="BD61" s="60"/>
      <c r="BE61" s="60"/>
      <c r="BF61" s="60"/>
      <c r="BG61" s="60"/>
      <c r="BH61" s="60"/>
      <c r="BI61" s="60"/>
    </row>
    <row r="62" spans="1:124" s="23" customFormat="1" ht="21" customHeight="1" x14ac:dyDescent="0.35">
      <c r="A62" s="15" t="s">
        <v>214</v>
      </c>
      <c r="B62" s="51">
        <f>+Base!B62</f>
        <v>1527</v>
      </c>
      <c r="C62" s="60"/>
      <c r="D62" s="60"/>
      <c r="E62" s="60"/>
      <c r="F62" s="60"/>
      <c r="G62" s="60"/>
      <c r="H62" s="60"/>
      <c r="I62" s="60"/>
      <c r="J62" s="60"/>
      <c r="K62" s="60"/>
      <c r="L62" s="60"/>
      <c r="M62" s="60"/>
      <c r="N62" s="60"/>
      <c r="O62" s="60"/>
      <c r="P62" s="60"/>
      <c r="Q62" s="60"/>
      <c r="R62" s="60"/>
      <c r="S62" s="60"/>
      <c r="T62" s="60"/>
      <c r="U62" s="60"/>
      <c r="V62" s="60"/>
      <c r="W62" s="60"/>
      <c r="X62" s="60"/>
      <c r="Y62" s="60"/>
      <c r="Z62" s="60"/>
      <c r="AA62" s="60"/>
      <c r="AB62" s="60"/>
      <c r="AC62" s="60"/>
      <c r="AD62" s="60"/>
      <c r="AE62" s="60"/>
      <c r="AF62" s="60"/>
      <c r="AG62" s="60"/>
      <c r="AH62" s="60"/>
      <c r="AI62" s="60"/>
      <c r="AJ62" s="60"/>
      <c r="AK62" s="60"/>
      <c r="AL62" s="60"/>
      <c r="AM62" s="60"/>
      <c r="AN62" s="60"/>
      <c r="AO62" s="60"/>
      <c r="AP62" s="60"/>
      <c r="AQ62" s="60"/>
      <c r="AR62" s="60"/>
      <c r="AS62" s="60"/>
      <c r="AT62" s="60"/>
      <c r="AU62" s="60"/>
      <c r="AV62" s="60"/>
      <c r="AW62" s="60"/>
      <c r="AX62" s="60"/>
      <c r="AY62" s="60"/>
      <c r="AZ62" s="60"/>
      <c r="BA62" s="60"/>
      <c r="BB62" s="60"/>
      <c r="BC62" s="60"/>
      <c r="BD62" s="60"/>
      <c r="BE62" s="60"/>
      <c r="BF62" s="60"/>
      <c r="BG62" s="60"/>
      <c r="BH62" s="60"/>
      <c r="BI62" s="60"/>
    </row>
    <row r="63" spans="1:124" s="23" customFormat="1" ht="21" customHeight="1" x14ac:dyDescent="0.35">
      <c r="A63" s="15" t="s">
        <v>215</v>
      </c>
      <c r="B63" s="51">
        <f>+Base!B63</f>
        <v>10010</v>
      </c>
      <c r="C63" s="60"/>
      <c r="D63" s="60"/>
      <c r="E63" s="60"/>
      <c r="F63" s="60"/>
      <c r="G63" s="60"/>
      <c r="H63" s="60"/>
      <c r="I63" s="60"/>
      <c r="J63" s="60"/>
      <c r="K63" s="60"/>
      <c r="L63" s="60"/>
      <c r="M63" s="60"/>
      <c r="N63" s="60"/>
      <c r="O63" s="60"/>
      <c r="P63" s="60"/>
      <c r="Q63" s="60"/>
      <c r="R63" s="60"/>
      <c r="S63" s="60"/>
      <c r="T63" s="60"/>
      <c r="U63" s="60"/>
      <c r="V63" s="60"/>
      <c r="W63" s="60"/>
      <c r="X63" s="60"/>
      <c r="Y63" s="60"/>
      <c r="Z63" s="60"/>
      <c r="AA63" s="60"/>
      <c r="AB63" s="60"/>
      <c r="AC63" s="60"/>
      <c r="AD63" s="60"/>
      <c r="AE63" s="60"/>
      <c r="AF63" s="60"/>
      <c r="AG63" s="60"/>
      <c r="AH63" s="60"/>
      <c r="AI63" s="60"/>
      <c r="AJ63" s="60"/>
      <c r="AK63" s="60"/>
      <c r="AL63" s="60"/>
      <c r="AM63" s="60"/>
      <c r="AN63" s="60"/>
      <c r="AO63" s="60"/>
      <c r="AP63" s="60"/>
      <c r="AQ63" s="60"/>
      <c r="AR63" s="60"/>
      <c r="AS63" s="60"/>
      <c r="AT63" s="60"/>
      <c r="AU63" s="60"/>
      <c r="AV63" s="60"/>
      <c r="AW63" s="60"/>
      <c r="AX63" s="60"/>
      <c r="AY63" s="60"/>
      <c r="AZ63" s="60"/>
      <c r="BA63" s="60"/>
      <c r="BB63" s="60"/>
      <c r="BC63" s="60"/>
      <c r="BD63" s="60"/>
      <c r="BE63" s="60"/>
      <c r="BF63" s="60"/>
      <c r="BG63" s="60"/>
      <c r="BH63" s="60"/>
      <c r="BI63" s="60"/>
    </row>
    <row r="64" spans="1:124" s="23" customFormat="1" ht="21" customHeight="1" thickBot="1" x14ac:dyDescent="0.35">
      <c r="A64" s="82" t="s">
        <v>217</v>
      </c>
      <c r="B64" s="60"/>
      <c r="C64" s="60"/>
      <c r="D64" s="60"/>
      <c r="E64" s="60"/>
      <c r="F64" s="60"/>
      <c r="G64" s="60"/>
      <c r="H64" s="60"/>
      <c r="I64" s="60"/>
      <c r="J64" s="60"/>
      <c r="K64" s="60"/>
      <c r="L64" s="60"/>
      <c r="M64" s="60"/>
      <c r="N64" s="60"/>
      <c r="O64" s="60"/>
      <c r="P64" s="60"/>
      <c r="Q64" s="60"/>
      <c r="R64" s="60"/>
      <c r="S64" s="60"/>
      <c r="T64" s="60"/>
      <c r="U64" s="60"/>
      <c r="V64" s="60"/>
      <c r="W64" s="60"/>
      <c r="X64" s="60"/>
      <c r="Y64" s="60"/>
      <c r="Z64" s="60"/>
      <c r="AA64" s="60"/>
      <c r="AB64" s="60"/>
      <c r="AC64" s="60"/>
      <c r="AD64" s="60"/>
      <c r="AE64" s="60"/>
      <c r="AF64" s="60"/>
      <c r="AG64" s="60"/>
      <c r="AH64" s="60"/>
      <c r="AI64" s="60"/>
      <c r="AJ64" s="60"/>
      <c r="AK64" s="60"/>
      <c r="AL64" s="60"/>
      <c r="AM64" s="60"/>
      <c r="AN64" s="60"/>
      <c r="AO64" s="60"/>
      <c r="AP64" s="60"/>
      <c r="AQ64" s="60"/>
      <c r="AR64" s="60"/>
      <c r="AS64" s="60"/>
      <c r="AT64" s="60"/>
      <c r="AU64" s="60"/>
      <c r="AV64" s="60"/>
      <c r="AW64" s="60"/>
      <c r="AX64" s="60"/>
      <c r="AY64" s="60"/>
      <c r="AZ64" s="60"/>
      <c r="BA64" s="60"/>
      <c r="BB64" s="60"/>
      <c r="BC64" s="60"/>
      <c r="BD64" s="60"/>
      <c r="BE64" s="60"/>
      <c r="BF64" s="60"/>
      <c r="BG64" s="60"/>
      <c r="BH64" s="60"/>
      <c r="BI64" s="60"/>
    </row>
    <row r="65" spans="1:124" s="23" customFormat="1" ht="21" customHeight="1" thickTop="1" x14ac:dyDescent="0.35">
      <c r="A65" s="15" t="s">
        <v>218</v>
      </c>
      <c r="B65" s="51">
        <f>+Base!B65</f>
        <v>91.2</v>
      </c>
      <c r="C65" s="60"/>
      <c r="D65" s="60"/>
      <c r="E65" s="60"/>
      <c r="F65" s="60"/>
      <c r="G65" s="60"/>
      <c r="H65" s="60"/>
      <c r="I65" s="60"/>
      <c r="J65" s="60"/>
      <c r="K65" s="60"/>
      <c r="L65" s="60"/>
      <c r="M65" s="60"/>
      <c r="N65" s="60"/>
      <c r="O65" s="60"/>
      <c r="P65" s="60"/>
      <c r="Q65" s="60"/>
      <c r="R65" s="60"/>
      <c r="S65" s="60"/>
      <c r="T65" s="60"/>
      <c r="U65" s="60"/>
      <c r="V65" s="60"/>
      <c r="W65" s="60"/>
      <c r="X65" s="60"/>
      <c r="Y65" s="60"/>
      <c r="Z65" s="60"/>
      <c r="AA65" s="60"/>
      <c r="AB65" s="60"/>
      <c r="AC65" s="60"/>
      <c r="AD65" s="60"/>
      <c r="AE65" s="60"/>
      <c r="AF65" s="60"/>
      <c r="AG65" s="60"/>
      <c r="AH65" s="60"/>
      <c r="AI65" s="60"/>
      <c r="AJ65" s="60"/>
      <c r="AK65" s="60"/>
      <c r="AL65" s="60"/>
      <c r="AM65" s="60"/>
      <c r="AN65" s="60"/>
      <c r="AO65" s="60"/>
      <c r="AP65" s="60"/>
      <c r="AQ65" s="60"/>
      <c r="AR65" s="60"/>
      <c r="AS65" s="60"/>
      <c r="AT65" s="60"/>
      <c r="AU65" s="60"/>
      <c r="AV65" s="60"/>
      <c r="AW65" s="60"/>
      <c r="AX65" s="60"/>
      <c r="AY65" s="60"/>
      <c r="AZ65" s="60"/>
      <c r="BA65" s="60"/>
      <c r="BB65" s="60"/>
      <c r="BC65" s="60"/>
      <c r="BD65" s="60"/>
      <c r="BE65" s="60"/>
      <c r="BF65" s="60"/>
      <c r="BG65" s="60"/>
      <c r="BH65" s="60"/>
      <c r="BI65" s="60"/>
    </row>
    <row r="66" spans="1:124" s="23" customFormat="1" ht="21" customHeight="1" x14ac:dyDescent="0.35">
      <c r="A66" s="15" t="s">
        <v>219</v>
      </c>
      <c r="B66" s="51">
        <f>+Base!B66</f>
        <v>3.8328888888888892</v>
      </c>
      <c r="C66" s="60"/>
      <c r="D66" s="60"/>
      <c r="E66" s="60"/>
      <c r="F66" s="60"/>
      <c r="G66" s="60"/>
      <c r="H66" s="60"/>
      <c r="I66" s="60"/>
      <c r="J66" s="60"/>
      <c r="K66" s="60"/>
      <c r="L66" s="60"/>
      <c r="M66" s="60"/>
      <c r="N66" s="60"/>
      <c r="O66" s="60"/>
      <c r="P66" s="60"/>
      <c r="Q66" s="60"/>
      <c r="R66" s="60"/>
      <c r="S66" s="60"/>
      <c r="T66" s="60"/>
      <c r="U66" s="60"/>
      <c r="V66" s="60"/>
      <c r="W66" s="60"/>
      <c r="X66" s="60"/>
      <c r="Y66" s="60"/>
      <c r="Z66" s="60"/>
      <c r="AA66" s="60"/>
      <c r="AB66" s="60"/>
      <c r="AC66" s="60"/>
      <c r="AD66" s="60"/>
      <c r="AE66" s="60"/>
      <c r="AF66" s="60"/>
      <c r="AG66" s="60"/>
      <c r="AH66" s="60"/>
      <c r="AI66" s="60"/>
      <c r="AJ66" s="60"/>
      <c r="AK66" s="60"/>
      <c r="AL66" s="60"/>
      <c r="AM66" s="60"/>
      <c r="AN66" s="60"/>
      <c r="AO66" s="60"/>
      <c r="AP66" s="60"/>
      <c r="AQ66" s="60"/>
      <c r="AR66" s="60"/>
      <c r="AS66" s="60"/>
      <c r="AT66" s="60"/>
      <c r="AU66" s="60"/>
      <c r="AV66" s="60"/>
      <c r="AW66" s="60"/>
      <c r="AX66" s="60"/>
      <c r="AY66" s="60"/>
      <c r="AZ66" s="60"/>
      <c r="BA66" s="60"/>
      <c r="BB66" s="60"/>
      <c r="BC66" s="60"/>
      <c r="BD66" s="60"/>
      <c r="BE66" s="60"/>
      <c r="BF66" s="60"/>
      <c r="BG66" s="60"/>
      <c r="BH66" s="60"/>
      <c r="BI66" s="60"/>
    </row>
    <row r="67" spans="1:124" s="23" customFormat="1" ht="21" customHeight="1" x14ac:dyDescent="0.35">
      <c r="A67" s="15" t="s">
        <v>220</v>
      </c>
      <c r="B67" s="51">
        <f>+Base!B67</f>
        <v>8.8000000000000007</v>
      </c>
      <c r="C67" s="60"/>
      <c r="D67" s="60"/>
      <c r="E67" s="60"/>
      <c r="F67" s="60"/>
      <c r="G67" s="60"/>
      <c r="H67" s="60"/>
      <c r="I67" s="60"/>
      <c r="J67" s="60"/>
      <c r="K67" s="60"/>
      <c r="L67" s="60"/>
      <c r="M67" s="60"/>
      <c r="N67" s="60"/>
      <c r="O67" s="60"/>
      <c r="P67" s="60"/>
      <c r="Q67" s="60"/>
      <c r="R67" s="60"/>
      <c r="S67" s="60"/>
      <c r="T67" s="60"/>
      <c r="U67" s="60"/>
      <c r="V67" s="60"/>
      <c r="W67" s="60"/>
      <c r="X67" s="60"/>
      <c r="Y67" s="60"/>
      <c r="Z67" s="60"/>
      <c r="AA67" s="60"/>
      <c r="AB67" s="60"/>
      <c r="AC67" s="60"/>
      <c r="AD67" s="60"/>
      <c r="AE67" s="60"/>
      <c r="AF67" s="60"/>
      <c r="AG67" s="60"/>
      <c r="AH67" s="60"/>
      <c r="AI67" s="60"/>
      <c r="AJ67" s="60"/>
      <c r="AK67" s="60"/>
      <c r="AL67" s="60"/>
      <c r="AM67" s="60"/>
      <c r="AN67" s="60"/>
      <c r="AO67" s="60"/>
      <c r="AP67" s="60"/>
      <c r="AQ67" s="60"/>
      <c r="AR67" s="60"/>
      <c r="AS67" s="60"/>
      <c r="AT67" s="60"/>
      <c r="AU67" s="60"/>
      <c r="AV67" s="60"/>
      <c r="AW67" s="60"/>
      <c r="AX67" s="60"/>
      <c r="AY67" s="60"/>
      <c r="AZ67" s="60"/>
      <c r="BA67" s="60"/>
      <c r="BB67" s="60"/>
      <c r="BC67" s="60"/>
      <c r="BD67" s="60"/>
      <c r="BE67" s="60"/>
      <c r="BF67" s="60"/>
      <c r="BG67" s="60"/>
      <c r="BH67" s="60"/>
      <c r="BI67" s="60"/>
    </row>
    <row r="68" spans="1:124" s="23" customFormat="1" ht="21" customHeight="1" x14ac:dyDescent="0.35">
      <c r="A68" s="15" t="s">
        <v>224</v>
      </c>
      <c r="B68" s="51">
        <f>+Base!B68</f>
        <v>95.917111111111112</v>
      </c>
      <c r="C68" s="60"/>
      <c r="D68" s="60"/>
      <c r="E68" s="60"/>
      <c r="F68" s="60"/>
      <c r="G68" s="60"/>
      <c r="H68" s="60"/>
      <c r="I68" s="60"/>
      <c r="J68" s="60"/>
      <c r="K68" s="60"/>
      <c r="L68" s="60"/>
      <c r="M68" s="60"/>
      <c r="N68" s="60"/>
      <c r="O68" s="60"/>
      <c r="P68" s="60"/>
      <c r="Q68" s="60"/>
      <c r="R68" s="60"/>
      <c r="S68" s="60"/>
      <c r="T68" s="60"/>
      <c r="U68" s="60"/>
      <c r="V68" s="60"/>
      <c r="W68" s="60"/>
      <c r="X68" s="60"/>
      <c r="Y68" s="60"/>
      <c r="Z68" s="60"/>
      <c r="AA68" s="60"/>
      <c r="AB68" s="60"/>
      <c r="AC68" s="60"/>
      <c r="AD68" s="60"/>
      <c r="AE68" s="60"/>
      <c r="AF68" s="60"/>
      <c r="AG68" s="60"/>
      <c r="AH68" s="60"/>
      <c r="AI68" s="60"/>
      <c r="AJ68" s="60"/>
      <c r="AK68" s="60"/>
      <c r="AL68" s="60"/>
      <c r="AM68" s="60"/>
      <c r="AN68" s="60"/>
      <c r="AO68" s="60"/>
      <c r="AP68" s="60"/>
      <c r="AQ68" s="60"/>
      <c r="AR68" s="60"/>
      <c r="AS68" s="60"/>
      <c r="AT68" s="60"/>
      <c r="AU68" s="60"/>
      <c r="AV68" s="60"/>
      <c r="AW68" s="60"/>
      <c r="AX68" s="60"/>
      <c r="AY68" s="60"/>
      <c r="AZ68" s="60"/>
      <c r="BA68" s="60"/>
      <c r="BB68" s="60"/>
      <c r="BC68" s="60"/>
      <c r="BD68" s="60"/>
      <c r="BE68" s="60"/>
      <c r="BF68" s="60"/>
      <c r="BG68" s="60"/>
      <c r="BH68" s="60"/>
      <c r="BI68" s="60"/>
    </row>
    <row r="69" spans="1:124" s="23" customFormat="1" ht="21" customHeight="1" x14ac:dyDescent="0.35">
      <c r="A69" s="15" t="s">
        <v>221</v>
      </c>
      <c r="B69" s="51">
        <f>+Base!B69</f>
        <v>3.3750000000000002E-2</v>
      </c>
      <c r="C69" s="60"/>
      <c r="D69" s="60"/>
      <c r="E69" s="60"/>
      <c r="F69" s="60"/>
      <c r="G69" s="60"/>
      <c r="H69" s="60"/>
      <c r="I69" s="60"/>
      <c r="J69" s="60"/>
      <c r="K69" s="60"/>
      <c r="L69" s="60"/>
      <c r="M69" s="60"/>
      <c r="N69" s="60"/>
      <c r="O69" s="60"/>
      <c r="P69" s="60"/>
      <c r="Q69" s="60"/>
      <c r="R69" s="60"/>
      <c r="S69" s="60"/>
      <c r="T69" s="60"/>
      <c r="U69" s="60"/>
      <c r="V69" s="60"/>
      <c r="W69" s="60"/>
      <c r="X69" s="60"/>
      <c r="Y69" s="60"/>
      <c r="Z69" s="60"/>
      <c r="AA69" s="60"/>
      <c r="AB69" s="60"/>
      <c r="AC69" s="60"/>
      <c r="AD69" s="60"/>
      <c r="AE69" s="60"/>
      <c r="AF69" s="60"/>
      <c r="AG69" s="60"/>
      <c r="AH69" s="60"/>
      <c r="AI69" s="60"/>
      <c r="AJ69" s="60"/>
      <c r="AK69" s="60"/>
      <c r="AL69" s="60"/>
      <c r="AM69" s="60"/>
      <c r="AN69" s="60"/>
      <c r="AO69" s="60"/>
      <c r="AP69" s="60"/>
      <c r="AQ69" s="60"/>
      <c r="AR69" s="60"/>
      <c r="AS69" s="60"/>
      <c r="AT69" s="60"/>
      <c r="AU69" s="60"/>
      <c r="AV69" s="60"/>
      <c r="AW69" s="60"/>
      <c r="AX69" s="60"/>
      <c r="AY69" s="60"/>
      <c r="AZ69" s="60"/>
      <c r="BA69" s="60"/>
      <c r="BB69" s="60"/>
      <c r="BC69" s="60"/>
      <c r="BD69" s="60"/>
      <c r="BE69" s="60"/>
      <c r="BF69" s="60"/>
      <c r="BG69" s="60"/>
      <c r="BH69" s="60"/>
      <c r="BI69" s="60"/>
    </row>
    <row r="70" spans="1:124" s="23" customFormat="1" ht="21" customHeight="1" x14ac:dyDescent="0.35">
      <c r="A70" s="15" t="s">
        <v>222</v>
      </c>
      <c r="B70" s="51">
        <f>+Base!B70</f>
        <v>0.25</v>
      </c>
      <c r="C70" s="60"/>
      <c r="D70" s="60"/>
      <c r="E70" s="60"/>
      <c r="F70" s="60"/>
      <c r="G70" s="60"/>
      <c r="H70" s="60"/>
      <c r="I70" s="60"/>
      <c r="J70" s="60"/>
      <c r="K70" s="60"/>
      <c r="L70" s="60"/>
      <c r="M70" s="60"/>
      <c r="N70" s="60"/>
      <c r="O70" s="60"/>
      <c r="P70" s="60"/>
      <c r="Q70" s="60"/>
      <c r="R70" s="60"/>
      <c r="S70" s="60"/>
      <c r="T70" s="60"/>
      <c r="U70" s="60"/>
      <c r="V70" s="60"/>
      <c r="W70" s="60"/>
      <c r="X70" s="60"/>
      <c r="Y70" s="60"/>
      <c r="Z70" s="60"/>
      <c r="AA70" s="60"/>
      <c r="AB70" s="60"/>
      <c r="AC70" s="60"/>
      <c r="AD70" s="60"/>
      <c r="AE70" s="60"/>
      <c r="AF70" s="60"/>
      <c r="AG70" s="60"/>
      <c r="AH70" s="60"/>
      <c r="AI70" s="60"/>
      <c r="AJ70" s="60"/>
      <c r="AK70" s="60"/>
      <c r="AL70" s="60"/>
      <c r="AM70" s="60"/>
      <c r="AN70" s="60"/>
      <c r="AO70" s="60"/>
      <c r="AP70" s="60"/>
      <c r="AQ70" s="60"/>
      <c r="AR70" s="60"/>
      <c r="AS70" s="60"/>
      <c r="AT70" s="60"/>
      <c r="AU70" s="60"/>
      <c r="AV70" s="60"/>
      <c r="AW70" s="60"/>
      <c r="AX70" s="60"/>
      <c r="AY70" s="60"/>
      <c r="AZ70" s="60"/>
      <c r="BA70" s="60"/>
      <c r="BB70" s="60"/>
      <c r="BC70" s="60"/>
      <c r="BD70" s="60"/>
      <c r="BE70" s="60"/>
      <c r="BF70" s="60"/>
      <c r="BG70" s="60"/>
      <c r="BH70" s="60"/>
      <c r="BI70" s="60"/>
    </row>
    <row r="71" spans="1:124" s="23" customFormat="1" ht="21" customHeight="1" x14ac:dyDescent="0.35">
      <c r="A71" s="15" t="s">
        <v>223</v>
      </c>
      <c r="B71" s="51">
        <f>+Base!B71</f>
        <v>99.966250000000002</v>
      </c>
      <c r="C71" s="60"/>
      <c r="D71" s="60"/>
      <c r="E71" s="60"/>
      <c r="F71" s="60"/>
      <c r="G71" s="60"/>
      <c r="H71" s="60"/>
      <c r="I71" s="60"/>
      <c r="J71" s="60"/>
      <c r="K71" s="60"/>
      <c r="L71" s="60"/>
      <c r="M71" s="60"/>
      <c r="N71" s="60"/>
      <c r="O71" s="60"/>
      <c r="P71" s="60"/>
      <c r="Q71" s="60"/>
      <c r="R71" s="60"/>
      <c r="S71" s="60"/>
      <c r="T71" s="60"/>
      <c r="U71" s="60"/>
      <c r="V71" s="60"/>
      <c r="W71" s="60"/>
      <c r="X71" s="60"/>
      <c r="Y71" s="60"/>
      <c r="Z71" s="60"/>
      <c r="AA71" s="60"/>
      <c r="AB71" s="60"/>
      <c r="AC71" s="60"/>
      <c r="AD71" s="60"/>
      <c r="AE71" s="60"/>
      <c r="AF71" s="60"/>
      <c r="AG71" s="60"/>
      <c r="AH71" s="60"/>
      <c r="AI71" s="60"/>
      <c r="AJ71" s="60"/>
      <c r="AK71" s="60"/>
      <c r="AL71" s="60"/>
      <c r="AM71" s="60"/>
      <c r="AN71" s="60"/>
      <c r="AO71" s="60"/>
      <c r="AP71" s="60"/>
      <c r="AQ71" s="60"/>
      <c r="AR71" s="60"/>
      <c r="AS71" s="60"/>
      <c r="AT71" s="60"/>
      <c r="AU71" s="60"/>
      <c r="AV71" s="60"/>
      <c r="AW71" s="60"/>
      <c r="AX71" s="60"/>
      <c r="AY71" s="60"/>
      <c r="AZ71" s="60"/>
      <c r="BA71" s="60"/>
      <c r="BB71" s="60"/>
      <c r="BC71" s="60"/>
      <c r="BD71" s="60"/>
      <c r="BE71" s="60"/>
      <c r="BF71" s="60"/>
      <c r="BG71" s="60"/>
      <c r="BH71" s="60"/>
      <c r="BI71" s="60"/>
    </row>
    <row r="72" spans="1:124" s="23" customFormat="1" ht="21" customHeight="1" thickBot="1" x14ac:dyDescent="0.35">
      <c r="A72" s="82" t="s">
        <v>225</v>
      </c>
      <c r="B72" s="60"/>
      <c r="C72" s="60"/>
      <c r="D72" s="60"/>
      <c r="E72" s="60"/>
      <c r="F72" s="60"/>
      <c r="G72" s="60"/>
      <c r="H72" s="60"/>
      <c r="I72" s="60"/>
      <c r="J72" s="60"/>
      <c r="K72" s="60"/>
      <c r="L72" s="60"/>
      <c r="M72" s="60"/>
      <c r="N72" s="60"/>
      <c r="O72" s="60"/>
      <c r="P72" s="60"/>
      <c r="Q72" s="60"/>
      <c r="R72" s="60"/>
      <c r="S72" s="60"/>
      <c r="T72" s="60"/>
      <c r="U72" s="60"/>
      <c r="V72" s="60"/>
      <c r="W72" s="60"/>
      <c r="X72" s="60"/>
      <c r="Y72" s="60"/>
      <c r="Z72" s="60"/>
      <c r="AA72" s="60"/>
      <c r="AB72" s="60"/>
      <c r="AC72" s="60"/>
      <c r="AD72" s="60"/>
      <c r="AE72" s="60"/>
      <c r="AF72" s="60"/>
      <c r="AG72" s="60"/>
      <c r="AH72" s="60"/>
      <c r="AI72" s="60"/>
      <c r="AJ72" s="60"/>
      <c r="AK72" s="60"/>
      <c r="AL72" s="60"/>
      <c r="AM72" s="60"/>
      <c r="AN72" s="60"/>
      <c r="AO72" s="60"/>
      <c r="AP72" s="60"/>
      <c r="AQ72" s="60"/>
      <c r="AR72" s="60"/>
      <c r="AS72" s="60"/>
      <c r="AT72" s="60"/>
      <c r="AU72" s="60"/>
      <c r="AV72" s="60"/>
      <c r="AW72" s="60"/>
      <c r="AX72" s="60"/>
      <c r="AY72" s="60"/>
      <c r="AZ72" s="60"/>
      <c r="BA72" s="60"/>
      <c r="BB72" s="60"/>
      <c r="BC72" s="60"/>
      <c r="BD72" s="60"/>
      <c r="BE72" s="60"/>
      <c r="BF72" s="60"/>
      <c r="BG72" s="60"/>
      <c r="BH72" s="60"/>
      <c r="BI72" s="60"/>
    </row>
    <row r="73" spans="1:124" s="23" customFormat="1" ht="21" customHeight="1" thickTop="1" x14ac:dyDescent="0.35">
      <c r="A73" s="15" t="s">
        <v>42</v>
      </c>
      <c r="B73" s="51">
        <f>+Base!B73</f>
        <v>7.9999999999999932E-3</v>
      </c>
      <c r="C73" s="51">
        <f>+Base!C73</f>
        <v>4.1999999999999982E-2</v>
      </c>
      <c r="D73" s="51">
        <f>+Base!D73</f>
        <v>7.5999999999999984E-2</v>
      </c>
      <c r="E73" s="51">
        <f>+Base!E73</f>
        <v>0.10999999999999999</v>
      </c>
      <c r="F73" s="51">
        <f>+Base!F73</f>
        <v>0.14399999999999996</v>
      </c>
      <c r="G73" s="51">
        <f>+Base!G73</f>
        <v>0.17799999999999996</v>
      </c>
      <c r="H73" s="51">
        <f>+Base!H73</f>
        <v>0.21199999999999997</v>
      </c>
      <c r="I73" s="51">
        <f>+Base!I73</f>
        <v>0.24599999999999994</v>
      </c>
      <c r="J73" s="51">
        <f>+Base!J73</f>
        <v>0.27999999999999997</v>
      </c>
      <c r="K73" s="51">
        <f>+Base!K73</f>
        <v>0.31399999999999995</v>
      </c>
      <c r="L73" s="51">
        <f>+Base!L73</f>
        <v>0.34799999999999992</v>
      </c>
      <c r="M73" s="51">
        <f>+Base!M73</f>
        <v>0.38199999999999995</v>
      </c>
      <c r="N73" s="51">
        <f>+Base!N73</f>
        <v>0.41599999999999993</v>
      </c>
      <c r="O73" s="51">
        <f>+Base!O73</f>
        <v>0.4499999999999999</v>
      </c>
      <c r="P73" s="51">
        <f>+Base!P73</f>
        <v>0.48399999999999993</v>
      </c>
      <c r="Q73" s="51">
        <f>+Base!Q73</f>
        <v>0.51800000000000002</v>
      </c>
      <c r="R73" s="51">
        <f>+Base!R73</f>
        <v>0.55199999999999982</v>
      </c>
      <c r="S73" s="51">
        <f>+Base!S73</f>
        <v>0.58599999999999985</v>
      </c>
      <c r="T73" s="51">
        <f>+Base!T73</f>
        <v>0.62</v>
      </c>
      <c r="U73" s="51">
        <f>+Base!U73</f>
        <v>0.62</v>
      </c>
      <c r="V73" s="51">
        <f>+Base!V73</f>
        <v>0.62</v>
      </c>
      <c r="W73" s="51">
        <f>+Base!W73</f>
        <v>0.62</v>
      </c>
      <c r="X73" s="51">
        <f>+Base!X73</f>
        <v>0.62</v>
      </c>
      <c r="Y73" s="51">
        <f>+Base!Y73</f>
        <v>0.62</v>
      </c>
      <c r="Z73" s="51">
        <f>+Base!Z73</f>
        <v>0.62</v>
      </c>
      <c r="AA73" s="51">
        <f>+Base!AA73</f>
        <v>0.62</v>
      </c>
      <c r="AB73" s="51">
        <f>+Base!AB73</f>
        <v>0.62</v>
      </c>
      <c r="AC73" s="51">
        <f>+Base!AC73</f>
        <v>0.62</v>
      </c>
      <c r="AD73" s="51">
        <f>+Base!AD73</f>
        <v>0.62</v>
      </c>
      <c r="AE73" s="51">
        <f>+Base!AE73</f>
        <v>0.62</v>
      </c>
      <c r="AF73" s="51">
        <f>+Base!AF73</f>
        <v>0.62</v>
      </c>
      <c r="AG73" s="51">
        <f>+Base!AG73</f>
        <v>0.62</v>
      </c>
      <c r="AH73" s="51">
        <f>+Base!AH73</f>
        <v>0.62</v>
      </c>
      <c r="AI73" s="51">
        <f>+Base!AI73</f>
        <v>0.62</v>
      </c>
      <c r="AJ73" s="51">
        <f>+Base!AJ73</f>
        <v>0.62</v>
      </c>
      <c r="AK73" s="51">
        <f>+Base!AK73</f>
        <v>0.62</v>
      </c>
      <c r="AL73" s="51">
        <f>+Base!AL73</f>
        <v>0.62</v>
      </c>
      <c r="AM73" s="51">
        <f>+Base!AM73</f>
        <v>0.62</v>
      </c>
      <c r="AN73" s="51">
        <f>+Base!AN73</f>
        <v>0.62</v>
      </c>
      <c r="AO73" s="51">
        <f>+Base!AO73</f>
        <v>0.62</v>
      </c>
      <c r="AP73" s="51">
        <f>+Base!AP73</f>
        <v>0.62</v>
      </c>
      <c r="AQ73" s="51">
        <f>+Base!AQ73</f>
        <v>0.62</v>
      </c>
      <c r="AR73" s="51">
        <f>+Base!AR73</f>
        <v>0.62</v>
      </c>
      <c r="AS73" s="51">
        <f>+Base!AS73</f>
        <v>0.62</v>
      </c>
      <c r="AT73" s="51">
        <f>+Base!AT73</f>
        <v>0.62</v>
      </c>
      <c r="AU73" s="51">
        <f>+Base!AU73</f>
        <v>0.62</v>
      </c>
      <c r="AV73" s="51">
        <f>+Base!AV73</f>
        <v>0.62</v>
      </c>
      <c r="AW73" s="51">
        <f>+Base!AW73</f>
        <v>0.62</v>
      </c>
      <c r="AX73" s="51">
        <f>+Base!AX73</f>
        <v>0.62</v>
      </c>
      <c r="AY73" s="51">
        <f>+Base!AY73</f>
        <v>0.62</v>
      </c>
      <c r="AZ73" s="51">
        <f>+Base!AZ73</f>
        <v>0.62</v>
      </c>
      <c r="BA73" s="51">
        <f>+Base!BA73</f>
        <v>0.62</v>
      </c>
      <c r="BB73" s="51">
        <f>+Base!BB73</f>
        <v>0.62</v>
      </c>
      <c r="BC73" s="51">
        <f>+Base!BC73</f>
        <v>0.62</v>
      </c>
      <c r="BD73" s="51">
        <f>+Base!BD73</f>
        <v>0.62</v>
      </c>
      <c r="BE73" s="51">
        <f>+Base!BE73</f>
        <v>0.62</v>
      </c>
      <c r="BF73" s="51">
        <f>+Base!BF73</f>
        <v>0.62</v>
      </c>
      <c r="BG73" s="51">
        <f>+Base!BG73</f>
        <v>0.62</v>
      </c>
      <c r="BH73" s="51">
        <f>+Base!BH73</f>
        <v>0.62</v>
      </c>
      <c r="BI73" s="51">
        <f>+Base!BI73</f>
        <v>0.62</v>
      </c>
      <c r="BJ73" s="60"/>
      <c r="BK73" s="60"/>
      <c r="BL73" s="60"/>
      <c r="BM73" s="60"/>
      <c r="BN73" s="60"/>
      <c r="BO73" s="60"/>
      <c r="BP73" s="60"/>
      <c r="BQ73" s="60"/>
      <c r="BR73" s="60"/>
      <c r="BS73" s="60"/>
      <c r="BT73" s="60"/>
      <c r="BU73" s="60"/>
      <c r="BV73" s="60"/>
      <c r="BW73" s="60"/>
      <c r="BX73" s="60"/>
      <c r="BY73" s="60"/>
      <c r="BZ73" s="60"/>
      <c r="CA73" s="60"/>
      <c r="CB73" s="60"/>
      <c r="CC73" s="60"/>
      <c r="CD73" s="60"/>
      <c r="CE73" s="60"/>
      <c r="CF73" s="60"/>
      <c r="CG73" s="60"/>
      <c r="CH73" s="60"/>
      <c r="CI73" s="60"/>
      <c r="CJ73" s="60"/>
      <c r="CK73" s="60"/>
      <c r="CL73" s="60"/>
      <c r="CM73" s="60"/>
      <c r="CN73" s="60"/>
      <c r="CO73" s="60"/>
      <c r="CP73" s="60"/>
      <c r="CQ73" s="60"/>
      <c r="CR73" s="60"/>
      <c r="CS73" s="60"/>
      <c r="CT73" s="60"/>
      <c r="CU73" s="60"/>
      <c r="CV73" s="60"/>
      <c r="CW73" s="60"/>
      <c r="CX73" s="60"/>
      <c r="CY73" s="60"/>
      <c r="CZ73" s="60"/>
      <c r="DA73" s="60"/>
      <c r="DB73" s="60"/>
      <c r="DC73" s="60"/>
      <c r="DD73" s="60"/>
      <c r="DE73" s="60"/>
      <c r="DF73" s="60"/>
      <c r="DG73" s="60"/>
      <c r="DH73" s="60"/>
      <c r="DI73" s="60"/>
      <c r="DJ73" s="60"/>
      <c r="DK73" s="60"/>
      <c r="DL73" s="60"/>
      <c r="DM73" s="60"/>
      <c r="DN73" s="60"/>
      <c r="DO73" s="60"/>
      <c r="DP73" s="60"/>
      <c r="DQ73" s="60"/>
      <c r="DR73" s="60"/>
      <c r="DS73" s="60"/>
      <c r="DT73" s="60"/>
    </row>
    <row r="74" spans="1:124" s="23" customFormat="1" ht="21" customHeight="1" x14ac:dyDescent="0.35">
      <c r="A74" s="15" t="s">
        <v>186</v>
      </c>
      <c r="B74" s="51">
        <f>+Base!B74</f>
        <v>-0.06</v>
      </c>
      <c r="C74" s="60"/>
      <c r="D74" s="60"/>
      <c r="E74" s="60"/>
      <c r="F74" s="60"/>
      <c r="G74" s="60"/>
      <c r="H74" s="60"/>
      <c r="I74" s="60"/>
      <c r="J74" s="60"/>
      <c r="K74" s="60"/>
      <c r="L74" s="60"/>
      <c r="M74" s="60"/>
      <c r="N74" s="60"/>
      <c r="O74" s="60"/>
      <c r="P74" s="60"/>
      <c r="Q74" s="60"/>
      <c r="R74" s="60"/>
      <c r="S74" s="60"/>
      <c r="T74" s="60"/>
      <c r="U74" s="60"/>
      <c r="V74" s="60"/>
      <c r="W74" s="60"/>
      <c r="X74" s="60"/>
      <c r="Y74" s="60"/>
      <c r="Z74" s="60"/>
      <c r="AA74" s="60"/>
      <c r="AB74" s="60"/>
      <c r="AC74" s="60"/>
      <c r="AD74" s="60"/>
      <c r="AE74" s="60"/>
      <c r="AF74" s="60"/>
      <c r="AG74" s="60"/>
      <c r="AH74" s="60"/>
      <c r="AI74" s="60"/>
      <c r="AJ74" s="60"/>
      <c r="AK74" s="60"/>
      <c r="AL74" s="60"/>
      <c r="AM74" s="60"/>
      <c r="AN74" s="60"/>
      <c r="AO74" s="60"/>
      <c r="AP74" s="60"/>
      <c r="AQ74" s="60"/>
      <c r="AR74" s="60"/>
      <c r="AS74" s="60"/>
      <c r="AT74" s="60"/>
      <c r="AU74" s="60"/>
      <c r="AV74" s="60"/>
      <c r="AW74" s="60"/>
      <c r="AX74" s="60"/>
      <c r="AY74" s="60"/>
      <c r="AZ74" s="60"/>
      <c r="BA74" s="60"/>
      <c r="BB74" s="60"/>
      <c r="BC74" s="60"/>
      <c r="BD74" s="60"/>
      <c r="BE74" s="60"/>
      <c r="BF74" s="60"/>
      <c r="BG74" s="60"/>
      <c r="BH74" s="60"/>
      <c r="BI74" s="60"/>
    </row>
    <row r="75" spans="1:124" s="23" customFormat="1" ht="21" customHeight="1" x14ac:dyDescent="0.35">
      <c r="A75" s="15" t="s">
        <v>187</v>
      </c>
      <c r="B75" s="51">
        <f>+Base!B75</f>
        <v>0.62</v>
      </c>
      <c r="C75" s="60"/>
      <c r="D75" s="60"/>
      <c r="E75" s="60"/>
      <c r="F75" s="60"/>
      <c r="G75" s="60"/>
      <c r="H75" s="60"/>
      <c r="I75" s="60"/>
      <c r="J75" s="60"/>
      <c r="K75" s="60"/>
      <c r="L75" s="60"/>
      <c r="M75" s="60"/>
      <c r="N75" s="60"/>
      <c r="O75" s="60"/>
      <c r="P75" s="60"/>
      <c r="Q75" s="60"/>
      <c r="R75" s="60"/>
      <c r="S75" s="60"/>
      <c r="T75" s="60"/>
      <c r="U75" s="60"/>
      <c r="V75" s="60"/>
      <c r="W75" s="60"/>
      <c r="X75" s="60"/>
      <c r="Y75" s="60"/>
      <c r="Z75" s="60"/>
      <c r="AA75" s="60"/>
      <c r="AB75" s="60"/>
      <c r="AC75" s="60"/>
      <c r="AD75" s="60"/>
      <c r="AE75" s="60"/>
      <c r="AF75" s="60"/>
      <c r="AG75" s="60"/>
      <c r="AH75" s="60"/>
      <c r="AI75" s="60"/>
      <c r="AJ75" s="60"/>
      <c r="AK75" s="60"/>
      <c r="AL75" s="60"/>
      <c r="AM75" s="60"/>
      <c r="AN75" s="60"/>
      <c r="AO75" s="60"/>
      <c r="AP75" s="60"/>
      <c r="AQ75" s="60"/>
      <c r="AR75" s="60"/>
      <c r="AS75" s="60"/>
      <c r="AT75" s="60"/>
      <c r="AU75" s="60"/>
      <c r="AV75" s="60"/>
      <c r="AW75" s="60"/>
      <c r="AX75" s="60"/>
      <c r="AY75" s="60"/>
      <c r="AZ75" s="60"/>
      <c r="BA75" s="60"/>
      <c r="BB75" s="60"/>
      <c r="BC75" s="60"/>
      <c r="BD75" s="60"/>
      <c r="BE75" s="60"/>
      <c r="BF75" s="60"/>
      <c r="BG75" s="60"/>
      <c r="BH75" s="60"/>
      <c r="BI75" s="60"/>
    </row>
    <row r="76" spans="1:124" s="23" customFormat="1" ht="21" customHeight="1" x14ac:dyDescent="0.35">
      <c r="A76" s="15" t="s">
        <v>188</v>
      </c>
      <c r="B76" s="51">
        <f>+Base!B76</f>
        <v>0.83</v>
      </c>
      <c r="C76" s="60"/>
      <c r="D76" s="60"/>
      <c r="E76" s="60"/>
      <c r="F76" s="60"/>
      <c r="G76" s="60"/>
      <c r="H76" s="60"/>
      <c r="I76" s="60"/>
      <c r="J76" s="60"/>
      <c r="K76" s="60"/>
      <c r="L76" s="60"/>
      <c r="M76" s="60"/>
      <c r="N76" s="60"/>
      <c r="O76" s="60"/>
      <c r="P76" s="60"/>
      <c r="Q76" s="60"/>
      <c r="R76" s="60"/>
      <c r="S76" s="60"/>
      <c r="T76" s="60"/>
      <c r="U76" s="60"/>
      <c r="V76" s="60"/>
      <c r="W76" s="60"/>
      <c r="X76" s="60"/>
      <c r="Y76" s="60"/>
      <c r="Z76" s="60"/>
      <c r="AA76" s="60"/>
      <c r="AB76" s="60"/>
      <c r="AC76" s="60"/>
      <c r="AD76" s="60"/>
      <c r="AE76" s="60"/>
      <c r="AF76" s="60"/>
      <c r="AG76" s="60"/>
      <c r="AH76" s="60"/>
      <c r="AI76" s="60"/>
      <c r="AJ76" s="60"/>
      <c r="AK76" s="60"/>
      <c r="AL76" s="60"/>
      <c r="AM76" s="60"/>
      <c r="AN76" s="60"/>
      <c r="AO76" s="60"/>
      <c r="AP76" s="60"/>
      <c r="AQ76" s="60"/>
      <c r="AR76" s="60"/>
      <c r="AS76" s="60"/>
      <c r="AT76" s="60"/>
      <c r="AU76" s="60"/>
      <c r="AV76" s="60"/>
      <c r="AW76" s="60"/>
      <c r="AX76" s="60"/>
      <c r="AY76" s="60"/>
      <c r="AZ76" s="60"/>
      <c r="BA76" s="60"/>
      <c r="BB76" s="60"/>
      <c r="BC76" s="60"/>
      <c r="BD76" s="60"/>
      <c r="BE76" s="60"/>
      <c r="BF76" s="60"/>
      <c r="BG76" s="60"/>
      <c r="BH76" s="60"/>
      <c r="BI76" s="60"/>
    </row>
    <row r="77" spans="1:124" s="23" customFormat="1" ht="21" customHeight="1" x14ac:dyDescent="0.35">
      <c r="A77" s="15" t="s">
        <v>5</v>
      </c>
      <c r="B77" s="51">
        <f>+Base!B77</f>
        <v>6.7999999999999996E-3</v>
      </c>
      <c r="C77" s="60"/>
      <c r="D77" s="60"/>
      <c r="E77" s="60"/>
      <c r="F77" s="60"/>
      <c r="G77" s="60"/>
      <c r="H77" s="60"/>
      <c r="I77" s="60"/>
      <c r="J77" s="60"/>
      <c r="K77" s="60"/>
      <c r="L77" s="60"/>
      <c r="M77" s="60"/>
      <c r="N77" s="60"/>
      <c r="O77" s="60"/>
      <c r="P77" s="60"/>
      <c r="Q77" s="60"/>
      <c r="R77" s="60"/>
      <c r="S77" s="60"/>
      <c r="T77" s="60"/>
      <c r="U77" s="60"/>
      <c r="V77" s="60"/>
      <c r="W77" s="60"/>
      <c r="X77" s="60"/>
      <c r="Y77" s="60"/>
      <c r="Z77" s="60"/>
      <c r="AA77" s="60"/>
      <c r="AB77" s="60"/>
      <c r="AC77" s="60"/>
      <c r="AD77" s="60"/>
      <c r="AE77" s="60"/>
      <c r="AF77" s="60"/>
      <c r="AG77" s="60"/>
      <c r="AH77" s="60"/>
      <c r="AI77" s="60"/>
      <c r="AJ77" s="60"/>
      <c r="AK77" s="60"/>
      <c r="AL77" s="60"/>
      <c r="AM77" s="60"/>
      <c r="AN77" s="60"/>
      <c r="AO77" s="60"/>
      <c r="AP77" s="60"/>
      <c r="AQ77" s="60"/>
      <c r="AR77" s="60"/>
      <c r="AS77" s="60"/>
      <c r="AT77" s="60"/>
      <c r="AU77" s="60"/>
      <c r="AV77" s="60"/>
      <c r="AW77" s="60"/>
      <c r="AX77" s="60"/>
      <c r="AY77" s="60"/>
      <c r="AZ77" s="60"/>
      <c r="BA77" s="60"/>
      <c r="BB77" s="60"/>
      <c r="BC77" s="60"/>
      <c r="BD77" s="60"/>
      <c r="BE77" s="60"/>
      <c r="BF77" s="60"/>
      <c r="BG77" s="60"/>
      <c r="BH77" s="60"/>
      <c r="BI77" s="60"/>
    </row>
    <row r="78" spans="1:124" s="23" customFormat="1" ht="21" customHeight="1" thickBot="1" x14ac:dyDescent="0.35">
      <c r="A78" s="82" t="s">
        <v>227</v>
      </c>
      <c r="B78" s="60"/>
      <c r="C78" s="60"/>
      <c r="D78" s="60"/>
      <c r="E78" s="60"/>
      <c r="F78" s="60"/>
      <c r="G78" s="60"/>
      <c r="H78" s="60"/>
      <c r="I78" s="60"/>
      <c r="J78" s="60"/>
      <c r="K78" s="60"/>
      <c r="L78" s="60"/>
      <c r="M78" s="60"/>
      <c r="N78" s="60"/>
      <c r="O78" s="60"/>
      <c r="P78" s="60"/>
      <c r="Q78" s="60"/>
      <c r="R78" s="60"/>
      <c r="S78" s="60"/>
      <c r="T78" s="60"/>
      <c r="U78" s="60"/>
      <c r="V78" s="60"/>
      <c r="W78" s="60"/>
      <c r="X78" s="60"/>
      <c r="Y78" s="60"/>
      <c r="Z78" s="60"/>
      <c r="AA78" s="60"/>
      <c r="AB78" s="60"/>
      <c r="AC78" s="60"/>
      <c r="AD78" s="60"/>
      <c r="AE78" s="60"/>
      <c r="AF78" s="60"/>
      <c r="AG78" s="60"/>
      <c r="AH78" s="60"/>
      <c r="AI78" s="60"/>
      <c r="AJ78" s="60"/>
      <c r="AK78" s="60"/>
      <c r="AL78" s="60"/>
      <c r="AM78" s="60"/>
      <c r="AN78" s="60"/>
      <c r="AO78" s="60"/>
      <c r="AP78" s="60"/>
      <c r="AQ78" s="60"/>
      <c r="AR78" s="60"/>
      <c r="AS78" s="60"/>
      <c r="AT78" s="60"/>
      <c r="AU78" s="60"/>
      <c r="AV78" s="60"/>
      <c r="AW78" s="60"/>
      <c r="AX78" s="60"/>
      <c r="AY78" s="60"/>
      <c r="AZ78" s="60"/>
      <c r="BA78" s="60"/>
      <c r="BB78" s="60"/>
      <c r="BC78" s="60"/>
      <c r="BD78" s="60"/>
      <c r="BE78" s="60"/>
      <c r="BF78" s="60"/>
      <c r="BG78" s="60"/>
      <c r="BH78" s="60"/>
      <c r="BI78" s="60"/>
    </row>
    <row r="79" spans="1:124" s="23" customFormat="1" ht="21" customHeight="1" thickTop="1" x14ac:dyDescent="0.35">
      <c r="A79" s="15" t="s">
        <v>72</v>
      </c>
      <c r="B79" s="51">
        <f>+Base!B79</f>
        <v>3.2</v>
      </c>
      <c r="C79" s="60"/>
      <c r="D79" s="60"/>
      <c r="E79" s="60"/>
      <c r="F79" s="60"/>
      <c r="G79" s="60"/>
      <c r="H79" s="60"/>
      <c r="I79" s="60"/>
      <c r="J79" s="60"/>
      <c r="K79" s="60"/>
      <c r="L79" s="60"/>
      <c r="M79" s="60"/>
      <c r="N79" s="60"/>
      <c r="O79" s="60"/>
      <c r="P79" s="60"/>
      <c r="Q79" s="60"/>
      <c r="R79" s="60"/>
      <c r="S79" s="60"/>
      <c r="T79" s="60"/>
      <c r="U79" s="60"/>
      <c r="V79" s="60"/>
      <c r="W79" s="60"/>
      <c r="X79" s="60"/>
      <c r="Y79" s="60"/>
      <c r="Z79" s="60"/>
      <c r="AA79" s="60"/>
      <c r="AB79" s="60"/>
      <c r="AC79" s="60"/>
      <c r="AD79" s="60"/>
      <c r="AE79" s="60"/>
      <c r="AF79" s="60"/>
      <c r="AG79" s="60"/>
      <c r="AH79" s="60"/>
      <c r="AI79" s="60"/>
      <c r="AJ79" s="60"/>
      <c r="AK79" s="60"/>
      <c r="AL79" s="60"/>
      <c r="AM79" s="60"/>
      <c r="AN79" s="60"/>
      <c r="AO79" s="60"/>
      <c r="AP79" s="60"/>
      <c r="AQ79" s="60"/>
      <c r="AR79" s="60"/>
      <c r="AS79" s="60"/>
      <c r="AT79" s="60"/>
      <c r="AU79" s="60"/>
      <c r="AV79" s="60"/>
      <c r="AW79" s="60"/>
      <c r="AX79" s="60"/>
      <c r="AY79" s="60"/>
      <c r="AZ79" s="60"/>
      <c r="BA79" s="60"/>
      <c r="BB79" s="60"/>
      <c r="BC79" s="60"/>
      <c r="BD79" s="60"/>
      <c r="BE79" s="60"/>
      <c r="BF79" s="60"/>
      <c r="BG79" s="60"/>
      <c r="BH79" s="60"/>
      <c r="BI79" s="60"/>
    </row>
    <row r="80" spans="1:124" s="23" customFormat="1" ht="21" customHeight="1" x14ac:dyDescent="0.35">
      <c r="A80" s="15" t="s">
        <v>226</v>
      </c>
      <c r="B80" s="51">
        <f>+Base!B80</f>
        <v>3.8</v>
      </c>
      <c r="C80" s="60"/>
      <c r="D80" s="60"/>
      <c r="E80" s="60"/>
      <c r="F80" s="60"/>
      <c r="G80" s="60"/>
      <c r="H80" s="60"/>
      <c r="I80" s="60"/>
      <c r="J80" s="60"/>
      <c r="K80" s="60"/>
      <c r="L80" s="60"/>
      <c r="M80" s="60"/>
      <c r="N80" s="60"/>
      <c r="O80" s="60"/>
      <c r="P80" s="60"/>
      <c r="Q80" s="60"/>
      <c r="R80" s="60"/>
      <c r="S80" s="60"/>
      <c r="T80" s="60"/>
      <c r="U80" s="60"/>
      <c r="V80" s="60"/>
      <c r="W80" s="60"/>
      <c r="X80" s="60"/>
      <c r="Y80" s="60"/>
      <c r="Z80" s="60"/>
      <c r="AA80" s="60"/>
      <c r="AB80" s="60"/>
      <c r="AC80" s="60"/>
      <c r="AD80" s="60"/>
      <c r="AE80" s="60"/>
      <c r="AF80" s="60"/>
      <c r="AG80" s="60"/>
      <c r="AH80" s="60"/>
      <c r="AI80" s="60"/>
      <c r="AJ80" s="60"/>
      <c r="AK80" s="60"/>
      <c r="AL80" s="60"/>
      <c r="AM80" s="60"/>
      <c r="AN80" s="60"/>
      <c r="AO80" s="60"/>
      <c r="AP80" s="60"/>
      <c r="AQ80" s="60"/>
      <c r="AR80" s="60"/>
      <c r="AS80" s="60"/>
      <c r="AT80" s="60"/>
      <c r="AU80" s="60"/>
      <c r="AV80" s="60"/>
      <c r="AW80" s="60"/>
      <c r="AX80" s="60"/>
      <c r="AY80" s="60"/>
      <c r="AZ80" s="60"/>
      <c r="BA80" s="60"/>
      <c r="BB80" s="60"/>
      <c r="BC80" s="60"/>
      <c r="BD80" s="60"/>
      <c r="BE80" s="60"/>
      <c r="BF80" s="60"/>
      <c r="BG80" s="60"/>
      <c r="BH80" s="60"/>
      <c r="BI80" s="60"/>
    </row>
    <row r="81" spans="1:61" s="23" customFormat="1" ht="21" customHeight="1" thickBot="1" x14ac:dyDescent="0.35">
      <c r="A81" s="82" t="s">
        <v>228</v>
      </c>
      <c r="B81" s="60"/>
      <c r="C81" s="60"/>
      <c r="D81" s="60"/>
      <c r="E81" s="60"/>
      <c r="F81" s="60"/>
      <c r="G81" s="60"/>
      <c r="H81" s="60"/>
      <c r="I81" s="60"/>
      <c r="J81" s="60"/>
      <c r="K81" s="60"/>
      <c r="L81" s="60"/>
      <c r="M81" s="60"/>
      <c r="N81" s="60"/>
      <c r="O81" s="60"/>
      <c r="P81" s="60"/>
      <c r="Q81" s="60"/>
      <c r="R81" s="60"/>
      <c r="S81" s="60"/>
      <c r="T81" s="60"/>
      <c r="U81" s="60"/>
      <c r="V81" s="60"/>
      <c r="W81" s="60"/>
      <c r="X81" s="60"/>
      <c r="Y81" s="60"/>
      <c r="Z81" s="60"/>
      <c r="AA81" s="60"/>
      <c r="AB81" s="60"/>
      <c r="AC81" s="60"/>
      <c r="AD81" s="60"/>
      <c r="AE81" s="60"/>
      <c r="AF81" s="60"/>
      <c r="AG81" s="60"/>
      <c r="AH81" s="60"/>
      <c r="AI81" s="60"/>
      <c r="AJ81" s="60"/>
      <c r="AK81" s="60"/>
      <c r="AL81" s="60"/>
      <c r="AM81" s="60"/>
      <c r="AN81" s="60"/>
      <c r="AO81" s="60"/>
      <c r="AP81" s="60"/>
      <c r="AQ81" s="60"/>
      <c r="AR81" s="60"/>
      <c r="AS81" s="60"/>
      <c r="AT81" s="60"/>
      <c r="AU81" s="60"/>
      <c r="AV81" s="60"/>
      <c r="AW81" s="60"/>
      <c r="AX81" s="60"/>
      <c r="AY81" s="60"/>
      <c r="AZ81" s="60"/>
      <c r="BA81" s="60"/>
      <c r="BB81" s="60"/>
      <c r="BC81" s="60"/>
      <c r="BD81" s="60"/>
      <c r="BE81" s="60"/>
      <c r="BF81" s="60"/>
      <c r="BG81" s="60"/>
      <c r="BH81" s="60"/>
      <c r="BI81" s="60"/>
    </row>
    <row r="82" spans="1:61" s="23" customFormat="1" ht="21" customHeight="1" thickTop="1" x14ac:dyDescent="0.35">
      <c r="A82" s="15" t="s">
        <v>39</v>
      </c>
      <c r="B82" s="51">
        <f>+Base!B82</f>
        <v>0.104</v>
      </c>
      <c r="C82" s="60"/>
      <c r="D82" s="60"/>
      <c r="E82" s="60"/>
      <c r="F82" s="60"/>
      <c r="G82" s="60"/>
      <c r="H82" s="60"/>
      <c r="I82" s="60"/>
      <c r="J82" s="60"/>
      <c r="K82" s="60"/>
      <c r="L82" s="60"/>
      <c r="M82" s="60"/>
      <c r="N82" s="60"/>
      <c r="O82" s="60"/>
      <c r="P82" s="60"/>
      <c r="Q82" s="60"/>
      <c r="R82" s="60"/>
      <c r="S82" s="60"/>
      <c r="T82" s="60"/>
      <c r="U82" s="60"/>
      <c r="V82" s="60"/>
      <c r="W82" s="60"/>
      <c r="X82" s="60"/>
      <c r="Y82" s="60"/>
      <c r="Z82" s="60"/>
      <c r="AA82" s="60"/>
      <c r="AB82" s="60"/>
      <c r="AC82" s="60"/>
      <c r="AD82" s="60"/>
      <c r="AE82" s="60"/>
      <c r="AF82" s="60"/>
      <c r="AG82" s="60"/>
      <c r="AH82" s="60"/>
      <c r="AI82" s="60"/>
      <c r="AJ82" s="60"/>
      <c r="AK82" s="60"/>
      <c r="AL82" s="60"/>
      <c r="AM82" s="60"/>
      <c r="AN82" s="60"/>
      <c r="AO82" s="60"/>
      <c r="AP82" s="60"/>
      <c r="AQ82" s="60"/>
      <c r="AR82" s="60"/>
      <c r="AS82" s="60"/>
      <c r="AT82" s="60"/>
      <c r="AU82" s="60"/>
      <c r="AV82" s="60"/>
      <c r="AW82" s="60"/>
      <c r="AX82" s="60"/>
      <c r="AY82" s="60"/>
      <c r="AZ82" s="60"/>
      <c r="BA82" s="60"/>
      <c r="BB82" s="60"/>
      <c r="BC82" s="60"/>
      <c r="BD82" s="60"/>
      <c r="BE82" s="60"/>
      <c r="BF82" s="60"/>
      <c r="BG82" s="60"/>
      <c r="BH82" s="60"/>
      <c r="BI82" s="60"/>
    </row>
    <row r="83" spans="1:61" s="23" customFormat="1" ht="21" customHeight="1" x14ac:dyDescent="0.35">
      <c r="A83" s="15" t="s">
        <v>73</v>
      </c>
      <c r="B83" s="51">
        <f>+Base!B83</f>
        <v>8.7999999999999995E-2</v>
      </c>
      <c r="C83" s="60"/>
      <c r="D83" s="60"/>
      <c r="E83" s="60"/>
      <c r="F83" s="60"/>
      <c r="G83" s="60"/>
      <c r="H83" s="60"/>
      <c r="I83" s="60"/>
      <c r="J83" s="60"/>
      <c r="K83" s="60"/>
      <c r="L83" s="60"/>
      <c r="M83" s="60"/>
      <c r="N83" s="60"/>
      <c r="O83" s="60"/>
      <c r="P83" s="60"/>
      <c r="Q83" s="60"/>
      <c r="R83" s="60"/>
      <c r="S83" s="60"/>
      <c r="T83" s="60"/>
      <c r="U83" s="60"/>
      <c r="V83" s="60"/>
      <c r="W83" s="60"/>
      <c r="X83" s="60"/>
      <c r="Y83" s="60"/>
      <c r="Z83" s="60"/>
      <c r="AA83" s="60"/>
      <c r="AB83" s="60"/>
      <c r="AC83" s="60"/>
      <c r="AD83" s="60"/>
      <c r="AE83" s="60"/>
      <c r="AF83" s="60"/>
      <c r="AG83" s="60"/>
      <c r="AH83" s="60"/>
      <c r="AI83" s="60"/>
      <c r="AJ83" s="60"/>
      <c r="AK83" s="60"/>
      <c r="AL83" s="60"/>
      <c r="AM83" s="60"/>
      <c r="AN83" s="60"/>
      <c r="AO83" s="60"/>
      <c r="AP83" s="60"/>
      <c r="AQ83" s="60"/>
      <c r="AR83" s="60"/>
      <c r="AS83" s="60"/>
      <c r="AT83" s="60"/>
      <c r="AU83" s="60"/>
      <c r="AV83" s="60"/>
      <c r="AW83" s="60"/>
      <c r="AX83" s="60"/>
      <c r="AY83" s="60"/>
      <c r="AZ83" s="60"/>
      <c r="BA83" s="60"/>
      <c r="BB83" s="60"/>
      <c r="BC83" s="60"/>
      <c r="BD83" s="60"/>
      <c r="BE83" s="60"/>
      <c r="BF83" s="60"/>
      <c r="BG83" s="60"/>
      <c r="BH83" s="60"/>
      <c r="BI83" s="60"/>
    </row>
    <row r="84" spans="1:61" s="23" customFormat="1" ht="21" customHeight="1" x14ac:dyDescent="0.35">
      <c r="A84" s="15" t="s">
        <v>16</v>
      </c>
      <c r="B84" s="51">
        <f>+Base!B84</f>
        <v>2.5000000000000001E-2</v>
      </c>
      <c r="C84" s="60"/>
      <c r="D84" s="60"/>
      <c r="E84" s="60"/>
      <c r="F84" s="60"/>
      <c r="G84" s="60"/>
      <c r="H84" s="60"/>
      <c r="I84" s="60"/>
      <c r="J84" s="60"/>
      <c r="K84" s="60"/>
      <c r="L84" s="60"/>
      <c r="M84" s="60"/>
      <c r="N84" s="60"/>
      <c r="O84" s="60"/>
      <c r="P84" s="60"/>
      <c r="Q84" s="60"/>
      <c r="R84" s="60"/>
      <c r="S84" s="60"/>
      <c r="T84" s="60"/>
      <c r="U84" s="60"/>
      <c r="V84" s="60"/>
      <c r="W84" s="60"/>
      <c r="X84" s="60"/>
      <c r="Y84" s="60"/>
      <c r="Z84" s="60"/>
      <c r="AA84" s="60"/>
      <c r="AB84" s="60"/>
      <c r="AC84" s="60"/>
      <c r="AD84" s="60"/>
      <c r="AE84" s="60"/>
      <c r="AF84" s="60"/>
      <c r="AG84" s="60"/>
      <c r="AH84" s="60"/>
      <c r="AI84" s="60"/>
      <c r="AJ84" s="60"/>
      <c r="AK84" s="60"/>
      <c r="AL84" s="60"/>
      <c r="AM84" s="60"/>
      <c r="AN84" s="60"/>
      <c r="AO84" s="60"/>
      <c r="AP84" s="60"/>
      <c r="AQ84" s="60"/>
      <c r="AR84" s="60"/>
      <c r="AS84" s="60"/>
      <c r="AT84" s="60"/>
      <c r="AU84" s="60"/>
      <c r="AV84" s="60"/>
      <c r="AW84" s="60"/>
      <c r="AX84" s="60"/>
      <c r="AY84" s="60"/>
      <c r="AZ84" s="60"/>
      <c r="BA84" s="60"/>
      <c r="BB84" s="60"/>
      <c r="BC84" s="60"/>
      <c r="BD84" s="60"/>
      <c r="BE84" s="60"/>
      <c r="BF84" s="60"/>
      <c r="BG84" s="60"/>
      <c r="BH84" s="60"/>
      <c r="BI84" s="60"/>
    </row>
    <row r="85" spans="1:61" s="59" customFormat="1" ht="45.5" thickBot="1" x14ac:dyDescent="0.3">
      <c r="A85" s="81" t="s">
        <v>204</v>
      </c>
      <c r="B85" s="61"/>
    </row>
    <row r="86" spans="1:61" s="23" customFormat="1" ht="40" thickTop="1" thickBot="1" x14ac:dyDescent="0.35">
      <c r="A86" s="84" t="s">
        <v>153</v>
      </c>
    </row>
    <row r="87" spans="1:61" s="23" customFormat="1" ht="29.5" thickTop="1" x14ac:dyDescent="0.3">
      <c r="A87" s="15" t="s">
        <v>140</v>
      </c>
      <c r="B87" s="23">
        <f>+Base!B60</f>
        <v>818.98500000000001</v>
      </c>
      <c r="C87" s="23">
        <f>Base!$B65*B87/100+Base!$B66*B89/100+B113*5/3.666</f>
        <v>848.26811346995873</v>
      </c>
      <c r="D87" s="23">
        <f>Base!$B65*C87/100+Base!$B66*C89/100+C113*5/3.666</f>
        <v>871.42993720212348</v>
      </c>
      <c r="E87" s="23">
        <f>Base!$B65*D87/100+Base!$B66*D89/100+D113*5/3.666</f>
        <v>895.76186792129374</v>
      </c>
      <c r="F87" s="23">
        <f>Base!$B65*E87/100+Base!$B66*E89/100+E113*5/3.666</f>
        <v>920.91987278513272</v>
      </c>
      <c r="G87" s="23">
        <f>Base!$B65*F87/100+Base!$B66*F89/100+F113*5/3.666</f>
        <v>946.46877467176182</v>
      </c>
      <c r="H87" s="23">
        <f>Base!$B65*G87/100+Base!$B66*G89/100+G113*5/3.666</f>
        <v>971.90160849488393</v>
      </c>
      <c r="I87" s="23">
        <f>Base!$B65*H87/100+Base!$B66*H89/100+H113*5/3.666</f>
        <v>996.65699403001395</v>
      </c>
      <c r="J87" s="23">
        <f>Base!$B65*I87/100+Base!$B66*I89/100+I113*5/3.666</f>
        <v>1020.1346352423408</v>
      </c>
      <c r="K87" s="23">
        <f>Base!$B65*J87/100+Base!$B66*J89/100+J113*5/3.666</f>
        <v>1041.7090902587042</v>
      </c>
      <c r="L87" s="23">
        <f>Base!$B65*K87/100+Base!$B66*K89/100+K113*5/3.666</f>
        <v>1060.7419248104432</v>
      </c>
      <c r="M87" s="23">
        <f>Base!$B65*L87/100+Base!$B66*L89/100+L113*5/3.666</f>
        <v>1076.5923207476308</v>
      </c>
      <c r="N87" s="23">
        <f>Base!$B65*M87/100+Base!$B66*M89/100+M113*5/3.666</f>
        <v>1088.6261518275699</v>
      </c>
      <c r="O87" s="23">
        <f>Base!$B65*N87/100+Base!$B66*N89/100+N113*5/3.666</f>
        <v>1096.2234710713951</v>
      </c>
      <c r="P87" s="23">
        <f>Base!$B65*O87/100+Base!$B66*O89/100+O113*5/3.666</f>
        <v>1098.7842850019199</v>
      </c>
      <c r="Q87" s="23">
        <f>Base!$B65*P87/100+Base!$B66*P89/100+P113*5/3.666</f>
        <v>1095.7324210613567</v>
      </c>
      <c r="R87" s="23">
        <f>Base!$B65*Q87/100+Base!$B66*Q89/100+Q113*5/3.666</f>
        <v>1086.5171860947146</v>
      </c>
      <c r="S87" s="23">
        <f>Base!$B65*R87/100+Base!$B66*R89/100+R113*5/3.666</f>
        <v>1070.6124126990703</v>
      </c>
      <c r="T87" s="23">
        <f>Base!$B65*S87/100+Base!$B66*S89/100+S113*5/3.666</f>
        <v>1049.4029796096038</v>
      </c>
      <c r="U87" s="23">
        <f>Base!$B65*T87/100+Base!$B66*T89/100+T113*5/3.666</f>
        <v>1030.8125464508466</v>
      </c>
      <c r="V87" s="23">
        <f>Base!$B65*U87/100+Base!$B66*U89/100+U113*5/3.666</f>
        <v>1014.5098996099159</v>
      </c>
      <c r="W87" s="23">
        <f>Base!$B65*V87/100+Base!$B66*V89/100+V113*5/3.666</f>
        <v>1000.20561873859</v>
      </c>
      <c r="X87" s="23">
        <f>Base!$B65*W87/100+Base!$B66*W89/100+W113*5/3.666</f>
        <v>987.64682556845059</v>
      </c>
      <c r="Y87" s="23">
        <f>Base!$B65*X87/100+Base!$B66*X89/100+X113*5/3.666</f>
        <v>976.6125880038752</v>
      </c>
      <c r="Z87" s="23">
        <f>Base!$B65*Y87/100+Base!$B66*Y89/100+Y113*5/3.666</f>
        <v>966.909898636619</v>
      </c>
      <c r="AA87" s="23">
        <f>Base!$B65*Z87/100+Base!$B66*Z89/100+Z113*5/3.666</f>
        <v>958.37015661664634</v>
      </c>
      <c r="AB87" s="23">
        <f>Base!$B65*AA87/100+Base!$B66*AA89/100+AA113*5/3.666</f>
        <v>950.84609045754621</v>
      </c>
      <c r="AC87" s="23">
        <f>Base!$B65*AB87/100+Base!$B66*AB89/100+AB113*5/3.666</f>
        <v>944.20906697767839</v>
      </c>
      <c r="AD87" s="23">
        <f>Base!$B65*AC87/100+Base!$B66*AC89/100+AC113*5/3.666</f>
        <v>938.34673829433984</v>
      </c>
      <c r="AE87" s="23">
        <f>Base!$B65*AD87/100+Base!$B66*AD89/100+AD113*5/3.666</f>
        <v>933.16098470052941</v>
      </c>
      <c r="AF87" s="23">
        <f>Base!$B65*AE87/100+Base!$B66*AE89/100+AE113*5/3.666</f>
        <v>928.56611645452438</v>
      </c>
      <c r="AG87" s="23">
        <f>Base!$B65*AF87/100+Base!$B66*AF89/100+AF113*5/3.666</f>
        <v>924.48730208396</v>
      </c>
      <c r="AH87" s="23">
        <f>Base!$B65*AG87/100+Base!$B66*AG89/100+AG113*5/3.666</f>
        <v>920.85919482203235</v>
      </c>
      <c r="AI87" s="23">
        <f>Base!$B65*AH87/100+Base!$B66*AH89/100+AH113*5/3.666</f>
        <v>917.62473231931699</v>
      </c>
      <c r="AJ87" s="23">
        <f>Base!$B65*AI87/100+Base!$B66*AI89/100+AI113*5/3.666</f>
        <v>914.73408786874359</v>
      </c>
      <c r="AK87" s="23">
        <f>Base!$B65*AJ87/100+Base!$B66*AJ89/100+AJ113*5/3.666</f>
        <v>912.14375409509819</v>
      </c>
      <c r="AL87" s="23">
        <f>Base!$B65*AK87/100+Base!$B66*AK89/100+AK113*5/3.666</f>
        <v>909.8157424397715</v>
      </c>
      <c r="AM87" s="23">
        <f>Base!$B65*AL87/100+Base!$B66*AL89/100+AL113*5/3.666</f>
        <v>907.71688385673758</v>
      </c>
      <c r="AN87" s="23">
        <f>Base!$B65*AM87/100+Base!$B66*AM89/100+AM113*5/3.666</f>
        <v>905.81821796267263</v>
      </c>
      <c r="AO87" s="23">
        <f>Base!$B65*AN87/100+Base!$B66*AN89/100+AN113*5/3.666</f>
        <v>904.0944594841701</v>
      </c>
      <c r="AP87" s="23">
        <f>Base!$B65*AO87/100+Base!$B66*AO89/100+AO113*5/3.666</f>
        <v>902.5235322459763</v>
      </c>
      <c r="AQ87" s="23">
        <f>Base!$B65*AP87/100+Base!$B66*AP89/100+AP113*5/3.666</f>
        <v>901.08616217049428</v>
      </c>
      <c r="AR87" s="23">
        <f>Base!$B65*AQ87/100+Base!$B66*AQ89/100+AQ113*5/3.666</f>
        <v>899.76552183198544</v>
      </c>
      <c r="AS87" s="23">
        <f>Base!$B65*AR87/100+Base!$B66*AR89/100+AR113*5/3.666</f>
        <v>898.54692004788251</v>
      </c>
      <c r="AT87" s="23">
        <f>Base!$B65*AS87/100+Base!$B66*AS89/100+AS113*5/3.666</f>
        <v>897.41753081100637</v>
      </c>
      <c r="AU87" s="23">
        <f>Base!$B65*AT87/100+Base!$B66*AT89/100+AT113*5/3.666</f>
        <v>896.36615658486664</v>
      </c>
      <c r="AV87" s="23">
        <f>Base!$B65*AU87/100+Base!$B66*AU89/100+AU113*5/3.666</f>
        <v>895.38302161242302</v>
      </c>
      <c r="AW87" s="23">
        <f>Base!$B65*AV87/100+Base!$B66*AV89/100+AV113*5/3.666</f>
        <v>894.45959143793948</v>
      </c>
      <c r="AX87" s="23">
        <f>Base!$B65*AW87/100+Base!$B66*AW89/100+AW113*5/3.666</f>
        <v>893.58841532171959</v>
      </c>
      <c r="AY87" s="23">
        <f>Base!$B65*AX87/100+Base!$B66*AX89/100+AX113*5/3.666</f>
        <v>892.7629886472148</v>
      </c>
      <c r="AZ87" s="23">
        <f>Base!$B65*AY87/100+Base!$B66*AY89/100+AY113*5/3.666</f>
        <v>891.97763278681941</v>
      </c>
      <c r="BA87" s="23">
        <f>Base!$B65*AZ87/100+Base!$B66*AZ89/100+AZ113*5/3.666</f>
        <v>891.22739021322616</v>
      </c>
      <c r="BB87" s="23">
        <f>Base!$B65*BA87/100+Base!$B66*BA89/100+BA113*5/3.666</f>
        <v>890.50793292333174</v>
      </c>
      <c r="BC87" s="23">
        <f>Base!$B65*BB87/100+Base!$B66*BB89/100+BB113*5/3.666</f>
        <v>889.81548248642457</v>
      </c>
      <c r="BD87" s="23">
        <f>Base!$B65*BC87/100+Base!$B66*BC89/100+BC113*5/3.666</f>
        <v>889.14674024221893</v>
      </c>
      <c r="BE87" s="23">
        <f>Base!$B65*BD87/100+Base!$B66*BD89/100+BD113*5/3.666</f>
        <v>888.49882636109351</v>
      </c>
      <c r="BF87" s="23">
        <f>Base!$B65*BE87/100+Base!$B66*BE89/100+BE113*5/3.666</f>
        <v>887.86922664207384</v>
      </c>
      <c r="BG87" s="23">
        <f>Base!$B65*BF87/100+Base!$B66*BF89/100+BF113*5/3.666</f>
        <v>887.25574606663201</v>
      </c>
      <c r="BH87" s="23">
        <f>Base!$B65*BG87/100+Base!$B66*BG89/100+BG113*5/3.666</f>
        <v>886.65646825086912</v>
      </c>
      <c r="BI87" s="23">
        <f>Base!$B65*BH87/100+Base!$B66*BH89/100+BH113*5/3.666</f>
        <v>886.0697200473835</v>
      </c>
    </row>
    <row r="88" spans="1:61" s="23" customFormat="1" ht="29" x14ac:dyDescent="0.3">
      <c r="A88" s="15" t="s">
        <v>60</v>
      </c>
      <c r="B88" s="23">
        <f t="shared" ref="B88:BI88" si="8">+B87/2.13</f>
        <v>384.5</v>
      </c>
      <c r="C88" s="23">
        <f t="shared" si="8"/>
        <v>398.24794059622479</v>
      </c>
      <c r="D88" s="23">
        <f t="shared" si="8"/>
        <v>409.12203624512841</v>
      </c>
      <c r="E88" s="23">
        <f t="shared" si="8"/>
        <v>420.54547789732101</v>
      </c>
      <c r="F88" s="23">
        <f t="shared" si="8"/>
        <v>432.35674778644733</v>
      </c>
      <c r="G88" s="23">
        <f t="shared" si="8"/>
        <v>444.35153740458304</v>
      </c>
      <c r="H88" s="23">
        <f t="shared" si="8"/>
        <v>456.29183497412396</v>
      </c>
      <c r="I88" s="23">
        <f t="shared" si="8"/>
        <v>467.91408170423193</v>
      </c>
      <c r="J88" s="23">
        <f t="shared" si="8"/>
        <v>478.93644847058255</v>
      </c>
      <c r="K88" s="23">
        <f t="shared" si="8"/>
        <v>489.06530059094098</v>
      </c>
      <c r="L88" s="23">
        <f t="shared" si="8"/>
        <v>498.00090366687476</v>
      </c>
      <c r="M88" s="23">
        <f t="shared" si="8"/>
        <v>505.44240410686893</v>
      </c>
      <c r="N88" s="23">
        <f t="shared" si="8"/>
        <v>511.09209005989197</v>
      </c>
      <c r="O88" s="23">
        <f t="shared" si="8"/>
        <v>514.65890660628884</v>
      </c>
      <c r="P88" s="23">
        <f t="shared" si="8"/>
        <v>515.861166667568</v>
      </c>
      <c r="Q88" s="23">
        <f t="shared" si="8"/>
        <v>514.42836669547262</v>
      </c>
      <c r="R88" s="23">
        <f t="shared" si="8"/>
        <v>510.10196530268291</v>
      </c>
      <c r="S88" s="23">
        <f t="shared" si="8"/>
        <v>502.63493553946967</v>
      </c>
      <c r="T88" s="23">
        <f t="shared" si="8"/>
        <v>492.67745521577643</v>
      </c>
      <c r="U88" s="23">
        <f t="shared" si="8"/>
        <v>483.94955232434114</v>
      </c>
      <c r="V88" s="23">
        <f t="shared" si="8"/>
        <v>476.29572751639245</v>
      </c>
      <c r="W88" s="23">
        <f t="shared" si="8"/>
        <v>469.58010269417377</v>
      </c>
      <c r="X88" s="23">
        <f t="shared" si="8"/>
        <v>463.68395566593927</v>
      </c>
      <c r="Y88" s="23">
        <f t="shared" si="8"/>
        <v>458.50356244313394</v>
      </c>
      <c r="Z88" s="23">
        <f t="shared" si="8"/>
        <v>453.94830921906998</v>
      </c>
      <c r="AA88" s="23">
        <f t="shared" si="8"/>
        <v>449.93904066509219</v>
      </c>
      <c r="AB88" s="23">
        <f t="shared" si="8"/>
        <v>446.40661523828464</v>
      </c>
      <c r="AC88" s="23">
        <f t="shared" si="8"/>
        <v>443.29064177355798</v>
      </c>
      <c r="AD88" s="23">
        <f t="shared" si="8"/>
        <v>440.53837478607505</v>
      </c>
      <c r="AE88" s="23">
        <f t="shared" si="8"/>
        <v>438.1037486856946</v>
      </c>
      <c r="AF88" s="23">
        <f t="shared" si="8"/>
        <v>435.94653354672511</v>
      </c>
      <c r="AG88" s="23">
        <f t="shared" si="8"/>
        <v>434.03159722251644</v>
      </c>
      <c r="AH88" s="23">
        <f t="shared" si="8"/>
        <v>432.32826047982741</v>
      </c>
      <c r="AI88" s="23">
        <f t="shared" si="8"/>
        <v>430.80973348324744</v>
      </c>
      <c r="AJ88" s="23">
        <f t="shared" si="8"/>
        <v>429.45262341255568</v>
      </c>
      <c r="AK88" s="23">
        <f t="shared" si="8"/>
        <v>428.23650426999916</v>
      </c>
      <c r="AL88" s="23">
        <f t="shared" si="8"/>
        <v>427.14354105153592</v>
      </c>
      <c r="AM88" s="23">
        <f t="shared" si="8"/>
        <v>426.15816143508806</v>
      </c>
      <c r="AN88" s="23">
        <f t="shared" si="8"/>
        <v>425.26676899655996</v>
      </c>
      <c r="AO88" s="23">
        <f t="shared" si="8"/>
        <v>424.45749271557281</v>
      </c>
      <c r="AP88" s="23">
        <f t="shared" si="8"/>
        <v>423.71996819059922</v>
      </c>
      <c r="AQ88" s="23">
        <f t="shared" si="8"/>
        <v>423.04514655891751</v>
      </c>
      <c r="AR88" s="23">
        <f t="shared" si="8"/>
        <v>422.42512762065047</v>
      </c>
      <c r="AS88" s="23">
        <f t="shared" si="8"/>
        <v>421.85301410698713</v>
      </c>
      <c r="AT88" s="23">
        <f t="shared" si="8"/>
        <v>421.32278441831289</v>
      </c>
      <c r="AU88" s="23">
        <f t="shared" si="8"/>
        <v>420.82918149524255</v>
      </c>
      <c r="AV88" s="23">
        <f t="shared" si="8"/>
        <v>420.36761578048032</v>
      </c>
      <c r="AW88" s="23">
        <f t="shared" si="8"/>
        <v>419.93408048729555</v>
      </c>
      <c r="AX88" s="23">
        <f t="shared" si="8"/>
        <v>419.52507761583081</v>
      </c>
      <c r="AY88" s="23">
        <f t="shared" si="8"/>
        <v>419.1375533554999</v>
      </c>
      <c r="AZ88" s="23">
        <f t="shared" si="8"/>
        <v>418.76884168395281</v>
      </c>
      <c r="BA88" s="23">
        <f t="shared" si="8"/>
        <v>418.41661512358036</v>
      </c>
      <c r="BB88" s="23">
        <f t="shared" si="8"/>
        <v>418.07884174804309</v>
      </c>
      <c r="BC88" s="23">
        <f t="shared" si="8"/>
        <v>417.75374764620875</v>
      </c>
      <c r="BD88" s="23">
        <f t="shared" si="8"/>
        <v>417.43978415127651</v>
      </c>
      <c r="BE88" s="23">
        <f t="shared" si="8"/>
        <v>417.13559923056033</v>
      </c>
      <c r="BF88" s="23">
        <f t="shared" si="8"/>
        <v>416.84001250801589</v>
      </c>
      <c r="BG88" s="23">
        <f t="shared" si="8"/>
        <v>416.5519934585127</v>
      </c>
      <c r="BH88" s="23">
        <f t="shared" si="8"/>
        <v>416.27064237130008</v>
      </c>
      <c r="BI88" s="23">
        <f t="shared" si="8"/>
        <v>415.99517373116601</v>
      </c>
    </row>
    <row r="89" spans="1:61" s="23" customFormat="1" ht="29" x14ac:dyDescent="0.3">
      <c r="A89" s="15" t="s">
        <v>1</v>
      </c>
      <c r="B89" s="23">
        <f>Base!B62</f>
        <v>1527</v>
      </c>
      <c r="C89" s="23">
        <f>B87* Base!$B67/100+B89* Base!$B68/100+B90* Base!$B69/100</f>
        <v>1540.1033416666669</v>
      </c>
      <c r="D89" s="23">
        <f>C87* Base!$B67/100+C89* Base!$B68/100+C90* Base!$B69/100</f>
        <v>1555.2487506423959</v>
      </c>
      <c r="E89" s="23">
        <f>D87* Base!$B67/100+D89* Base!$B68/100+D90* Base!$B69/100</f>
        <v>1571.8141890969214</v>
      </c>
      <c r="F89" s="23">
        <f>E87* Base!$B67/100+E89* Base!$B68/100+E90* Base!$B69/100</f>
        <v>1589.8446609444968</v>
      </c>
      <c r="G89" s="23">
        <f>F87* Base!$B67/100+F89* Base!$B68/100+F90* Base!$B69/100</f>
        <v>1609.3530589432894</v>
      </c>
      <c r="H89" s="23">
        <f>G87* Base!$B67/100+G89* Base!$B68/100+G90* Base!$B69/100</f>
        <v>1630.3134550991758</v>
      </c>
      <c r="I89" s="23">
        <f>H87* Base!$B67/100+H89* Base!$B68/100+H90* Base!$B69/100</f>
        <v>1652.6563683435159</v>
      </c>
      <c r="J89" s="23">
        <f>I87* Base!$B67/100+I89* Base!$B68/100+I90* Base!$B69/100</f>
        <v>1676.2657542023371</v>
      </c>
      <c r="K89" s="23">
        <f>J87* Base!$B67/100+J89* Base!$B68/100+J90* Base!$B69/100</f>
        <v>1700.9774812780929</v>
      </c>
      <c r="L89" s="23">
        <f>K87* Base!$B67/100+K89* Base!$B68/100+K90* Base!$B69/100</f>
        <v>1726.5790816532424</v>
      </c>
      <c r="M89" s="23">
        <f>L87* Base!$B67/100+L89* Base!$B68/100+L90* Base!$B69/100</f>
        <v>1752.8105809470064</v>
      </c>
      <c r="N89" s="23">
        <f>M87* Base!$B67/100+M89* Base!$B68/100+M90* Base!$B69/100</f>
        <v>1779.3662279903442</v>
      </c>
      <c r="O89" s="23">
        <f>N87* Base!$B67/100+N89* Base!$B68/100+N90* Base!$B69/100</f>
        <v>1805.8969525095854</v>
      </c>
      <c r="P89" s="23">
        <f>O87* Base!$B67/100+O89* Base!$B68/100+O90* Base!$B69/100</f>
        <v>1832.0133813144039</v>
      </c>
      <c r="Q89" s="23">
        <f>P87* Base!$B67/100+P89* Base!$B68/100+P90* Base!$B69/100</f>
        <v>1857.2892394346538</v>
      </c>
      <c r="R89" s="23">
        <f>Q87* Base!$B67/100+Q89* Base!$B68/100+Q90* Base!$B69/100</f>
        <v>1881.2649526914195</v>
      </c>
      <c r="S89" s="23">
        <f>R87* Base!$B67/100+R89* Base!$B68/100+R90* Base!$B69/100</f>
        <v>1903.4512490946081</v>
      </c>
      <c r="T89" s="23">
        <f>S87* Base!$B67/100+S89* Base!$B68/100+S90* Base!$B69/100</f>
        <v>1923.3325292502416</v>
      </c>
      <c r="U89" s="23">
        <f>T87* Base!$B67/100+T89* Base!$B68/100+T90* Base!$B69/100</f>
        <v>1940.5361129268049</v>
      </c>
      <c r="V89" s="23">
        <f>U87* Base!$B67/100+U89* Base!$B68/100+U90* Base!$B69/100</f>
        <v>1955.4018161083816</v>
      </c>
      <c r="W89" s="23">
        <f>V87* Base!$B67/100+V89* Base!$B68/100+V90* Base!$B69/100</f>
        <v>1968.2264314071499</v>
      </c>
      <c r="X89" s="23">
        <f>W87* Base!$B67/100+W89* Base!$B68/100+W90* Base!$B69/100</f>
        <v>1979.2691627546271</v>
      </c>
      <c r="Y89" s="23">
        <f>X87* Base!$B67/100+X89* Base!$B68/100+X90* Base!$B69/100</f>
        <v>1988.7563760598459</v>
      </c>
      <c r="Z89" s="23">
        <f>Y87* Base!$B67/100+Y89* Base!$B68/100+Y90* Base!$B69/100</f>
        <v>1996.8857514318177</v>
      </c>
      <c r="AA89" s="23">
        <f>Z87* Base!$B67/100+Z89* Base!$B68/100+Z90* Base!$B69/100</f>
        <v>2003.8299119528676</v>
      </c>
      <c r="AB89" s="23">
        <f>AA87* Base!$B67/100+AA89* Base!$B68/100+AA90* Base!$B69/100</f>
        <v>2009.7395946735523</v>
      </c>
      <c r="AC89" s="23">
        <f>AB87* Base!$B67/100+AB89* Base!$B68/100+AB90* Base!$B69/100</f>
        <v>2014.7464213250573</v>
      </c>
      <c r="AD89" s="23">
        <f>AC87* Base!$B67/100+AC89* Base!$B68/100+AC90* Base!$B69/100</f>
        <v>2018.9653190747886</v>
      </c>
      <c r="AE89" s="23">
        <f>AD87* Base!$B67/100+AD89* Base!$B68/100+AD90* Base!$B69/100</f>
        <v>2022.4966353645211</v>
      </c>
      <c r="AF89" s="23">
        <f>AE87* Base!$B67/100+AE89* Base!$B68/100+AE90* Base!$B69/100</f>
        <v>2025.4279853610853</v>
      </c>
      <c r="AG89" s="23">
        <f>AF87* Base!$B67/100+AF89* Base!$B68/100+AF90* Base!$B69/100</f>
        <v>2027.8358657228439</v>
      </c>
      <c r="AH89" s="23">
        <f>AG87* Base!$B67/100+AG89* Base!$B68/100+AG90* Base!$B69/100</f>
        <v>2029.7870641578625</v>
      </c>
      <c r="AI89" s="23">
        <f>AH87* Base!$B67/100+AH89* Base!$B68/100+AH90* Base!$B69/100</f>
        <v>2031.3398905483689</v>
      </c>
      <c r="AJ89" s="23">
        <f>AI87* Base!$B67/100+AI89* Base!$B68/100+AI90* Base!$B69/100</f>
        <v>2032.5452521761922</v>
      </c>
      <c r="AK89" s="23">
        <f>AJ87* Base!$B67/100+AJ89* Base!$B68/100+AJ90* Base!$B69/100</f>
        <v>2033.4475927485682</v>
      </c>
      <c r="AL89" s="23">
        <f>AK87* Base!$B67/100+AK89* Base!$B68/100+AK90* Base!$B69/100</f>
        <v>2034.0857124429783</v>
      </c>
      <c r="AM89" s="23">
        <f>AL87* Base!$B67/100+AL89* Base!$B68/100+AL90* Base!$B69/100</f>
        <v>2034.4934840196588</v>
      </c>
      <c r="AN89" s="23">
        <f>AM87* Base!$B67/100+AM89* Base!$B68/100+AM90* Base!$B69/100</f>
        <v>2034.7004781525029</v>
      </c>
      <c r="AO89" s="23">
        <f>AN87* Base!$B67/100+AN89* Base!$B68/100+AN90* Base!$B69/100</f>
        <v>2034.7325094694404</v>
      </c>
      <c r="AP89" s="23">
        <f>AO87* Base!$B67/100+AO89* Base!$B68/100+AO90* Base!$B69/100</f>
        <v>2034.6121133423078</v>
      </c>
      <c r="AQ89" s="23">
        <f>AP87* Base!$B67/100+AP89* Base!$B68/100+AP90* Base!$B69/100</f>
        <v>2034.3589621977089</v>
      </c>
      <c r="AR89" s="23">
        <f>AQ87* Base!$B67/100+AQ89* Base!$B68/100+AQ90* Base!$B69/100</f>
        <v>2033.9902290115433</v>
      </c>
      <c r="AS89" s="23">
        <f>AR87* Base!$B67/100+AR89* Base!$B68/100+AR90* Base!$B69/100</f>
        <v>2033.5209046808084</v>
      </c>
      <c r="AT89" s="23">
        <f>AS87* Base!$B67/100+AS89* Base!$B68/100+AS90* Base!$B69/100</f>
        <v>2032.9640751193824</v>
      </c>
      <c r="AU89" s="23">
        <f>AT87* Base!$B67/100+AT89* Base!$B68/100+AT90* Base!$B69/100</f>
        <v>2032.331163184484</v>
      </c>
      <c r="AV89" s="23">
        <f>AU87* Base!$B67/100+AU89* Base!$B68/100+AU90* Base!$B69/100</f>
        <v>2031.632139893919</v>
      </c>
      <c r="AW89" s="23">
        <f>AV87* Base!$B67/100+AV89* Base!$B68/100+AV90* Base!$B69/100</f>
        <v>2030.8757088293246</v>
      </c>
      <c r="AX89" s="23">
        <f>AW87* Base!$B67/100+AW89* Base!$B68/100+AW90* Base!$B69/100</f>
        <v>2030.0694671271285</v>
      </c>
      <c r="AY89" s="23">
        <f>AX87* Base!$B67/100+AX89* Base!$B68/100+AX90* Base!$B69/100</f>
        <v>2029.2200460278523</v>
      </c>
      <c r="AZ89" s="23">
        <f>AY87* Base!$B67/100+AY89* Base!$B68/100+AY90* Base!$B69/100</f>
        <v>2028.3332335778312</v>
      </c>
      <c r="BA89" s="23">
        <f>AZ87* Base!$B67/100+AZ89* Base!$B68/100+AZ90* Base!$B69/100</f>
        <v>2027.4140817485318</v>
      </c>
      <c r="BB89" s="23">
        <f>BA87* Base!$B67/100+BA89* Base!$B68/100+BA90* Base!$B69/100</f>
        <v>2026.4669999513935</v>
      </c>
      <c r="BC89" s="23">
        <f>BB87* Base!$B67/100+BB89* Base!$B68/100+BB90* Base!$B69/100</f>
        <v>2025.495836675243</v>
      </c>
      <c r="BD89" s="23">
        <f>BC87* Base!$B67/100+BC89* Base!$B68/100+BC90* Base!$B69/100</f>
        <v>2024.5039507542415</v>
      </c>
      <c r="BE89" s="23">
        <f>BD87* Base!$B67/100+BD89* Base!$B68/100+BD90* Base!$B69/100</f>
        <v>2023.4942735829939</v>
      </c>
      <c r="BF89" s="23">
        <f>BE87* Base!$B67/100+BE89* Base!$B68/100+BE90* Base!$B69/100</f>
        <v>2022.4693634283697</v>
      </c>
      <c r="BG89" s="23">
        <f>BF87* Base!$B67/100+BF89* Base!$B68/100+BF90* Base!$B69/100</f>
        <v>2021.4314528416928</v>
      </c>
      <c r="BH89" s="23">
        <f>BG87* Base!$B67/100+BG89* Base!$B68/100+BG90* Base!$B69/100</f>
        <v>2020.3824900475661</v>
      </c>
      <c r="BI89" s="23">
        <f>BH87* Base!$B67/100+BH89* Base!$B68/100+BH90* Base!$B69/100</f>
        <v>2019.3241750743493</v>
      </c>
    </row>
    <row r="90" spans="1:61" s="23" customFormat="1" x14ac:dyDescent="0.3">
      <c r="A90" s="15" t="s">
        <v>2</v>
      </c>
      <c r="B90" s="23">
        <f xml:space="preserve"> Base!B63</f>
        <v>10010</v>
      </c>
      <c r="C90" s="23">
        <f>( Base!$B70/100)*B89+( Base!$B71/100)*B90</f>
        <v>10010.439124999999</v>
      </c>
      <c r="D90" s="23">
        <f>( Base!$B70/100)*C89+( Base!$B71/100)*C90</f>
        <v>10010.910860149479</v>
      </c>
      <c r="E90" s="23">
        <f>( Base!$B70/100)*D89+( Base!$B71/100)*D90</f>
        <v>10011.420299610783</v>
      </c>
      <c r="F90" s="23">
        <f>( Base!$B70/100)*E89+( Base!$B71/100)*E90</f>
        <v>10011.970980732407</v>
      </c>
      <c r="G90" s="23">
        <f>( Base!$B70/100)*F89+( Base!$B71/100)*F90</f>
        <v>10012.566552178772</v>
      </c>
      <c r="H90" s="23">
        <f>( Base!$B70/100)*G89+( Base!$B71/100)*G90</f>
        <v>10013.21069361477</v>
      </c>
      <c r="I90" s="23">
        <f>( Base!$B70/100)*H89+( Base!$B71/100)*H90</f>
        <v>10013.907018643424</v>
      </c>
      <c r="J90" s="23">
        <f>( Base!$B70/100)*I89+( Base!$B71/100)*I90</f>
        <v>10014.658965945491</v>
      </c>
      <c r="K90" s="23">
        <f>( Base!$B70/100)*J89+( Base!$B71/100)*J90</f>
        <v>10015.46968292999</v>
      </c>
      <c r="L90" s="23">
        <f>( Base!$B70/100)*K89+( Base!$B71/100)*K90</f>
        <v>10016.341905615196</v>
      </c>
      <c r="M90" s="23">
        <f>( Base!$B70/100)*L89+( Base!$B71/100)*L90</f>
        <v>10017.277837926185</v>
      </c>
      <c r="N90" s="23">
        <f>( Base!$B70/100)*M89+( Base!$B71/100)*M90</f>
        <v>10018.279033108252</v>
      </c>
      <c r="O90" s="23">
        <f>( Base!$B70/100)*N89+( Base!$B71/100)*N90</f>
        <v>10019.346279504554</v>
      </c>
      <c r="P90" s="23">
        <f>( Base!$B70/100)*O89+( Base!$B71/100)*O90</f>
        <v>10020.479492516495</v>
      </c>
      <c r="Q90" s="23">
        <f>( Base!$B70/100)*P89+( Base!$B71/100)*P90</f>
        <v>10021.677614141057</v>
      </c>
      <c r="R90" s="23">
        <f>( Base!$B70/100)*Q89+( Base!$B71/100)*Q90</f>
        <v>10022.938521044871</v>
      </c>
      <c r="S90" s="23">
        <f>( Base!$B70/100)*R89+( Base!$B71/100)*R90</f>
        <v>10024.258941675747</v>
      </c>
      <c r="T90" s="23">
        <f>( Base!$B70/100)*S89+( Base!$B71/100)*S90</f>
        <v>10025.634382405668</v>
      </c>
      <c r="U90" s="23">
        <f>( Base!$B70/100)*T89+( Base!$B71/100)*T90</f>
        <v>10027.059062124732</v>
      </c>
      <c r="V90" s="23">
        <f>( Base!$B70/100)*U89+( Base!$B71/100)*U90</f>
        <v>10028.526269973583</v>
      </c>
      <c r="W90" s="23">
        <f>( Base!$B70/100)*V89+( Base!$B71/100)*V90</f>
        <v>10030.030146897738</v>
      </c>
      <c r="X90" s="23">
        <f>( Base!$B70/100)*W89+( Base!$B71/100)*W90</f>
        <v>10031.565577801677</v>
      </c>
      <c r="Y90" s="23">
        <f>( Base!$B70/100)*X89+( Base!$B71/100)*X90</f>
        <v>10033.128097326056</v>
      </c>
      <c r="Z90" s="23">
        <f>( Base!$B70/100)*Y89+( Base!$B71/100)*Y90</f>
        <v>10034.713807533359</v>
      </c>
      <c r="AA90" s="23">
        <f>( Base!$B70/100)*Z89+( Base!$B71/100)*Z90</f>
        <v>10036.319306001895</v>
      </c>
      <c r="AB90" s="23">
        <f>( Base!$B70/100)*AA89+( Base!$B71/100)*AA90</f>
        <v>10037.941623016002</v>
      </c>
      <c r="AC90" s="23">
        <f>( Base!$B70/100)*AB89+( Base!$B71/100)*AB90</f>
        <v>10039.57816670492</v>
      </c>
      <c r="AD90" s="23">
        <f>( Base!$B70/100)*AC89+( Base!$B71/100)*AC90</f>
        <v>10041.226675126969</v>
      </c>
      <c r="AE90" s="23">
        <f>( Base!$B70/100)*AD89+( Base!$B71/100)*AD90</f>
        <v>10042.885174421801</v>
      </c>
      <c r="AF90" s="23">
        <f>( Base!$B70/100)*AE89+( Base!$B71/100)*AE90</f>
        <v>10044.551942263844</v>
      </c>
      <c r="AG90" s="23">
        <f>( Base!$B70/100)*AF89+( Base!$B71/100)*AF90</f>
        <v>10046.225475946732</v>
      </c>
      <c r="AH90" s="23">
        <f>( Base!$B70/100)*AG89+( Base!$B71/100)*AG90</f>
        <v>10047.904464512907</v>
      </c>
      <c r="AI90" s="23">
        <f>( Base!$B70/100)*AH89+( Base!$B71/100)*AH90</f>
        <v>10049.58776441653</v>
      </c>
      <c r="AJ90" s="23">
        <f>( Base!$B70/100)*AI89+( Base!$B71/100)*AI90</f>
        <v>10051.27437827241</v>
      </c>
      <c r="AK90" s="23">
        <f>( Base!$B70/100)*AJ89+( Base!$B71/100)*AJ90</f>
        <v>10052.963436300184</v>
      </c>
      <c r="AL90" s="23">
        <f>( Base!$B70/100)*AK89+( Base!$B71/100)*AK90</f>
        <v>10054.654180122305</v>
      </c>
      <c r="AM90" s="23">
        <f>( Base!$B70/100)*AL89+( Base!$B71/100)*AL90</f>
        <v>10056.345948617622</v>
      </c>
      <c r="AN90" s="23">
        <f>( Base!$B70/100)*AM89+( Base!$B71/100)*AM90</f>
        <v>10058.038165570013</v>
      </c>
      <c r="AO90" s="23">
        <f>( Base!$B70/100)*AN89+( Base!$B71/100)*AN90</f>
        <v>10059.730328884516</v>
      </c>
      <c r="AP90" s="23">
        <f>( Base!$B70/100)*AO89+( Base!$B71/100)*AO90</f>
        <v>10061.42200117219</v>
      </c>
      <c r="AQ90" s="23">
        <f>( Base!$B70/100)*AP89+( Base!$B71/100)*AP90</f>
        <v>10063.112801530149</v>
      </c>
      <c r="AR90" s="23">
        <f>( Base!$B70/100)*AQ89+( Base!$B71/100)*AQ90</f>
        <v>10064.802398365127</v>
      </c>
      <c r="AS90" s="23">
        <f>( Base!$B70/100)*AR89+( Base!$B71/100)*AR90</f>
        <v>10066.490503128207</v>
      </c>
      <c r="AT90" s="23">
        <f>( Base!$B70/100)*AS89+( Base!$B71/100)*AS90</f>
        <v>10068.176864845103</v>
      </c>
      <c r="AU90" s="23">
        <f>( Base!$B70/100)*AT89+( Base!$B71/100)*AT90</f>
        <v>10069.861265341016</v>
      </c>
      <c r="AV90" s="23">
        <f>( Base!$B70/100)*AU89+( Base!$B71/100)*AU90</f>
        <v>10071.543515071926</v>
      </c>
      <c r="AW90" s="23">
        <f>( Base!$B70/100)*AV89+( Base!$B71/100)*AV90</f>
        <v>10073.223449485324</v>
      </c>
      <c r="AX90" s="23">
        <f>( Base!$B70/100)*AW89+( Base!$B71/100)*AW90</f>
        <v>10074.900925843196</v>
      </c>
      <c r="AY90" s="23">
        <f>( Base!$B70/100)*AX89+( Base!$B71/100)*AX90</f>
        <v>10076.575820448541</v>
      </c>
      <c r="AZ90" s="23">
        <f>( Base!$B70/100)*AY89+( Base!$B71/100)*AY90</f>
        <v>10078.24802622421</v>
      </c>
      <c r="BA90" s="23">
        <f>( Base!$B70/100)*AZ89+( Base!$B71/100)*AZ90</f>
        <v>10079.917450599303</v>
      </c>
      <c r="BB90" s="23">
        <f>( Base!$B70/100)*BA89+( Base!$B71/100)*BA90</f>
        <v>10081.584013664096</v>
      </c>
      <c r="BC90" s="23">
        <f>( Base!$B70/100)*BB89+( Base!$B71/100)*BB90</f>
        <v>10083.247646559365</v>
      </c>
      <c r="BD90" s="23">
        <f>( Base!$B70/100)*BC89+( Base!$B71/100)*BC90</f>
        <v>10084.908290070338</v>
      </c>
      <c r="BE90" s="23">
        <f>( Base!$B70/100)*BD89+( Base!$B71/100)*BD90</f>
        <v>10086.565893399325</v>
      </c>
      <c r="BF90" s="23">
        <f>( Base!$B70/100)*BE89+( Base!$B71/100)*BE90</f>
        <v>10088.220413094261</v>
      </c>
      <c r="BG90" s="23">
        <f>( Base!$B70/100)*BF89+( Base!$B71/100)*BF90</f>
        <v>10089.871812113413</v>
      </c>
      <c r="BH90" s="23">
        <f>( Base!$B70/100)*BG89+( Base!$B71/100)*BG90</f>
        <v>10091.520059008928</v>
      </c>
      <c r="BI90" s="23">
        <f>( Base!$B70/100)*BH89+( Base!$B71/100)*BH90</f>
        <v>10093.165127214132</v>
      </c>
    </row>
    <row r="91" spans="1:61" s="23" customFormat="1" ht="39.5" thickBot="1" x14ac:dyDescent="0.35">
      <c r="A91" s="84" t="s">
        <v>234</v>
      </c>
    </row>
    <row r="92" spans="1:61" s="23" customFormat="1" ht="15" thickTop="1" x14ac:dyDescent="0.3">
      <c r="A92" s="15" t="s">
        <v>6</v>
      </c>
      <c r="B92" s="23">
        <f>+Base!B92</f>
        <v>90</v>
      </c>
      <c r="C92" s="23">
        <f>+Parameters!C89+B114*5/3.666+B92</f>
        <v>130.72558013662535</v>
      </c>
      <c r="D92" s="23">
        <f>+Parameters!D89+C114*5/3.666+C92</f>
        <v>167.82454799399827</v>
      </c>
      <c r="E92" s="23">
        <f>+Parameters!E89+D114*5/3.666+D92</f>
        <v>207.88735662899984</v>
      </c>
      <c r="F92" s="23">
        <f>+Parameters!F89+E114*5/3.666+E92</f>
        <v>250.55131446203774</v>
      </c>
      <c r="G92" s="23">
        <f>+Parameters!G89+F114*5/3.666+F92</f>
        <v>295.34402579382368</v>
      </c>
      <c r="H92" s="23">
        <f>+Parameters!H89+G114*5/3.666+G92</f>
        <v>341.69326920882997</v>
      </c>
      <c r="I92" s="23">
        <f>+Parameters!I89+H114*5/3.666+H92</f>
        <v>388.93739061695283</v>
      </c>
      <c r="J92" s="23">
        <f>+Parameters!J89+I114*5/3.666+I92</f>
        <v>436.33596307016762</v>
      </c>
      <c r="K92" s="23">
        <f>+Parameters!K89+J114*5/3.666+J92</f>
        <v>483.08054061078627</v>
      </c>
      <c r="L92" s="23">
        <f>+Parameters!L89+K114*5/3.666+K92</f>
        <v>528.30534099408101</v>
      </c>
      <c r="M92" s="23">
        <f>+Parameters!M89+L114*5/3.666+L92</f>
        <v>571.09768275298052</v>
      </c>
      <c r="N92" s="23">
        <f>+Parameters!N89+M114*5/3.666+M92</f>
        <v>610.50796743189255</v>
      </c>
      <c r="O92" s="23">
        <f>+Parameters!O89+N114*5/3.666+N92</f>
        <v>645.55894669011525</v>
      </c>
      <c r="P92" s="23">
        <f>+Parameters!P89+O114*5/3.666+O92</f>
        <v>675.25395371648335</v>
      </c>
      <c r="Q92" s="23">
        <f>+Parameters!Q89+P114*5/3.666+P92</f>
        <v>698.58371054399834</v>
      </c>
      <c r="R92" s="23">
        <f>+Parameters!R89+Q114*5/3.666+Q92</f>
        <v>714.53120855654913</v>
      </c>
      <c r="S92" s="23">
        <f>+Parameters!S89+R114*5/3.666+R92</f>
        <v>722.07404244986037</v>
      </c>
      <c r="T92" s="23">
        <f>+Parameters!T89+S114*5/3.666+S92</f>
        <v>722.07404244986049</v>
      </c>
      <c r="U92" s="23">
        <f>+Parameters!U89+T114*5/3.666+T92</f>
        <v>722.0740424498606</v>
      </c>
      <c r="V92" s="23">
        <f>+Parameters!V89+U114*5/3.666+U92</f>
        <v>722.0740424498606</v>
      </c>
      <c r="W92" s="23">
        <f>+Parameters!W89+V114*5/3.666+V92</f>
        <v>722.07404244986071</v>
      </c>
      <c r="X92" s="23">
        <f>+Parameters!X89+W114*5/3.666+W92</f>
        <v>722.07404244986071</v>
      </c>
      <c r="Y92" s="23">
        <f>+Parameters!Y89+X114*5/3.666+X92</f>
        <v>722.07404244986071</v>
      </c>
      <c r="Z92" s="23">
        <f>+Parameters!Z89+Y114*5/3.666+Y92</f>
        <v>722.07404244986071</v>
      </c>
      <c r="AA92" s="23">
        <f>+Parameters!AA89+Z114*5/3.666+Z92</f>
        <v>722.07404244986083</v>
      </c>
      <c r="AB92" s="23">
        <f>+Parameters!AB89+AA114*5/3.666+AA92</f>
        <v>722.07404244986083</v>
      </c>
      <c r="AC92" s="23">
        <f>+Parameters!AC89+AB114*5/3.666+AB92</f>
        <v>722.07404244986083</v>
      </c>
      <c r="AD92" s="23">
        <f>+Parameters!AD89+AC114*5/3.666+AC92</f>
        <v>722.07404244986094</v>
      </c>
      <c r="AE92" s="23">
        <f>+Parameters!AE89+AD114*5/3.666+AD92</f>
        <v>722.07404244986094</v>
      </c>
      <c r="AF92" s="23">
        <f>+Parameters!AF89+AE114*5/3.666+AE92</f>
        <v>722.07404244986094</v>
      </c>
      <c r="AG92" s="23">
        <f>+Parameters!AG89+AF114*5/3.666+AF92</f>
        <v>722.07404244986094</v>
      </c>
      <c r="AH92" s="23">
        <f>+Parameters!AH89+AG114*5/3.666+AG92</f>
        <v>722.07404244986094</v>
      </c>
      <c r="AI92" s="23">
        <f>+Parameters!AI89+AH114*5/3.666+AH92</f>
        <v>722.07404244986094</v>
      </c>
      <c r="AJ92" s="23">
        <f>+Parameters!AJ89+AI114*5/3.666+AI92</f>
        <v>722.07404244986094</v>
      </c>
      <c r="AK92" s="23">
        <f>+Parameters!AK89+AJ114*5/3.666+AJ92</f>
        <v>722.07404244986094</v>
      </c>
      <c r="AL92" s="23">
        <f>+Parameters!AL89+AK114*5/3.666+AK92</f>
        <v>722.07404244986094</v>
      </c>
      <c r="AM92" s="23">
        <f>+Parameters!AM89+AL114*5/3.666+AL92</f>
        <v>722.07404244986094</v>
      </c>
      <c r="AN92" s="23">
        <f>+Parameters!AN89+AM114*5/3.666+AM92</f>
        <v>722.07404244986094</v>
      </c>
      <c r="AO92" s="23">
        <f>+Parameters!AO89+AN114*5/3.666+AN92</f>
        <v>722.07404244986094</v>
      </c>
      <c r="AP92" s="23">
        <f>+Parameters!AP89+AO114*5/3.666+AO92</f>
        <v>722.07404244986094</v>
      </c>
      <c r="AQ92" s="23">
        <f>+Parameters!AQ89+AP114*5/3.666+AP92</f>
        <v>722.07404244986094</v>
      </c>
      <c r="AR92" s="23">
        <f>+Parameters!AR89+AQ114*5/3.666+AQ92</f>
        <v>722.07404244986094</v>
      </c>
      <c r="AS92" s="23">
        <f>+Parameters!AS89+AR114*5/3.666+AR92</f>
        <v>722.07404244986094</v>
      </c>
      <c r="AT92" s="23">
        <f>+Parameters!AT89+AS114*5/3.666+AS92</f>
        <v>722.07404244986094</v>
      </c>
      <c r="AU92" s="23">
        <f>+Parameters!AU89+AT114*5/3.666+AT92</f>
        <v>722.07404244986094</v>
      </c>
      <c r="AV92" s="23">
        <f>+Parameters!AV89+AU114*5/3.666+AU92</f>
        <v>722.07404244986094</v>
      </c>
      <c r="AW92" s="23">
        <f>+Parameters!AW89+AV114*5/3.666+AV92</f>
        <v>722.07404244986094</v>
      </c>
      <c r="AX92" s="23">
        <f>+Parameters!AX89+AW114*5/3.666+AW92</f>
        <v>722.07404244986094</v>
      </c>
      <c r="AY92" s="23">
        <f>+Parameters!AY89+AX114*5/3.666+AX92</f>
        <v>722.07404244986094</v>
      </c>
      <c r="AZ92" s="23">
        <f>+Parameters!AZ89+AY114*5/3.666+AY92</f>
        <v>722.07404244986094</v>
      </c>
      <c r="BA92" s="23">
        <f>+Parameters!BA89+AZ114*5/3.666+AZ92</f>
        <v>722.07404244986094</v>
      </c>
      <c r="BB92" s="23">
        <f>+Parameters!BB89+BA114*5/3.666+BA92</f>
        <v>722.07404244986094</v>
      </c>
      <c r="BC92" s="23">
        <f>+Parameters!BC89+BB114*5/3.666+BB92</f>
        <v>722.07404244986094</v>
      </c>
      <c r="BD92" s="23">
        <f>+Parameters!BD89+BC114*5/3.666+BC92</f>
        <v>722.07404244986094</v>
      </c>
      <c r="BE92" s="23">
        <f>+Parameters!BE89+BD114*5/3.666+BD92</f>
        <v>722.07404244986094</v>
      </c>
      <c r="BF92" s="23">
        <f>+Parameters!BF89+BE114*5/3.666+BE92</f>
        <v>722.07404244986094</v>
      </c>
      <c r="BG92" s="23">
        <f>+Parameters!BG89+BF114*5/3.666+BF92</f>
        <v>722.07404244986094</v>
      </c>
      <c r="BH92" s="23">
        <f>+Parameters!BH89+BG114*5/3.666+BG92</f>
        <v>722.07404244986094</v>
      </c>
      <c r="BI92" s="23">
        <f>+Parameters!BI89+BH114*5/3.666+BH92</f>
        <v>722.07404244986094</v>
      </c>
    </row>
    <row r="93" spans="1:61" s="23" customFormat="1" x14ac:dyDescent="0.3">
      <c r="A93" s="15" t="s">
        <v>7</v>
      </c>
      <c r="B93" s="23">
        <f>+B92/ Base!$B$57</f>
        <v>1.4999999999999999E-2</v>
      </c>
      <c r="C93" s="23">
        <f>+C92/ Base!$B$57</f>
        <v>2.1787596689437558E-2</v>
      </c>
      <c r="D93" s="23">
        <f>+D92/ Base!$B$57</f>
        <v>2.7970757998999712E-2</v>
      </c>
      <c r="E93" s="23">
        <f>+E92/ Base!$B$57</f>
        <v>3.4647892771499975E-2</v>
      </c>
      <c r="F93" s="23">
        <f>+F92/ Base!$B$57</f>
        <v>4.1758552410339621E-2</v>
      </c>
      <c r="G93" s="23">
        <f>+G92/ Base!$B$57</f>
        <v>4.9224004298970614E-2</v>
      </c>
      <c r="H93" s="23">
        <f>+H92/ Base!$B$57</f>
        <v>5.694887820147166E-2</v>
      </c>
      <c r="I93" s="23">
        <f>+I92/ Base!$B$57</f>
        <v>6.4822898436158807E-2</v>
      </c>
      <c r="J93" s="23">
        <f>+J92/ Base!$B$57</f>
        <v>7.2722660511694598E-2</v>
      </c>
      <c r="K93" s="23">
        <f>+K92/ Base!$B$57</f>
        <v>8.0513423435131043E-2</v>
      </c>
      <c r="L93" s="23">
        <f>+L92/ Base!$B$57</f>
        <v>8.8050890165680171E-2</v>
      </c>
      <c r="M93" s="23">
        <f>+M92/ Base!$B$57</f>
        <v>9.5182947125496756E-2</v>
      </c>
      <c r="N93" s="23">
        <f>+N92/ Base!$B$57</f>
        <v>0.10175132790531542</v>
      </c>
      <c r="O93" s="23">
        <f>+O92/ Base!$B$57</f>
        <v>0.10759315778168588</v>
      </c>
      <c r="P93" s="23">
        <f>+P92/ Base!$B$57</f>
        <v>0.11254232561941389</v>
      </c>
      <c r="Q93" s="23">
        <f>+Q92/ Base!$B$57</f>
        <v>0.11643061842399972</v>
      </c>
      <c r="R93" s="23">
        <f>+R92/ Base!$B$57</f>
        <v>0.11908853475942485</v>
      </c>
      <c r="S93" s="23">
        <f>+S92/ Base!$B$57</f>
        <v>0.1203456737416434</v>
      </c>
      <c r="T93" s="23">
        <f>+T92/ Base!$B$57</f>
        <v>0.12034567374164341</v>
      </c>
      <c r="U93" s="23">
        <f>+U92/ Base!$B$57</f>
        <v>0.12034567374164343</v>
      </c>
      <c r="V93" s="23">
        <f>+V92/ Base!$B$57</f>
        <v>0.12034567374164343</v>
      </c>
      <c r="W93" s="23">
        <f>+W92/ Base!$B$57</f>
        <v>0.12034567374164346</v>
      </c>
      <c r="X93" s="23">
        <f>+X92/ Base!$B$57</f>
        <v>0.12034567374164346</v>
      </c>
      <c r="Y93" s="23">
        <f>+Y92/ Base!$B$57</f>
        <v>0.12034567374164346</v>
      </c>
      <c r="Z93" s="23">
        <f>+Z92/ Base!$B$57</f>
        <v>0.12034567374164346</v>
      </c>
      <c r="AA93" s="23">
        <f>+AA92/ Base!$B$57</f>
        <v>0.12034567374164347</v>
      </c>
      <c r="AB93" s="23">
        <f>+AB92/ Base!$B$57</f>
        <v>0.12034567374164347</v>
      </c>
      <c r="AC93" s="23">
        <f>+AC92/ Base!$B$57</f>
        <v>0.12034567374164347</v>
      </c>
      <c r="AD93" s="23">
        <f>+AD92/ Base!$B$57</f>
        <v>0.1203456737416435</v>
      </c>
      <c r="AE93" s="23">
        <f>+AE92/ Base!$B$57</f>
        <v>0.1203456737416435</v>
      </c>
      <c r="AF93" s="23">
        <f>+AF92/ Base!$B$57</f>
        <v>0.1203456737416435</v>
      </c>
      <c r="AG93" s="23">
        <f>+AG92/ Base!$B$57</f>
        <v>0.1203456737416435</v>
      </c>
      <c r="AH93" s="23">
        <f>+AH92/ Base!$B$57</f>
        <v>0.1203456737416435</v>
      </c>
      <c r="AI93" s="23">
        <f>+AI92/ Base!$B$57</f>
        <v>0.1203456737416435</v>
      </c>
      <c r="AJ93" s="23">
        <f>+AJ92/ Base!$B$57</f>
        <v>0.1203456737416435</v>
      </c>
      <c r="AK93" s="23">
        <f>+AK92/ Base!$B$57</f>
        <v>0.1203456737416435</v>
      </c>
      <c r="AL93" s="23">
        <f>+AL92/ Base!$B$57</f>
        <v>0.1203456737416435</v>
      </c>
      <c r="AM93" s="23">
        <f>+AM92/ Base!$B$57</f>
        <v>0.1203456737416435</v>
      </c>
      <c r="AN93" s="23">
        <f>+AN92/ Base!$B$57</f>
        <v>0.1203456737416435</v>
      </c>
      <c r="AO93" s="23">
        <f>+AO92/ Base!$B$57</f>
        <v>0.1203456737416435</v>
      </c>
      <c r="AP93" s="23">
        <f>+AP92/ Base!$B$57</f>
        <v>0.1203456737416435</v>
      </c>
      <c r="AQ93" s="23">
        <f>+AQ92/ Base!$B$57</f>
        <v>0.1203456737416435</v>
      </c>
      <c r="AR93" s="23">
        <f>+AR92/ Base!$B$57</f>
        <v>0.1203456737416435</v>
      </c>
      <c r="AS93" s="23">
        <f>+AS92/ Base!$B$57</f>
        <v>0.1203456737416435</v>
      </c>
      <c r="AT93" s="23">
        <f>+AT92/ Base!$B$57</f>
        <v>0.1203456737416435</v>
      </c>
      <c r="AU93" s="23">
        <f>+AU92/ Base!$B$57</f>
        <v>0.1203456737416435</v>
      </c>
      <c r="AV93" s="23">
        <f>+AV92/ Base!$B$57</f>
        <v>0.1203456737416435</v>
      </c>
      <c r="AW93" s="23">
        <f>+AW92/ Base!$B$57</f>
        <v>0.1203456737416435</v>
      </c>
      <c r="AX93" s="23">
        <f>+AX92/ Base!$B$57</f>
        <v>0.1203456737416435</v>
      </c>
      <c r="AY93" s="23">
        <f>+AY92/ Base!$B$57</f>
        <v>0.1203456737416435</v>
      </c>
      <c r="AZ93" s="23">
        <f>+AZ92/ Base!$B$57</f>
        <v>0.1203456737416435</v>
      </c>
      <c r="BA93" s="23">
        <f>+BA92/ Base!$B$57</f>
        <v>0.1203456737416435</v>
      </c>
      <c r="BB93" s="23">
        <f>+BB92/ Base!$B$57</f>
        <v>0.1203456737416435</v>
      </c>
      <c r="BC93" s="23">
        <f>+BC92/ Base!$B$57</f>
        <v>0.1203456737416435</v>
      </c>
      <c r="BD93" s="23">
        <f>+BD92/ Base!$B$57</f>
        <v>0.1203456737416435</v>
      </c>
      <c r="BE93" s="23">
        <f>+BE92/ Base!$B$57</f>
        <v>0.1203456737416435</v>
      </c>
      <c r="BF93" s="23">
        <f>+BF92/ Base!$B$57</f>
        <v>0.1203456737416435</v>
      </c>
      <c r="BG93" s="23">
        <f>+BG92/ Base!$B$57</f>
        <v>0.1203456737416435</v>
      </c>
      <c r="BH93" s="23">
        <f>+BH92/ Base!$B$57</f>
        <v>0.1203456737416435</v>
      </c>
      <c r="BI93" s="23">
        <f>+BI92/ Base!$B$57</f>
        <v>0.1203456737416435</v>
      </c>
    </row>
    <row r="94" spans="1:61" s="23" customFormat="1" x14ac:dyDescent="0.3">
      <c r="A94" s="15" t="s">
        <v>29</v>
      </c>
      <c r="B94" s="23">
        <f>+MAX(B93:BI93)</f>
        <v>0.1203456737416435</v>
      </c>
    </row>
    <row r="95" spans="1:61" s="23" customFormat="1" x14ac:dyDescent="0.3">
      <c r="A95" s="15" t="s">
        <v>109</v>
      </c>
      <c r="B95" s="23">
        <v>20</v>
      </c>
    </row>
    <row r="96" spans="1:61" s="23" customFormat="1" x14ac:dyDescent="0.3">
      <c r="A96" s="15" t="s">
        <v>101</v>
      </c>
      <c r="B96" s="23">
        <v>2.5</v>
      </c>
    </row>
    <row r="97" spans="1:309" s="65" customFormat="1" ht="23.4" customHeight="1" x14ac:dyDescent="0.35">
      <c r="A97" s="56" t="s">
        <v>254</v>
      </c>
      <c r="B97" s="64">
        <v>0</v>
      </c>
      <c r="C97" s="65">
        <f>+B97*(1+0.05)^5</f>
        <v>0</v>
      </c>
      <c r="D97" s="65">
        <f t="shared" ref="D97:I97" si="9">+C97*(1+0.05)^5</f>
        <v>0</v>
      </c>
      <c r="E97" s="65">
        <f t="shared" si="9"/>
        <v>0</v>
      </c>
      <c r="F97" s="65">
        <f t="shared" si="9"/>
        <v>0</v>
      </c>
      <c r="G97" s="65">
        <f t="shared" si="9"/>
        <v>0</v>
      </c>
      <c r="H97" s="65">
        <f t="shared" si="9"/>
        <v>0</v>
      </c>
      <c r="I97" s="65">
        <f t="shared" si="9"/>
        <v>0</v>
      </c>
      <c r="J97" s="65">
        <f>+I97*(1+0.04)^5</f>
        <v>0</v>
      </c>
      <c r="K97" s="65">
        <f t="shared" ref="K97:T97" si="10">+J97*(1+0.04)^5</f>
        <v>0</v>
      </c>
      <c r="L97" s="65">
        <f t="shared" si="10"/>
        <v>0</v>
      </c>
      <c r="M97" s="65">
        <f t="shared" si="10"/>
        <v>0</v>
      </c>
      <c r="N97" s="65">
        <f t="shared" si="10"/>
        <v>0</v>
      </c>
      <c r="O97" s="65">
        <f t="shared" si="10"/>
        <v>0</v>
      </c>
      <c r="P97" s="65">
        <f t="shared" si="10"/>
        <v>0</v>
      </c>
      <c r="Q97" s="65">
        <f t="shared" si="10"/>
        <v>0</v>
      </c>
      <c r="R97" s="65">
        <f t="shared" si="10"/>
        <v>0</v>
      </c>
      <c r="S97" s="65">
        <f t="shared" si="10"/>
        <v>0</v>
      </c>
      <c r="T97" s="65">
        <f t="shared" si="10"/>
        <v>0</v>
      </c>
      <c r="U97" s="65">
        <f>+T97*(1+0.03)^5</f>
        <v>0</v>
      </c>
      <c r="V97" s="65">
        <f t="shared" ref="V97:AN97" si="11">+U97*(1+0.03)^5</f>
        <v>0</v>
      </c>
      <c r="W97" s="65">
        <f t="shared" si="11"/>
        <v>0</v>
      </c>
      <c r="X97" s="65">
        <f t="shared" si="11"/>
        <v>0</v>
      </c>
      <c r="Y97" s="65">
        <f t="shared" si="11"/>
        <v>0</v>
      </c>
      <c r="Z97" s="65">
        <f t="shared" si="11"/>
        <v>0</v>
      </c>
      <c r="AA97" s="65">
        <f t="shared" si="11"/>
        <v>0</v>
      </c>
      <c r="AB97" s="65">
        <f t="shared" si="11"/>
        <v>0</v>
      </c>
      <c r="AC97" s="65">
        <f t="shared" si="11"/>
        <v>0</v>
      </c>
      <c r="AD97" s="65">
        <f t="shared" si="11"/>
        <v>0</v>
      </c>
      <c r="AE97" s="65">
        <f t="shared" si="11"/>
        <v>0</v>
      </c>
      <c r="AF97" s="65">
        <f t="shared" si="11"/>
        <v>0</v>
      </c>
      <c r="AG97" s="65">
        <f t="shared" si="11"/>
        <v>0</v>
      </c>
      <c r="AH97" s="65">
        <f t="shared" si="11"/>
        <v>0</v>
      </c>
      <c r="AI97" s="65">
        <f t="shared" si="11"/>
        <v>0</v>
      </c>
      <c r="AJ97" s="65">
        <f t="shared" si="11"/>
        <v>0</v>
      </c>
      <c r="AK97" s="65">
        <f t="shared" si="11"/>
        <v>0</v>
      </c>
      <c r="AL97" s="65">
        <f t="shared" si="11"/>
        <v>0</v>
      </c>
      <c r="AM97" s="65">
        <f t="shared" si="11"/>
        <v>0</v>
      </c>
      <c r="AN97" s="65">
        <f t="shared" si="11"/>
        <v>0</v>
      </c>
      <c r="AO97" s="65">
        <f>+AN97*(1+$B$16+$B$17)^5</f>
        <v>0</v>
      </c>
      <c r="AP97" s="65">
        <f t="shared" ref="AP97:BI97" si="12">+AO97*(1+$B$16+$B$17)^5</f>
        <v>0</v>
      </c>
      <c r="AQ97" s="65">
        <f t="shared" si="12"/>
        <v>0</v>
      </c>
      <c r="AR97" s="65">
        <f t="shared" si="12"/>
        <v>0</v>
      </c>
      <c r="AS97" s="65">
        <f t="shared" si="12"/>
        <v>0</v>
      </c>
      <c r="AT97" s="65">
        <f t="shared" si="12"/>
        <v>0</v>
      </c>
      <c r="AU97" s="65">
        <f t="shared" si="12"/>
        <v>0</v>
      </c>
      <c r="AV97" s="65">
        <f t="shared" si="12"/>
        <v>0</v>
      </c>
      <c r="AW97" s="65">
        <f t="shared" si="12"/>
        <v>0</v>
      </c>
      <c r="AX97" s="65">
        <f t="shared" si="12"/>
        <v>0</v>
      </c>
      <c r="AY97" s="65">
        <f t="shared" si="12"/>
        <v>0</v>
      </c>
      <c r="AZ97" s="65">
        <f t="shared" si="12"/>
        <v>0</v>
      </c>
      <c r="BA97" s="65">
        <f t="shared" si="12"/>
        <v>0</v>
      </c>
      <c r="BB97" s="65">
        <f t="shared" si="12"/>
        <v>0</v>
      </c>
      <c r="BC97" s="65">
        <f t="shared" si="12"/>
        <v>0</v>
      </c>
      <c r="BD97" s="65">
        <f t="shared" si="12"/>
        <v>0</v>
      </c>
      <c r="BE97" s="65">
        <f t="shared" si="12"/>
        <v>0</v>
      </c>
      <c r="BF97" s="65">
        <f t="shared" si="12"/>
        <v>0</v>
      </c>
      <c r="BG97" s="65">
        <f t="shared" si="12"/>
        <v>0</v>
      </c>
      <c r="BH97" s="65">
        <f t="shared" si="12"/>
        <v>0</v>
      </c>
      <c r="BI97" s="65">
        <f t="shared" si="12"/>
        <v>0</v>
      </c>
      <c r="DS97" s="60"/>
      <c r="DT97" s="60"/>
      <c r="DU97" s="60"/>
      <c r="DV97" s="60"/>
      <c r="DW97" s="60"/>
      <c r="DX97" s="60"/>
      <c r="DY97" s="60"/>
      <c r="DZ97" s="60"/>
      <c r="EA97" s="60"/>
      <c r="EB97" s="60"/>
      <c r="EC97" s="60"/>
      <c r="ED97" s="60"/>
      <c r="EE97" s="60"/>
      <c r="EF97" s="60"/>
      <c r="EG97" s="60"/>
      <c r="EH97" s="60"/>
      <c r="EI97" s="60"/>
      <c r="EJ97" s="60"/>
      <c r="EK97" s="60"/>
      <c r="EL97" s="60"/>
      <c r="EM97" s="60"/>
      <c r="EN97" s="60"/>
      <c r="EO97" s="60"/>
      <c r="EP97" s="60"/>
      <c r="EQ97" s="60"/>
      <c r="ER97" s="60"/>
      <c r="ES97" s="60"/>
      <c r="ET97" s="60"/>
      <c r="EU97" s="60"/>
      <c r="EV97" s="60"/>
      <c r="EW97" s="60"/>
      <c r="EX97" s="60"/>
      <c r="EY97" s="60"/>
      <c r="EZ97" s="60"/>
      <c r="FA97" s="60"/>
      <c r="FB97" s="60"/>
      <c r="FC97" s="60"/>
      <c r="FD97" s="60"/>
      <c r="FE97" s="60"/>
      <c r="FF97" s="60"/>
      <c r="FG97" s="60"/>
      <c r="FH97" s="60"/>
      <c r="FI97" s="60"/>
      <c r="FJ97" s="60"/>
      <c r="FK97" s="60"/>
      <c r="FL97" s="60"/>
      <c r="FM97" s="60"/>
      <c r="FN97" s="60"/>
      <c r="FO97" s="60"/>
      <c r="FP97" s="60"/>
      <c r="FQ97" s="60"/>
      <c r="FR97" s="60"/>
      <c r="FS97" s="60"/>
      <c r="FT97" s="60"/>
      <c r="FU97" s="60"/>
      <c r="FV97" s="60"/>
      <c r="FW97" s="60"/>
      <c r="FX97" s="60"/>
      <c r="FY97" s="60"/>
      <c r="FZ97" s="60"/>
      <c r="GA97" s="60"/>
      <c r="GB97" s="60"/>
      <c r="GC97" s="60"/>
      <c r="GD97" s="60"/>
      <c r="GE97" s="60"/>
      <c r="GF97" s="60"/>
      <c r="GG97" s="60"/>
      <c r="GH97" s="60"/>
      <c r="GI97" s="60"/>
      <c r="GJ97" s="60"/>
      <c r="GK97" s="60"/>
      <c r="GL97" s="60"/>
      <c r="GM97" s="60"/>
      <c r="GN97" s="60"/>
      <c r="GO97" s="60"/>
      <c r="GP97" s="60"/>
      <c r="GQ97" s="60"/>
      <c r="GR97" s="60"/>
      <c r="GS97" s="60"/>
      <c r="GT97" s="60"/>
      <c r="GU97" s="60"/>
      <c r="GV97" s="60"/>
      <c r="GW97" s="60"/>
      <c r="GX97" s="60"/>
      <c r="GY97" s="60"/>
      <c r="GZ97" s="60"/>
      <c r="HA97" s="60"/>
      <c r="HB97" s="60"/>
      <c r="HC97" s="60"/>
      <c r="HD97" s="60"/>
      <c r="HE97" s="60"/>
      <c r="HF97" s="60"/>
      <c r="HG97" s="60"/>
      <c r="HH97" s="60"/>
      <c r="HI97" s="60"/>
      <c r="HJ97" s="60"/>
      <c r="HK97" s="60"/>
      <c r="HL97" s="60"/>
      <c r="HM97" s="60"/>
      <c r="HN97" s="60"/>
      <c r="HO97" s="60"/>
      <c r="HP97" s="60"/>
      <c r="HQ97" s="60"/>
      <c r="HR97" s="60"/>
      <c r="HS97" s="60"/>
      <c r="HT97" s="60"/>
      <c r="HU97" s="60"/>
      <c r="HV97" s="60"/>
      <c r="HW97" s="60"/>
      <c r="HX97" s="60"/>
      <c r="HY97" s="60"/>
      <c r="HZ97" s="60"/>
      <c r="IA97" s="60"/>
      <c r="IB97" s="60"/>
      <c r="IC97" s="60"/>
      <c r="ID97" s="60"/>
      <c r="IE97" s="60"/>
      <c r="IF97" s="60"/>
      <c r="IG97" s="60"/>
      <c r="IH97" s="60"/>
      <c r="II97" s="60"/>
      <c r="IJ97" s="60"/>
      <c r="IK97" s="60"/>
      <c r="IL97" s="60"/>
      <c r="IM97" s="60"/>
      <c r="IN97" s="60"/>
      <c r="IO97" s="60"/>
      <c r="IP97" s="60"/>
      <c r="IQ97" s="60"/>
      <c r="IR97" s="60"/>
      <c r="IS97" s="60"/>
      <c r="IT97" s="60"/>
      <c r="IU97" s="60"/>
      <c r="IV97" s="60"/>
      <c r="IW97" s="60"/>
      <c r="IX97" s="60"/>
      <c r="IY97" s="60"/>
      <c r="IZ97" s="60"/>
      <c r="JA97" s="60"/>
      <c r="JB97" s="60"/>
      <c r="JC97" s="60"/>
      <c r="JD97" s="60"/>
      <c r="JE97" s="60"/>
      <c r="JF97" s="60"/>
      <c r="JG97" s="60"/>
      <c r="JH97" s="60"/>
      <c r="JI97" s="60"/>
      <c r="JJ97" s="60"/>
      <c r="JK97" s="60"/>
      <c r="JL97" s="60"/>
      <c r="JM97" s="60"/>
      <c r="JN97" s="60"/>
      <c r="JO97" s="60"/>
      <c r="JP97" s="60"/>
      <c r="JQ97" s="60"/>
      <c r="JR97" s="60"/>
      <c r="JS97" s="60"/>
      <c r="JT97" s="60"/>
      <c r="JU97" s="60"/>
      <c r="JV97" s="60"/>
      <c r="JW97" s="60"/>
      <c r="JX97" s="60"/>
      <c r="JY97" s="60"/>
      <c r="JZ97" s="60"/>
      <c r="KA97" s="60"/>
      <c r="KB97" s="60"/>
      <c r="KC97" s="60"/>
      <c r="KD97" s="60"/>
      <c r="KE97" s="60"/>
      <c r="KF97" s="60"/>
      <c r="KG97" s="60"/>
      <c r="KH97" s="60"/>
      <c r="KI97" s="60"/>
      <c r="KJ97" s="60"/>
      <c r="KK97" s="60"/>
      <c r="KL97" s="60"/>
      <c r="KM97" s="60"/>
      <c r="KN97" s="60"/>
      <c r="KO97" s="60"/>
      <c r="KP97" s="60"/>
      <c r="KQ97" s="60"/>
      <c r="KR97" s="60"/>
      <c r="KS97" s="60"/>
      <c r="KT97" s="60"/>
      <c r="KU97" s="60"/>
      <c r="KV97" s="60"/>
      <c r="KW97" s="60"/>
    </row>
    <row r="98" spans="1:309" s="23" customFormat="1" ht="18" customHeight="1" x14ac:dyDescent="0.3">
      <c r="A98" s="85"/>
    </row>
    <row r="99" spans="1:309" s="23" customFormat="1" ht="18" customHeight="1" thickBot="1" x14ac:dyDescent="0.35">
      <c r="A99" s="84" t="s">
        <v>205</v>
      </c>
    </row>
    <row r="100" spans="1:309" s="23" customFormat="1" ht="18" customHeight="1" thickTop="1" x14ac:dyDescent="0.3">
      <c r="A100" s="15" t="s">
        <v>14</v>
      </c>
      <c r="B100" s="23">
        <f xml:space="preserve"> Base!B76</f>
        <v>0.83</v>
      </c>
      <c r="C100" s="67">
        <f>B100+Base!$B82*(C101-(Base!$B$80/Base!$B79)*B100-Base!$B83*(B100-B102))</f>
        <v>0.93327296425263717</v>
      </c>
      <c r="D100" s="67">
        <f>C100+Base!$B82*(D101-(Base!$B$80/Base!$B79)*C100-Base!$B83*(C100-C102))</f>
        <v>1.0419301004753847</v>
      </c>
      <c r="E100" s="67">
        <f>D100+Base!$B82*(E101-(Base!$B$80/Base!$B79)*D100-Base!$B83*(D100-D102))</f>
        <v>1.1556184422774696</v>
      </c>
      <c r="F100" s="67">
        <f>E100+Base!$B82*(F101-(Base!$B$80/Base!$B79)*E100-Base!$B83*(E100-E102))</f>
        <v>1.2737810889850272</v>
      </c>
      <c r="G100" s="67">
        <f>F100+Base!$B82*(G101-(Base!$B$80/Base!$B79)*F100-Base!$B83*(F100-F102))</f>
        <v>1.3956547189841411</v>
      </c>
      <c r="H100" s="67">
        <f>G100+Base!$B82*(H101-(Base!$B$80/Base!$B79)*G100-Base!$B83*(G100-G102))</f>
        <v>1.5202842248358819</v>
      </c>
      <c r="I100" s="67">
        <f>H100+Base!$B82*(I101-(Base!$B$80/Base!$B79)*H100-Base!$B83*(H100-H102))</f>
        <v>1.6465472445431821</v>
      </c>
      <c r="J100" s="67">
        <f>I100+Base!$B82*(J101-(Base!$B$80/Base!$B79)*I100-Base!$B83*(I100-I102))</f>
        <v>1.7731828243586834</v>
      </c>
      <c r="K100" s="67">
        <f>J100+Base!$B82*(K101-(Base!$B$80/Base!$B79)*J100-Base!$B83*(J100-J102))</f>
        <v>1.8988198919674757</v>
      </c>
      <c r="L100" s="67">
        <f>K100+Base!$B82*(L101-(Base!$B$80/Base!$B79)*K100-Base!$B83*(K100-K102))</f>
        <v>2.0220024774338388</v>
      </c>
      <c r="M100" s="67">
        <f>L100+Base!$B82*(M101-(Base!$B$80/Base!$B79)*L100-Base!$B83*(L100-L102))</f>
        <v>2.1412096151929325</v>
      </c>
      <c r="N100" s="67">
        <f>M100+Base!$B82*(N101-(Base!$B$80/Base!$B79)*M100-Base!$B83*(M100-M102))</f>
        <v>2.2548685545630023</v>
      </c>
      <c r="O100" s="67">
        <f>N100+Base!$B82*(O101-(Base!$B$80/Base!$B79)*N100-Base!$B83*(N100-N102))</f>
        <v>2.3613602932007365</v>
      </c>
      <c r="P100" s="67">
        <f>O100+Base!$B82*(P101-(Base!$B$80/Base!$B79)*O100-Base!$B83*(O100-O102))</f>
        <v>2.4590165328350166</v>
      </c>
      <c r="Q100" s="67">
        <f>P100+Base!$B82*(Q101-(Base!$B$80/Base!$B79)*P100-Base!$B83*(P100-P102))</f>
        <v>2.5461069312882225</v>
      </c>
      <c r="R100" s="67">
        <f>Q100+Base!$B82*(R101-(Base!$B$80/Base!$B79)*Q100-Base!$B83*(Q100-Q102))</f>
        <v>2.6208149246930739</v>
      </c>
      <c r="S100" s="67">
        <f>R100+Base!$B82*(S101-(Base!$B$80/Base!$B79)*R100-Base!$B83*(R100-R102))</f>
        <v>2.6811993135013066</v>
      </c>
      <c r="T100" s="67">
        <f>S100+Base!$B82*(T101-(Base!$B$80/Base!$B79)*S100-Base!$B83*(S100-S102))</f>
        <v>2.726165119749786</v>
      </c>
      <c r="U100" s="67">
        <f>T100+Base!$B82*(U101-(Base!$B$80/Base!$B79)*T100-Base!$B83*(T100-T102))</f>
        <v>2.7554413603101477</v>
      </c>
      <c r="V100" s="67">
        <f>U100+Base!$B82*(V101-(Base!$B$80/Base!$B79)*U100-Base!$B83*(U100-U102))</f>
        <v>2.7722096321961973</v>
      </c>
      <c r="W100" s="67">
        <f>V100+Base!$B82*(W101-(Base!$B$80/Base!$B79)*V100-Base!$B83*(V100-V102))</f>
        <v>2.7791172517525689</v>
      </c>
      <c r="X100" s="67">
        <f>W100+Base!$B82*(X101-(Base!$B$80/Base!$B79)*W100-Base!$B83*(W100-W102))</f>
        <v>2.7783565034308473</v>
      </c>
      <c r="Y100" s="67">
        <f>X100+Base!$B82*(Y101-(Base!$B$80/Base!$B79)*X100-Base!$B83*(X100-X102))</f>
        <v>2.7717334302075485</v>
      </c>
      <c r="Z100" s="67">
        <f>Y100+Base!$B82*(Z101-(Base!$B$80/Base!$B79)*Y100-Base!$B83*(Y100-Y102))</f>
        <v>2.7607273653644135</v>
      </c>
      <c r="AA100" s="67">
        <f>Z100+Base!$B82*(AA101-(Base!$B$80/Base!$B79)*Z100-Base!$B83*(Z100-Z102))</f>
        <v>2.7465422895965603</v>
      </c>
      <c r="AB100" s="67">
        <f>AA100+Base!$B82*(AB101-(Base!$B$80/Base!$B79)*AA100-Base!$B83*(AA100-AA102))</f>
        <v>2.7301509926956595</v>
      </c>
      <c r="AC100" s="67">
        <f>AB100+Base!$B82*(AC101-(Base!$B$80/Base!$B79)*AB100-Base!$B83*(AB100-AB102))</f>
        <v>2.7123329229242699</v>
      </c>
      <c r="AD100" s="67">
        <f>AC100+Base!$B82*(AD101-(Base!$B$80/Base!$B79)*AC100-Base!$B83*(AC100-AC102))</f>
        <v>2.6937065182038564</v>
      </c>
      <c r="AE100" s="67">
        <f>AD100+Base!$B82*(AE101-(Base!$B$80/Base!$B79)*AD100-Base!$B83*(AD100-AD102))</f>
        <v>2.674756730593165</v>
      </c>
      <c r="AF100" s="67">
        <f>AE100+Base!$B82*(AF101-(Base!$B$80/Base!$B79)*AE100-Base!$B83*(AE100-AE102))</f>
        <v>2.6558583788444685</v>
      </c>
      <c r="AG100" s="67">
        <f>AF100+Base!$B82*(AG101-(Base!$B$80/Base!$B79)*AF100-Base!$B83*(AF100-AF102))</f>
        <v>2.6372958929115926</v>
      </c>
      <c r="AH100" s="67">
        <f>AG100+Base!$B82*(AH101-(Base!$B$80/Base!$B79)*AG100-Base!$B83*(AG100-AG102))</f>
        <v>2.6192799490477716</v>
      </c>
      <c r="AI100" s="67">
        <f>AH100+Base!$B82*(AI101-(Base!$B$80/Base!$B79)*AH100-Base!$B83*(AH100-AH102))</f>
        <v>2.6019614344812219</v>
      </c>
      <c r="AJ100" s="67">
        <f>AI100+Base!$B82*(AJ101-(Base!$B$80/Base!$B79)*AI100-Base!$B83*(AI100-AI102))</f>
        <v>2.5854431264636673</v>
      </c>
      <c r="AK100" s="67">
        <f>AJ100+Base!$B82*(AK101-(Base!$B$80/Base!$B79)*AJ100-Base!$B83*(AJ100-AJ102))</f>
        <v>2.5697894215705808</v>
      </c>
      <c r="AL100" s="67">
        <f>AK100+Base!$B82*(AL101-(Base!$B$80/Base!$B79)*AK100-Base!$B83*(AK100-AK102))</f>
        <v>2.555034407255516</v>
      </c>
      <c r="AM100" s="67">
        <f>AL100+Base!$B82*(AM101-(Base!$B$80/Base!$B79)*AL100-Base!$B83*(AL100-AL102))</f>
        <v>2.5411885285413613</v>
      </c>
      <c r="AN100" s="67">
        <f>AM100+Base!$B82*(AN101-(Base!$B$80/Base!$B79)*AM100-Base!$B83*(AM100-AM102))</f>
        <v>2.5282440680498359</v>
      </c>
      <c r="AO100" s="67">
        <f>AN100+Base!$B82*(AO101-(Base!$B$80/Base!$B79)*AN100-Base!$B83*(AN100-AN102))</f>
        <v>2.5161796269857444</v>
      </c>
      <c r="AP100" s="67">
        <f>AO100+Base!$B82*(AP101-(Base!$B$80/Base!$B79)*AO100-Base!$B83*(AO100-AO102))</f>
        <v>2.504963767852725</v>
      </c>
      <c r="AQ100" s="67">
        <f>AP100+Base!$B82*(AQ101-(Base!$B$80/Base!$B79)*AP100-Base!$B83*(AP100-AP102))</f>
        <v>2.4945579562311138</v>
      </c>
      <c r="AR100" s="67">
        <f>AQ100+Base!$B82*(AR101-(Base!$B$80/Base!$B79)*AQ100-Base!$B83*(AQ100-AQ102))</f>
        <v>2.4849189185534675</v>
      </c>
      <c r="AS100" s="67">
        <f>AR100+Base!$B82*(AS101-(Base!$B$80/Base!$B79)*AR100-Base!$B83*(AR100-AR102))</f>
        <v>2.4760005151419859</v>
      </c>
      <c r="AT100" s="67">
        <f>AS100+Base!$B82*(AT101-(Base!$B$80/Base!$B79)*AS100-Base!$B83*(AS100-AS102))</f>
        <v>2.4677552125168494</v>
      </c>
      <c r="AU100" s="67">
        <f>AT100+Base!$B82*(AU101-(Base!$B$80/Base!$B79)*AT100-Base!$B83*(AT100-AT102))</f>
        <v>2.4601352258603368</v>
      </c>
      <c r="AV100" s="67">
        <f>AU100+Base!$B82*(AV101-(Base!$B$80/Base!$B79)*AU100-Base!$B83*(AU100-AU102))</f>
        <v>2.4530933912673736</v>
      </c>
      <c r="AW100" s="67">
        <f>AV100+Base!$B82*(AW101-(Base!$B$80/Base!$B79)*AV100-Base!$B83*(AV100-AV102))</f>
        <v>2.4465838177921584</v>
      </c>
      <c r="AX100" s="67">
        <f>AW100+Base!$B82*(AX101-(Base!$B$80/Base!$B79)*AW100-Base!$B83*(AW100-AW102))</f>
        <v>2.4405623610999538</v>
      </c>
      <c r="AY100" s="67">
        <f>AX100+Base!$B82*(AY101-(Base!$B$80/Base!$B79)*AX100-Base!$B83*(AX100-AX102))</f>
        <v>2.4349869535631319</v>
      </c>
      <c r="AZ100" s="67">
        <f>AY100+Base!$B82*(AZ101-(Base!$B$80/Base!$B79)*AY100-Base!$B83*(AY100-AY102))</f>
        <v>2.4298178197329285</v>
      </c>
      <c r="BA100" s="67">
        <f>AZ100+Base!$B82*(BA101-(Base!$B$80/Base!$B79)*AZ100-Base!$B83*(AZ100-AZ102))</f>
        <v>2.4250176011247646</v>
      </c>
      <c r="BB100" s="67">
        <f>BA100+Base!$B82*(BB101-(Base!$B$80/Base!$B79)*BA100-Base!$B83*(BA100-BA102))</f>
        <v>2.4205514100454999</v>
      </c>
      <c r="BC100" s="67">
        <f>BB100+Base!$B82*(BC101-(Base!$B$80/Base!$B79)*BB100-Base!$B83*(BB100-BB102))</f>
        <v>2.4163868286521279</v>
      </c>
      <c r="BD100" s="67">
        <f>BC100+Base!$B82*(BD101-(Base!$B$80/Base!$B79)*BC100-Base!$B83*(BC100-BC102))</f>
        <v>2.4124938664646196</v>
      </c>
      <c r="BE100" s="67">
        <f>BD100+Base!$B82*(BE101-(Base!$B$80/Base!$B79)*BD100-Base!$B83*(BD100-BD102))</f>
        <v>2.4088448870754848</v>
      </c>
      <c r="BF100" s="67">
        <f>BE100+Base!$B82*(BF101-(Base!$B$80/Base!$B79)*BE100-Base!$B83*(BE100-BE102))</f>
        <v>2.405414512731483</v>
      </c>
      <c r="BG100" s="67">
        <f>BF100+Base!$B82*(BG101-(Base!$B$80/Base!$B79)*BF100-Base!$B83*(BF100-BF102))</f>
        <v>2.4021795137453559</v>
      </c>
      <c r="BH100" s="67">
        <f>BG100+Base!$B82*(BH101-(Base!$B$80/Base!$B79)*BG100-Base!$B83*(BG100-BG102))</f>
        <v>2.3991186882731208</v>
      </c>
      <c r="BI100" s="67">
        <f>BH100+Base!$B82*(BI101-(Base!$B$80/Base!$B79)*BH100-Base!$B83*(BH100-BH102))</f>
        <v>2.3962127368187911</v>
      </c>
      <c r="BJ100" s="67"/>
      <c r="BK100" s="67"/>
      <c r="BL100" s="67"/>
      <c r="BM100" s="67"/>
      <c r="BN100" s="67"/>
      <c r="BO100" s="67"/>
      <c r="BP100" s="67"/>
      <c r="BQ100" s="67"/>
      <c r="BR100" s="67"/>
      <c r="BS100" s="67"/>
      <c r="BT100" s="67"/>
      <c r="BU100" s="67"/>
      <c r="BV100" s="67"/>
      <c r="BW100" s="67"/>
      <c r="BX100" s="67"/>
      <c r="BY100" s="67"/>
      <c r="BZ100" s="67"/>
      <c r="CA100" s="67"/>
      <c r="CB100" s="67"/>
      <c r="CC100" s="67"/>
      <c r="CD100" s="67"/>
      <c r="CE100" s="67"/>
      <c r="CF100" s="67"/>
      <c r="CG100" s="67"/>
      <c r="CH100" s="67"/>
      <c r="CI100" s="67"/>
      <c r="CJ100" s="67"/>
      <c r="CK100" s="67"/>
      <c r="CL100" s="67"/>
      <c r="CM100" s="67"/>
      <c r="CN100" s="67"/>
      <c r="CO100" s="67"/>
      <c r="CP100" s="67"/>
      <c r="CQ100" s="67"/>
      <c r="CR100" s="67"/>
      <c r="CS100" s="67"/>
      <c r="CT100" s="67"/>
      <c r="CU100" s="67"/>
      <c r="CV100" s="67"/>
      <c r="CW100" s="67"/>
      <c r="CX100" s="67"/>
      <c r="CY100" s="67"/>
      <c r="CZ100" s="67"/>
      <c r="DA100" s="67"/>
      <c r="DB100" s="67"/>
      <c r="DC100" s="67"/>
      <c r="DD100" s="67"/>
      <c r="DE100" s="67"/>
      <c r="DF100" s="67"/>
      <c r="DG100" s="67"/>
      <c r="DH100" s="67"/>
      <c r="DI100" s="67"/>
      <c r="DJ100" s="67"/>
      <c r="DK100" s="67"/>
      <c r="DL100" s="67"/>
      <c r="DM100" s="67"/>
      <c r="DN100" s="67"/>
      <c r="DO100" s="67"/>
      <c r="DP100" s="67"/>
      <c r="DQ100" s="67"/>
      <c r="DR100" s="67"/>
      <c r="DS100" s="67"/>
      <c r="DT100" s="67"/>
      <c r="DU100" s="67"/>
      <c r="DV100" s="67"/>
      <c r="DW100" s="67"/>
      <c r="DX100" s="67"/>
    </row>
    <row r="101" spans="1:309" s="23" customFormat="1" ht="18" customHeight="1" x14ac:dyDescent="0.3">
      <c r="A101" s="15" t="s">
        <v>87</v>
      </c>
      <c r="B101" s="68">
        <f>Base!$B$80*(LOG(B87/Parameters!$B$71))/LOG(2)+Base!B73</f>
        <v>1.8244793195909872</v>
      </c>
      <c r="C101" s="68">
        <f>Base!$B$80*(LOG(C87/Parameters!$B$71))/LOG(2)+Base!C73</f>
        <v>2.0510758716599731</v>
      </c>
      <c r="D101" s="68">
        <f>Base!$B$80*(LOG(D87/Parameters!$B$71))/LOG(2)+Base!D73</f>
        <v>2.2327603818921955</v>
      </c>
      <c r="E101" s="68">
        <f>Base!$B$80*(LOG(E87/Parameters!$B$71))/LOG(2)+Base!E73</f>
        <v>2.4177365713473526</v>
      </c>
      <c r="F101" s="68">
        <f>Base!$B$80*(LOG(F87/Parameters!$B$71))/LOG(2)+Base!F73</f>
        <v>2.6035860277605214</v>
      </c>
      <c r="G101" s="68">
        <f>Base!$B$80*(LOG(G87/Parameters!$B$71))/LOG(2)+Base!G73</f>
        <v>2.7876072694783152</v>
      </c>
      <c r="H101" s="68">
        <f>Base!$B$80*(LOG(H87/Parameters!$B$71))/LOG(2)+Base!H73</f>
        <v>2.9669776308325924</v>
      </c>
      <c r="I101" s="68">
        <f>Base!$B$80*(LOG(I87/Parameters!$B$71))/LOG(2)+Base!I73</f>
        <v>3.1388675040710239</v>
      </c>
      <c r="J101" s="68">
        <f>Base!$B$80*(LOG(J87/Parameters!$B$71))/LOG(2)+Base!J73</f>
        <v>3.3005117321930668</v>
      </c>
      <c r="K101" s="68">
        <f>Base!$B$80*(LOG(K87/Parameters!$B$71))/LOG(2)+Base!K73</f>
        <v>3.4492446585025811</v>
      </c>
      <c r="L101" s="68">
        <f>Base!$B$80*(LOG(L87/Parameters!$B$71))/LOG(2)+Base!L73</f>
        <v>3.5825054152173177</v>
      </c>
      <c r="M101" s="68">
        <f>Base!$B$80*(LOG(M87/Parameters!$B$71))/LOG(2)+Base!M73</f>
        <v>3.697819122847688</v>
      </c>
      <c r="N101" s="68">
        <f>Base!$B$80*(LOG(N87/Parameters!$B$71))/LOG(2)+Base!N73</f>
        <v>3.7927580480654348</v>
      </c>
      <c r="O101" s="68">
        <f>Base!$B$80*(LOG(O87/Parameters!$B$71))/LOG(2)+Base!O73</f>
        <v>3.8648847032497864</v>
      </c>
      <c r="P101" s="68">
        <f>Base!$B$80*(LOG(P87/Parameters!$B$71))/LOG(2)+Base!P73</f>
        <v>3.911676462961573</v>
      </c>
      <c r="Q101" s="68">
        <f>Base!$B$80*(LOG(Q87/Parameters!$B$71))/LOG(2)+Base!Q73</f>
        <v>3.9304283996087523</v>
      </c>
      <c r="R101" s="68">
        <f>Base!$B$80*(LOG(R87/Parameters!$B$71))/LOG(2)+Base!R73</f>
        <v>3.9181271510965958</v>
      </c>
      <c r="S101" s="68">
        <f>Base!$B$80*(LOG(S87/Parameters!$B$71))/LOG(2)+Base!S73</f>
        <v>3.8712832524152887</v>
      </c>
      <c r="T101" s="68">
        <f>Base!$B$80*(LOG(T87/Parameters!$B$71))/LOG(2)+Base!T73</f>
        <v>3.7955867786494464</v>
      </c>
      <c r="U101" s="68">
        <f>Base!$B$80*(LOG(U87/Parameters!$B$71))/LOG(2)+Base!U73</f>
        <v>3.697596979173623</v>
      </c>
      <c r="V101" s="68">
        <f>Base!$B$80*(LOG(V87/Parameters!$B$71))/LOG(2)+Base!V73</f>
        <v>3.6102005547879115</v>
      </c>
      <c r="W101" s="68">
        <f>Base!$B$80*(LOG(W87/Parameters!$B$71))/LOG(2)+Base!W73</f>
        <v>3.5323525069726278</v>
      </c>
      <c r="X101" s="68">
        <f>Base!$B$80*(LOG(X87/Parameters!$B$71))/LOG(2)+Base!X73</f>
        <v>3.4630805154484441</v>
      </c>
      <c r="Y101" s="68">
        <f>Base!$B$80*(LOG(Y87/Parameters!$B$71))/LOG(2)+Base!Y73</f>
        <v>3.4014868306275479</v>
      </c>
      <c r="Z101" s="68">
        <f>Base!$B$80*(LOG(Z87/Parameters!$B$71))/LOG(2)+Base!Z73</f>
        <v>3.3467481535609633</v>
      </c>
      <c r="AA101" s="68">
        <f>Base!$B$80*(LOG(AA87/Parameters!$B$71))/LOG(2)+Base!AA73</f>
        <v>3.2981139488219169</v>
      </c>
      <c r="AB101" s="68">
        <f>Base!$B$80*(LOG(AB87/Parameters!$B$71))/LOG(2)+Base!AB73</f>
        <v>3.2549035908952297</v>
      </c>
      <c r="AC101" s="68">
        <f>Base!$B$80*(LOG(AC87/Parameters!$B$71))/LOG(2)+Base!AC73</f>
        <v>3.2165026906384244</v>
      </c>
      <c r="AD101" s="68">
        <f>Base!$B$80*(LOG(AD87/Parameters!$B$71))/LOG(2)+Base!AD73</f>
        <v>3.1823588916928971</v>
      </c>
      <c r="AE101" s="68">
        <f>Base!$B$80*(LOG(AE87/Parameters!$B$71))/LOG(2)+Base!AE73</f>
        <v>3.1519773718262254</v>
      </c>
      <c r="AF101" s="68">
        <f>Base!$B$80*(LOG(AF87/Parameters!$B$71))/LOG(2)+Base!AF73</f>
        <v>3.1249162338819994</v>
      </c>
      <c r="AG101" s="68">
        <f>Base!$B$80*(LOG(AG87/Parameters!$B$71))/LOG(2)+Base!AG73</f>
        <v>3.1007819268007335</v>
      </c>
      <c r="AH101" s="68">
        <f>Base!$B$80*(LOG(AH87/Parameters!$B$71))/LOG(2)+Base!AH73</f>
        <v>3.0792247996061741</v>
      </c>
      <c r="AI101" s="68">
        <f>Base!$B$80*(LOG(AI87/Parameters!$B$71))/LOG(2)+Base!AI73</f>
        <v>3.0599348602373313</v>
      </c>
      <c r="AJ101" s="68">
        <f>Base!$B$80*(LOG(AJ87/Parameters!$B$71))/LOG(2)+Base!AJ73</f>
        <v>3.0426377861663463</v>
      </c>
      <c r="AK101" s="68">
        <f>Base!$B$80*(LOG(AK87/Parameters!$B$71))/LOG(2)+Base!AK73</f>
        <v>3.027091214183776</v>
      </c>
      <c r="AL101" s="68">
        <f>Base!$B$80*(LOG(AL87/Parameters!$B$71))/LOG(2)+Base!AL73</f>
        <v>3.0130813217827721</v>
      </c>
      <c r="AM101" s="68">
        <f>Base!$B$80*(LOG(AM87/Parameters!$B$71))/LOG(2)+Base!AM73</f>
        <v>3.0004197014613827</v>
      </c>
      <c r="AN101" s="68">
        <f>Base!$B$80*(LOG(AN87/Parameters!$B$71))/LOG(2)+Base!AN73</f>
        <v>2.9889405212708771</v>
      </c>
      <c r="AO101" s="68">
        <f>Base!$B$80*(LOG(AO87/Parameters!$B$71))/LOG(2)+Base!AO73</f>
        <v>2.978497959430404</v>
      </c>
      <c r="AP101" s="68">
        <f>Base!$B$80*(LOG(AP87/Parameters!$B$71))/LOG(2)+Base!AP73</f>
        <v>2.9689638972575287</v>
      </c>
      <c r="AQ101" s="68">
        <f>Base!$B$80*(LOG(AQ87/Parameters!$B$71))/LOG(2)+Base!AQ73</f>
        <v>2.9602258525730867</v>
      </c>
      <c r="AR101" s="68">
        <f>Base!$B$80*(LOG(AR87/Parameters!$B$71))/LOG(2)+Base!AR73</f>
        <v>2.952185134753377</v>
      </c>
      <c r="AS101" s="68">
        <f>Base!$B$80*(LOG(AS87/Parameters!$B$71))/LOG(2)+Base!AS73</f>
        <v>2.9447552024236971</v>
      </c>
      <c r="AT101" s="68">
        <f>Base!$B$80*(LOG(AT87/Parameters!$B$71))/LOG(2)+Base!AT73</f>
        <v>2.9378602051780249</v>
      </c>
      <c r="AU101" s="68">
        <f>Base!$B$80*(LOG(AU87/Parameters!$B$71))/LOG(2)+Base!AU73</f>
        <v>2.9314336914876788</v>
      </c>
      <c r="AV101" s="68">
        <f>Base!$B$80*(LOG(AV87/Parameters!$B$71))/LOG(2)+Base!AV73</f>
        <v>2.9254174659872425</v>
      </c>
      <c r="AW101" s="68">
        <f>Base!$B$80*(LOG(AW87/Parameters!$B$71))/LOG(2)+Base!AW73</f>
        <v>2.9197605804946987</v>
      </c>
      <c r="AX101" s="68">
        <f>Base!$B$80*(LOG(AX87/Parameters!$B$71))/LOG(2)+Base!AX73</f>
        <v>2.9144184443576546</v>
      </c>
      <c r="AY101" s="68">
        <f>Base!$B$80*(LOG(AY87/Parameters!$B$71))/LOG(2)+Base!AY73</f>
        <v>2.9093520409638725</v>
      </c>
      <c r="AZ101" s="68">
        <f>Base!$B$80*(LOG(AZ87/Parameters!$B$71))/LOG(2)+Base!AZ73</f>
        <v>2.9045272384736185</v>
      </c>
      <c r="BA101" s="68">
        <f>Base!$B$80*(LOG(BA87/Parameters!$B$71))/LOG(2)+Base!BA73</f>
        <v>2.8999141839979949</v>
      </c>
      <c r="BB101" s="68">
        <f>Base!$B$80*(LOG(BB87/Parameters!$B$71))/LOG(2)+Base!BB73</f>
        <v>2.8954867715452597</v>
      </c>
      <c r="BC101" s="68">
        <f>Base!$B$80*(LOG(BC87/Parameters!$B$71))/LOG(2)+Base!BC73</f>
        <v>2.8912221750771776</v>
      </c>
      <c r="BD101" s="68">
        <f>Base!$B$80*(LOG(BD87/Parameters!$B$71))/LOG(2)+Base!BD73</f>
        <v>2.8871004389555468</v>
      </c>
      <c r="BE101" s="68">
        <f>Base!$B$80*(LOG(BE87/Parameters!$B$71))/LOG(2)+Base!BE73</f>
        <v>2.8831041189148503</v>
      </c>
      <c r="BF101" s="68">
        <f>Base!$B$80*(LOG(BF87/Parameters!$B$71))/LOG(2)+Base!BF73</f>
        <v>2.879217967472619</v>
      </c>
      <c r="BG101" s="68">
        <f>Base!$B$80*(LOG(BG87/Parameters!$B$71))/LOG(2)+Base!BG73</f>
        <v>2.8754286583881088</v>
      </c>
      <c r="BH101" s="68">
        <f>Base!$B$80*(LOG(BH87/Parameters!$B$71))/LOG(2)+Base!BH73</f>
        <v>2.8717245454071527</v>
      </c>
      <c r="BI101" s="68">
        <f>Base!$B$80*(LOG(BI87/Parameters!$B$71))/LOG(2)+Base!BI73</f>
        <v>2.868095451091639</v>
      </c>
      <c r="BJ101" s="68"/>
      <c r="BK101" s="68"/>
      <c r="BL101" s="68"/>
      <c r="BM101" s="68"/>
      <c r="BN101" s="68"/>
      <c r="BO101" s="68"/>
      <c r="BP101" s="68"/>
      <c r="BQ101" s="68"/>
      <c r="BR101" s="68"/>
      <c r="BS101" s="68"/>
      <c r="BT101" s="68"/>
      <c r="BU101" s="68"/>
      <c r="BV101" s="68"/>
      <c r="BW101" s="68"/>
      <c r="BX101" s="68"/>
      <c r="BY101" s="68"/>
      <c r="BZ101" s="68"/>
      <c r="CA101" s="68"/>
      <c r="CB101" s="68"/>
      <c r="CC101" s="68"/>
      <c r="CD101" s="68"/>
      <c r="CE101" s="68"/>
      <c r="CF101" s="68"/>
      <c r="CG101" s="68"/>
      <c r="CH101" s="68"/>
      <c r="CI101" s="68"/>
      <c r="CJ101" s="68"/>
      <c r="CK101" s="68"/>
      <c r="CL101" s="68"/>
      <c r="CM101" s="68"/>
      <c r="CN101" s="68"/>
      <c r="CO101" s="68"/>
      <c r="CP101" s="68"/>
      <c r="CQ101" s="68"/>
      <c r="CR101" s="68"/>
      <c r="CS101" s="68"/>
      <c r="CT101" s="68"/>
      <c r="CU101" s="68"/>
      <c r="CV101" s="68"/>
      <c r="CW101" s="68"/>
      <c r="CX101" s="68"/>
      <c r="CY101" s="68"/>
      <c r="CZ101" s="68"/>
      <c r="DA101" s="68"/>
      <c r="DB101" s="68"/>
      <c r="DC101" s="68"/>
      <c r="DD101" s="68"/>
      <c r="DE101" s="68"/>
      <c r="DF101" s="68"/>
      <c r="DG101" s="68"/>
      <c r="DH101" s="68"/>
      <c r="DI101" s="68"/>
      <c r="DJ101" s="68"/>
      <c r="DK101" s="68"/>
      <c r="DL101" s="68"/>
      <c r="DM101" s="68"/>
      <c r="DN101" s="68"/>
      <c r="DO101" s="68"/>
      <c r="DP101" s="68"/>
      <c r="DQ101" s="68"/>
      <c r="DR101" s="68"/>
      <c r="DS101" s="68"/>
      <c r="DT101" s="68"/>
      <c r="DU101" s="68"/>
      <c r="DV101" s="68"/>
      <c r="DW101" s="68"/>
      <c r="DX101" s="68"/>
    </row>
    <row r="102" spans="1:309" s="23" customFormat="1" ht="18" customHeight="1" x14ac:dyDescent="0.3">
      <c r="A102" s="15" t="s">
        <v>44</v>
      </c>
      <c r="B102" s="23">
        <f xml:space="preserve"> Base!B77</f>
        <v>6.7999999999999996E-3</v>
      </c>
      <c r="C102" s="23">
        <f>B102+ Base!$B84*(B100-B102)</f>
        <v>2.7380000000000002E-2</v>
      </c>
      <c r="D102" s="23">
        <f>C102+ Base!$B84*(C100-C102)</f>
        <v>5.0027324106315933E-2</v>
      </c>
      <c r="E102" s="23">
        <f>D102+ Base!$B84*(D100-D102)</f>
        <v>7.4824893515542654E-2</v>
      </c>
      <c r="F102" s="23">
        <f>E102+ Base!$B84*(E100-E102)</f>
        <v>0.10184473223459083</v>
      </c>
      <c r="G102" s="23">
        <f>F102+ Base!$B84*(F100-F102)</f>
        <v>0.13114314115335174</v>
      </c>
      <c r="H102" s="23">
        <f>G102+ Base!$B84*(G100-G102)</f>
        <v>0.16275593059912147</v>
      </c>
      <c r="I102" s="23">
        <f>H102+ Base!$B84*(H100-H102)</f>
        <v>0.19669413795504048</v>
      </c>
      <c r="J102" s="23">
        <f>I102+ Base!$B84*(I100-I102)</f>
        <v>0.23294046561974402</v>
      </c>
      <c r="K102" s="23">
        <f>J102+ Base!$B84*(J100-J102)</f>
        <v>0.2714465245882175</v>
      </c>
      <c r="L102" s="23">
        <f>K102+ Base!$B84*(K100-K102)</f>
        <v>0.31213085877269897</v>
      </c>
      <c r="M102" s="23">
        <f>L102+ Base!$B84*(L100-L102)</f>
        <v>0.35487764923922749</v>
      </c>
      <c r="N102" s="23">
        <f>M102+ Base!$B84*(M100-M102)</f>
        <v>0.39953594838807011</v>
      </c>
      <c r="O102" s="23">
        <f>N102+ Base!$B84*(N100-N102)</f>
        <v>0.44591926354244343</v>
      </c>
      <c r="P102" s="23">
        <f>O102+ Base!$B84*(O100-O102)</f>
        <v>0.49380528928390077</v>
      </c>
      <c r="Q102" s="23">
        <f>P102+ Base!$B84*(P100-P102)</f>
        <v>0.5429355703726787</v>
      </c>
      <c r="R102" s="23">
        <f>Q102+ Base!$B84*(Q100-Q102)</f>
        <v>0.59301485439556734</v>
      </c>
      <c r="S102" s="23">
        <f>R102+ Base!$B84*(R100-R102)</f>
        <v>0.64370985615300502</v>
      </c>
      <c r="T102" s="23">
        <f>S102+ Base!$B84*(S100-S102)</f>
        <v>0.69464709258671253</v>
      </c>
      <c r="U102" s="23">
        <f>T102+ Base!$B84*(T100-T102)</f>
        <v>0.74543504326578935</v>
      </c>
      <c r="V102" s="23">
        <f>U102+ Base!$B84*(U100-U102)</f>
        <v>0.79568520119189834</v>
      </c>
      <c r="W102" s="23">
        <f>V102+ Base!$B84*(V100-V102)</f>
        <v>0.8450983119670058</v>
      </c>
      <c r="X102" s="23">
        <f>W102+ Base!$B84*(W100-W102)</f>
        <v>0.89344878546164486</v>
      </c>
      <c r="Y102" s="23">
        <f>X102+ Base!$B84*(X100-X102)</f>
        <v>0.94057147841087496</v>
      </c>
      <c r="Z102" s="23">
        <f>Y102+ Base!$B84*(Y100-Y102)</f>
        <v>0.98635052720579175</v>
      </c>
      <c r="AA102" s="23">
        <f>Z102+ Base!$B84*(Z100-Z102)</f>
        <v>1.0307099481597572</v>
      </c>
      <c r="AB102" s="23">
        <f>AA102+ Base!$B84*(AA100-AA102)</f>
        <v>1.0736057566956774</v>
      </c>
      <c r="AC102" s="23">
        <f>AB102+ Base!$B84*(AB100-AB102)</f>
        <v>1.1150193875956769</v>
      </c>
      <c r="AD102" s="23">
        <f>AC102+ Base!$B84*(AC100-AC102)</f>
        <v>1.1549522259788918</v>
      </c>
      <c r="AE102" s="23">
        <f>AD102+ Base!$B84*(AD100-AD102)</f>
        <v>1.193421083284516</v>
      </c>
      <c r="AF102" s="23">
        <f>AE102+ Base!$B84*(AE100-AE102)</f>
        <v>1.2304544744672323</v>
      </c>
      <c r="AG102" s="23">
        <f>AF102+ Base!$B84*(AF100-AF102)</f>
        <v>1.2660895720766632</v>
      </c>
      <c r="AH102" s="23">
        <f>AG102+ Base!$B84*(AG100-AG102)</f>
        <v>1.3003697300975363</v>
      </c>
      <c r="AI102" s="23">
        <f>AH102+ Base!$B84*(AH100-AH102)</f>
        <v>1.3333424855712921</v>
      </c>
      <c r="AJ102" s="23">
        <f>AI102+ Base!$B84*(AI100-AI102)</f>
        <v>1.3650579592940404</v>
      </c>
      <c r="AK102" s="23">
        <f>AJ102+ Base!$B84*(AJ100-AJ102)</f>
        <v>1.395567588473281</v>
      </c>
      <c r="AL102" s="23">
        <f>AK102+ Base!$B84*(AK100-AK102)</f>
        <v>1.4249231343007134</v>
      </c>
      <c r="AM102" s="23">
        <f>AL102+ Base!$B84*(AL100-AL102)</f>
        <v>1.4531759161245834</v>
      </c>
      <c r="AN102" s="23">
        <f>AM102+ Base!$B84*(AM100-AM102)</f>
        <v>1.4803762314350029</v>
      </c>
      <c r="AO102" s="23">
        <f>AN102+ Base!$B84*(AN100-AN102)</f>
        <v>1.5065729273503736</v>
      </c>
      <c r="AP102" s="23">
        <f>AO102+ Base!$B84*(AO100-AO102)</f>
        <v>1.5318130948412578</v>
      </c>
      <c r="AQ102" s="23">
        <f>AP102+ Base!$B84*(AP100-AP102)</f>
        <v>1.5561418616665446</v>
      </c>
      <c r="AR102" s="23">
        <f>AQ102+ Base!$B84*(AQ100-AQ102)</f>
        <v>1.5796022640306588</v>
      </c>
      <c r="AS102" s="23">
        <f>AR102+ Base!$B84*(AR100-AR102)</f>
        <v>1.6022351803937291</v>
      </c>
      <c r="AT102" s="23">
        <f>AS102+ Base!$B84*(AS100-AS102)</f>
        <v>1.6240793137624356</v>
      </c>
      <c r="AU102" s="23">
        <f>AT102+ Base!$B84*(AT100-AT102)</f>
        <v>1.6451712112312959</v>
      </c>
      <c r="AV102" s="23">
        <f>AU102+ Base!$B84*(AU100-AU102)</f>
        <v>1.665545311597022</v>
      </c>
      <c r="AW102" s="23">
        <f>AV102+ Base!$B84*(AV100-AV102)</f>
        <v>1.6852340135887809</v>
      </c>
      <c r="AX102" s="23">
        <f>AW102+ Base!$B84*(AW100-AW102)</f>
        <v>1.7042677586938653</v>
      </c>
      <c r="AY102" s="23">
        <f>AX102+ Base!$B84*(AX100-AX102)</f>
        <v>1.7226751237540174</v>
      </c>
      <c r="AZ102" s="23">
        <f>AY102+ Base!$B84*(AY100-AY102)</f>
        <v>1.7404829194992453</v>
      </c>
      <c r="BA102" s="23">
        <f>AZ102+ Base!$B84*(AZ100-AZ102)</f>
        <v>1.7577162920050873</v>
      </c>
      <c r="BB102" s="23">
        <f>BA102+ Base!$B84*(BA100-BA102)</f>
        <v>1.7743988247330793</v>
      </c>
      <c r="BC102" s="23">
        <f>BB102+ Base!$B84*(BB100-BB102)</f>
        <v>1.7905526393658899</v>
      </c>
      <c r="BD102" s="23">
        <f>BC102+ Base!$B84*(BC100-BC102)</f>
        <v>1.8061984940980458</v>
      </c>
      <c r="BE102" s="23">
        <f>BD102+ Base!$B84*(BD100-BD102)</f>
        <v>1.8213558784072101</v>
      </c>
      <c r="BF102" s="23">
        <f>BE102+ Base!$B84*(BE100-BE102)</f>
        <v>1.8360431036239171</v>
      </c>
      <c r="BG102" s="23">
        <f>BF102+ Base!$B84*(BF100-BF102)</f>
        <v>1.8502773888516062</v>
      </c>
      <c r="BH102" s="23">
        <f>BG102+ Base!$B84*(BG100-BG102)</f>
        <v>1.86407494197395</v>
      </c>
      <c r="BI102" s="23">
        <f>BH102+ Base!$B84*(BH100-BH102)</f>
        <v>1.8774510356314291</v>
      </c>
    </row>
    <row r="103" spans="1:309" ht="18" customHeight="1" thickBot="1" x14ac:dyDescent="0.4">
      <c r="A103" s="81" t="s">
        <v>202</v>
      </c>
    </row>
    <row r="104" spans="1:309" ht="18" customHeight="1" thickTop="1" thickBot="1" x14ac:dyDescent="0.4">
      <c r="A104" s="82" t="s">
        <v>56</v>
      </c>
      <c r="B104" s="3"/>
    </row>
    <row r="105" spans="1:309" ht="18" customHeight="1" thickTop="1" x14ac:dyDescent="0.35">
      <c r="A105" s="15" t="s">
        <v>57</v>
      </c>
      <c r="B105" s="3">
        <f t="shared" ref="B105:BI105" si="13">B21*B118^$B5*(B53/1000)^(1-$B5)</f>
        <v>63.542187841812257</v>
      </c>
      <c r="C105" s="3">
        <f t="shared" si="13"/>
        <v>75.695560758631714</v>
      </c>
      <c r="D105" s="3">
        <f t="shared" si="13"/>
        <v>89.35118131351264</v>
      </c>
      <c r="E105" s="3">
        <f t="shared" si="13"/>
        <v>104.55583599670979</v>
      </c>
      <c r="F105" s="3">
        <f t="shared" si="13"/>
        <v>121.33056562938029</v>
      </c>
      <c r="G105" s="3">
        <f t="shared" si="13"/>
        <v>139.69432350206347</v>
      </c>
      <c r="H105" s="3">
        <f t="shared" si="13"/>
        <v>159.66435292119323</v>
      </c>
      <c r="I105" s="3">
        <f t="shared" si="13"/>
        <v>181.25630192463407</v>
      </c>
      <c r="J105" s="3">
        <f t="shared" si="13"/>
        <v>204.48412756814685</v>
      </c>
      <c r="K105" s="3">
        <f t="shared" si="13"/>
        <v>229.35978895518903</v>
      </c>
      <c r="L105" s="3">
        <f t="shared" si="13"/>
        <v>255.89266429759797</v>
      </c>
      <c r="M105" s="3">
        <f t="shared" si="13"/>
        <v>284.08854049317381</v>
      </c>
      <c r="N105" s="3">
        <f t="shared" si="13"/>
        <v>313.94788590957177</v>
      </c>
      <c r="O105" s="3">
        <f t="shared" si="13"/>
        <v>345.46289252820333</v>
      </c>
      <c r="P105" s="3">
        <f t="shared" si="13"/>
        <v>378.61239266064462</v>
      </c>
      <c r="Q105" s="3">
        <f t="shared" si="13"/>
        <v>413.35309439027372</v>
      </c>
      <c r="R105" s="3">
        <f t="shared" si="13"/>
        <v>449.60441543197243</v>
      </c>
      <c r="S105" s="3">
        <f t="shared" si="13"/>
        <v>487.22204421945116</v>
      </c>
      <c r="T105" s="3">
        <f t="shared" si="13"/>
        <v>526.13951673697068</v>
      </c>
      <c r="U105" s="3">
        <f t="shared" si="13"/>
        <v>566.88779144959256</v>
      </c>
      <c r="V105" s="3">
        <f t="shared" si="13"/>
        <v>609.40097701537047</v>
      </c>
      <c r="W105" s="3">
        <f t="shared" si="13"/>
        <v>653.62070209711806</v>
      </c>
      <c r="X105" s="3">
        <f t="shared" si="13"/>
        <v>699.4924159255803</v>
      </c>
      <c r="Y105" s="3">
        <f t="shared" si="13"/>
        <v>746.96292728501032</v>
      </c>
      <c r="Z105" s="3">
        <f t="shared" si="13"/>
        <v>795.97881885070819</v>
      </c>
      <c r="AA105" s="3">
        <f t="shared" si="13"/>
        <v>846.48547955472952</v>
      </c>
      <c r="AB105" s="3">
        <f t="shared" si="13"/>
        <v>898.42656124888242</v>
      </c>
      <c r="AC105" s="3">
        <f t="shared" si="13"/>
        <v>951.74372284025515</v>
      </c>
      <c r="AD105" s="3">
        <f t="shared" si="13"/>
        <v>1007.8683247898744</v>
      </c>
      <c r="AE105" s="3">
        <f t="shared" si="13"/>
        <v>1062.1306660926625</v>
      </c>
      <c r="AF105" s="3">
        <f t="shared" si="13"/>
        <v>1117.5214865590788</v>
      </c>
      <c r="AG105" s="3">
        <f t="shared" si="13"/>
        <v>1173.9564127754968</v>
      </c>
      <c r="AH105" s="3">
        <f t="shared" si="13"/>
        <v>1231.3555494701759</v>
      </c>
      <c r="AI105" s="3">
        <f t="shared" si="13"/>
        <v>1289.6422315918155</v>
      </c>
      <c r="AJ105" s="3">
        <f t="shared" si="13"/>
        <v>1348.7421638179026</v>
      </c>
      <c r="AK105" s="3">
        <f t="shared" si="13"/>
        <v>1408.5828450387683</v>
      </c>
      <c r="AL105" s="3">
        <f t="shared" si="13"/>
        <v>1469.093200946462</v>
      </c>
      <c r="AM105" s="3">
        <f t="shared" si="13"/>
        <v>1530.2033673312619</v>
      </c>
      <c r="AN105" s="3">
        <f t="shared" si="13"/>
        <v>1591.8445813684239</v>
      </c>
      <c r="AO105" s="3">
        <f t="shared" si="13"/>
        <v>1653.9491491739777</v>
      </c>
      <c r="AP105" s="3">
        <f t="shared" si="13"/>
        <v>1716.45046611313</v>
      </c>
      <c r="AQ105" s="3">
        <f t="shared" si="13"/>
        <v>1779.283072453359</v>
      </c>
      <c r="AR105" s="3">
        <f t="shared" si="13"/>
        <v>1842.3827314985897</v>
      </c>
      <c r="AS105" s="3">
        <f t="shared" si="13"/>
        <v>1905.6865207224951</v>
      </c>
      <c r="AT105" s="3">
        <f t="shared" si="13"/>
        <v>1969.1329289385849</v>
      </c>
      <c r="AU105" s="3">
        <f t="shared" si="13"/>
        <v>2032.6619544258519</v>
      </c>
      <c r="AV105" s="3">
        <f t="shared" si="13"/>
        <v>2096.2152003370111</v>
      </c>
      <c r="AW105" s="3">
        <f t="shared" si="13"/>
        <v>2159.735964773769</v>
      </c>
      <c r="AX105" s="3">
        <f t="shared" si="13"/>
        <v>2223.16932371038</v>
      </c>
      <c r="AY105" s="3">
        <f t="shared" si="13"/>
        <v>2286.4622055490872</v>
      </c>
      <c r="AZ105" s="3">
        <f t="shared" si="13"/>
        <v>2349.5634565478213</v>
      </c>
      <c r="BA105" s="3">
        <f t="shared" si="13"/>
        <v>2412.4238967076085</v>
      </c>
      <c r="BB105" s="3">
        <f t="shared" si="13"/>
        <v>2474.9963659712025</v>
      </c>
      <c r="BC105" s="3">
        <f t="shared" si="13"/>
        <v>2537.235760785029</v>
      </c>
      <c r="BD105" s="3">
        <f t="shared" si="13"/>
        <v>2599.099061228369</v>
      </c>
      <c r="BE105" s="3">
        <f t="shared" si="13"/>
        <v>2660.5453490277564</v>
      </c>
      <c r="BF105" s="3">
        <f t="shared" si="13"/>
        <v>2721.5358168589146</v>
      </c>
      <c r="BG105" s="3">
        <f t="shared" si="13"/>
        <v>2782.033769399779</v>
      </c>
      <c r="BH105" s="3">
        <f t="shared" si="13"/>
        <v>2842.0046166406783</v>
      </c>
      <c r="BI105" s="3">
        <f t="shared" si="13"/>
        <v>2901.4158599856078</v>
      </c>
    </row>
    <row r="106" spans="1:309" ht="18" customHeight="1" x14ac:dyDescent="0.35">
      <c r="A106" s="15" t="s">
        <v>125</v>
      </c>
      <c r="B106" s="3">
        <f>($B25*B100+$B26*B100^$B$27+$B$30*(B100/$B$28)^$B$29)*Parameters!$B$29</f>
        <v>1.8350573750000002E-3</v>
      </c>
      <c r="C106" s="3">
        <f>($B25*C100+$B26*C100^$B$27+$B$30*(C100/$B$28)^$B$29)*Parameters!$B$29</f>
        <v>2.3201220567378136E-3</v>
      </c>
      <c r="D106" s="3">
        <f>($B25*D100+$B26*D100^$B$27+$B$30*(D100/$B$28)^$B$29)*Parameters!$B$29</f>
        <v>2.8918158379294141E-3</v>
      </c>
      <c r="E106" s="3">
        <f>($B25*E100+$B26*E100^$B$27+$B$30*(E100/$B$28)^$B$29)*Parameters!$B$29</f>
        <v>3.5573155502310965E-3</v>
      </c>
      <c r="F106" s="3">
        <f>($B25*F100+$B26*F100^$B$27+$B$30*(F100/$B$28)^$B$29)*Parameters!$B$29</f>
        <v>4.3219830221496048E-3</v>
      </c>
      <c r="G106" s="3">
        <f>($B25*G100+$B26*G100^$B$27+$B$30*(G100/$B$28)^$B$29)*Parameters!$B$29</f>
        <v>5.1885910170512226E-3</v>
      </c>
      <c r="H106" s="3">
        <f>($B25*H100+$B26*H100^$B$27+$B$30*(H100/$B$28)^$B$29)*Parameters!$B$29</f>
        <v>6.156629811063739E-3</v>
      </c>
      <c r="I106" s="3">
        <f>($B25*I100+$B26*I100^$B$27+$B$30*(I100/$B$28)^$B$29)*Parameters!$B$29</f>
        <v>7.2217401157008273E-3</v>
      </c>
      <c r="J106" s="3">
        <f>($B25*J100+$B26*J100^$B$27+$B$30*(J100/$B$28)^$B$29)*Parameters!$B$29</f>
        <v>8.3753023590599496E-3</v>
      </c>
      <c r="K106" s="3">
        <f>($B25*K100+$B26*K100^$B$27+$B$30*(K100/$B$28)^$B$29)*Parameters!$B$29</f>
        <v>9.6041958611524543E-3</v>
      </c>
      <c r="L106" s="3">
        <f>($B25*L100+$B26*L100^$B$27+$B$30*(L100/$B$28)^$B$29)*Parameters!$B$29</f>
        <v>1.0890725942441535E-2</v>
      </c>
      <c r="M106" s="3">
        <f>($B25*M100+$B26*M100^$B$27+$B$30*(M100/$B$28)^$B$29)*Parameters!$B$29</f>
        <v>1.2212704038888543E-2</v>
      </c>
      <c r="N106" s="3">
        <f>($B25*N100+$B26*N100^$B$27+$B$30*(N100/$B$28)^$B$29)*Parameters!$B$29</f>
        <v>1.3543656268373576E-2</v>
      </c>
      <c r="O106" s="3">
        <f>($B25*O100+$B26*O100^$B$27+$B$30*(O100/$B$28)^$B$29)*Parameters!$B$29</f>
        <v>1.4853129759380128E-2</v>
      </c>
      <c r="P106" s="3">
        <f>($B25*P100+$B26*P100^$B$27+$B$30*(P100/$B$28)^$B$29)*Parameters!$B$29</f>
        <v>1.6107063099948655E-2</v>
      </c>
      <c r="Q106" s="3">
        <f>($B25*Q100+$B26*Q100^$B$27+$B$30*(Q100/$B$28)^$B$29)*Parameters!$B$29</f>
        <v>1.726818692166928E-2</v>
      </c>
      <c r="R106" s="3">
        <f>($B25*R100+$B26*R100^$B$27+$B$30*(R100/$B$28)^$B$29)*Parameters!$B$29</f>
        <v>1.8296422028614544E-2</v>
      </c>
      <c r="S106" s="3">
        <f>($B25*S100+$B26*S100^$B$27+$B$30*(S100/$B$28)^$B$29)*Parameters!$B$29</f>
        <v>1.9149245269790074E-2</v>
      </c>
      <c r="T106" s="3">
        <f>($B25*T100+$B26*T100^$B$27+$B$30*(T100/$B$28)^$B$29)*Parameters!$B$29</f>
        <v>1.9796926762948898E-2</v>
      </c>
      <c r="U106" s="3">
        <f>($B25*U100+$B26*U100^$B$27+$B$30*(U100/$B$28)^$B$29)*Parameters!$B$29</f>
        <v>2.0224407573774753E-2</v>
      </c>
      <c r="V106" s="3">
        <f>($B25*V100+$B26*V100^$B$27+$B$30*(V100/$B$28)^$B$29)*Parameters!$B$29</f>
        <v>2.0471308309696217E-2</v>
      </c>
      <c r="W106" s="3">
        <f>($B25*W100+$B26*W100^$B$27+$B$30*(W100/$B$28)^$B$29)*Parameters!$B$29</f>
        <v>2.0573453676931291E-2</v>
      </c>
      <c r="X106" s="3">
        <f>($B25*X100+$B26*X100^$B$27+$B$30*(X100/$B$28)^$B$29)*Parameters!$B$29</f>
        <v>2.0562191771241835E-2</v>
      </c>
      <c r="Y106" s="3">
        <f>($B25*Y100+$B26*Y100^$B$27+$B$30*(Y100/$B$28)^$B$29)*Parameters!$B$29</f>
        <v>2.0464275911906565E-2</v>
      </c>
      <c r="Z106" s="3">
        <f>($B25*Z100+$B26*Z100^$B$27+$B$30*(Z100/$B$28)^$B$29)*Parameters!$B$29</f>
        <v>2.0302078516866374E-2</v>
      </c>
      <c r="AA106" s="3">
        <f>($B25*AA100+$B26*AA100^$B$27+$B$30*(AA100/$B$28)^$B$29)*Parameters!$B$29</f>
        <v>2.0093983603679595E-2</v>
      </c>
      <c r="AB106" s="3">
        <f>($B25*AB100+$B26*AB100^$B$27+$B$30*(AB100/$B$28)^$B$29)*Parameters!$B$29</f>
        <v>1.9854858484820416E-2</v>
      </c>
      <c r="AC106" s="3">
        <f>($B25*AC100+$B26*AC100^$B$27+$B$30*(AC100/$B$28)^$B$29)*Parameters!$B$29</f>
        <v>1.9596542505579833E-2</v>
      </c>
      <c r="AD106" s="3">
        <f>($B25*AD100+$B26*AD100^$B$27+$B$30*(AD100/$B$28)^$B$29)*Parameters!$B$29</f>
        <v>1.9328315990052393E-2</v>
      </c>
      <c r="AE106" s="3">
        <f>($B25*AE100+$B26*AE100^$B$27+$B$30*(AE100/$B$28)^$B$29)*Parameters!$B$29</f>
        <v>1.9057329403869595E-2</v>
      </c>
      <c r="AF106" s="3">
        <f>($B25*AF100+$B26*AF100^$B$27+$B$30*(AF100/$B$28)^$B$29)*Parameters!$B$29</f>
        <v>1.8788983656734256E-2</v>
      </c>
      <c r="AG106" s="3">
        <f>($B25*AG100+$B26*AG100^$B$27+$B$30*(AG100/$B$28)^$B$29)*Parameters!$B$29</f>
        <v>1.8527259293304205E-2</v>
      </c>
      <c r="AH106" s="3">
        <f>($B25*AH100+$B26*AH100^$B$27+$B$30*(AH100/$B$28)^$B$29)*Parameters!$B$29</f>
        <v>1.8274996373889699E-2</v>
      </c>
      <c r="AI106" s="3">
        <f>($B25*AI100+$B26*AI100^$B$27+$B$30*(AI100/$B$28)^$B$29)*Parameters!$B$29</f>
        <v>1.8034129057762839E-2</v>
      </c>
      <c r="AJ106" s="3">
        <f>($B25*AJ100+$B26*AJ100^$B$27+$B$30*(AJ100/$B$28)^$B$29)*Parameters!$B$29</f>
        <v>1.780587992167474E-2</v>
      </c>
      <c r="AK106" s="3">
        <f>($B25*AK100+$B26*AK100^$B$27+$B$30*(AK100/$B$28)^$B$29)*Parameters!$B$29</f>
        <v>1.7590919321701783E-2</v>
      </c>
      <c r="AL106" s="3">
        <f>($B25*AL100+$B26*AL100^$B$27+$B$30*(AL100/$B$28)^$B$29)*Parameters!$B$29</f>
        <v>1.7389494940293865E-2</v>
      </c>
      <c r="AM106" s="3">
        <f>($B25*AM100+$B26*AM100^$B$27+$B$30*(AM100/$B$28)^$B$29)*Parameters!$B$29</f>
        <v>1.720153625275592E-2</v>
      </c>
      <c r="AN106" s="3">
        <f>($B25*AN100+$B26*AN100^$B$27+$B$30*(AN100/$B$28)^$B$29)*Parameters!$B$29</f>
        <v>1.702673812764724E-2</v>
      </c>
      <c r="AO106" s="3">
        <f>($B25*AO100+$B26*AO100^$B$27+$B$30*(AO100/$B$28)^$B$29)*Parameters!$B$29</f>
        <v>1.6864627224268819E-2</v>
      </c>
      <c r="AP106" s="3">
        <f>($B25*AP100+$B26*AP100^$B$27+$B$30*(AP100/$B$28)^$B$29)*Parameters!$B$29</f>
        <v>1.6714614315201548E-2</v>
      </c>
      <c r="AQ106" s="3">
        <f>($B25*AQ100+$B26*AQ100^$B$27+$B$30*(AQ100/$B$28)^$B$29)*Parameters!$B$29</f>
        <v>1.6576035168747966E-2</v>
      </c>
      <c r="AR106" s="3">
        <f>($B25*AR100+$B26*AR100^$B$27+$B$30*(AR100/$B$28)^$B$29)*Parameters!$B$29</f>
        <v>1.6448182187167121E-2</v>
      </c>
      <c r="AS106" s="3">
        <f>($B25*AS100+$B26*AS100^$B$27+$B$30*(AS100/$B$28)^$B$29)*Parameters!$B$29</f>
        <v>1.633032861518198E-2</v>
      </c>
      <c r="AT106" s="3">
        <f>($B25*AT100+$B26*AT100^$B$27+$B$30*(AT100/$B$28)^$B$29)*Parameters!$B$29</f>
        <v>1.6221746807693248E-2</v>
      </c>
      <c r="AU106" s="3">
        <f>($B25*AU100+$B26*AU100^$B$27+$B$30*(AU100/$B$28)^$B$29)*Parameters!$B$29</f>
        <v>1.6121721771505948E-2</v>
      </c>
      <c r="AV106" s="3">
        <f>($B25*AV100+$B26*AV100^$B$27+$B$30*(AV100/$B$28)^$B$29)*Parameters!$B$29</f>
        <v>1.6029560967452457E-2</v>
      </c>
      <c r="AW106" s="3">
        <f>($B25*AW100+$B26*AW100^$B$27+$B$30*(AW100/$B$28)^$B$29)*Parameters!$B$29</f>
        <v>1.5944601170518886E-2</v>
      </c>
      <c r="AX106" s="3">
        <f>($B25*AX100+$B26*AX100^$B$27+$B$30*(AX100/$B$28)^$B$29)*Parameters!$B$29</f>
        <v>1.5866213030585368E-2</v>
      </c>
      <c r="AY106" s="3">
        <f>($B25*AY100+$B26*AY100^$B$27+$B$30*(AY100/$B$28)^$B$29)*Parameters!$B$29</f>
        <v>1.5793803849790369E-2</v>
      </c>
      <c r="AZ106" s="3">
        <f>($B25*AZ100+$B26*AZ100^$B$27+$B$30*(AZ100/$B$28)^$B$29)*Parameters!$B$29</f>
        <v>1.5726818989552971E-2</v>
      </c>
      <c r="BA106" s="3">
        <f>($B25*BA100+$B26*BA100^$B$27+$B$30*(BA100/$B$28)^$B$29)*Parameters!$B$29</f>
        <v>1.5664742236806275E-2</v>
      </c>
      <c r="BB106" s="3">
        <f>($B25*BB100+$B26*BB100^$B$27+$B$30*(BB100/$B$28)^$B$29)*Parameters!$B$29</f>
        <v>1.5607095391503392E-2</v>
      </c>
      <c r="BC106" s="3">
        <f>($B25*BC100+$B26*BC100^$B$27+$B$30*(BC100/$B$28)^$B$29)*Parameters!$B$29</f>
        <v>1.5553437283014393E-2</v>
      </c>
      <c r="BD106" s="3">
        <f>($B25*BD100+$B26*BD100^$B$27+$B$30*(BD100/$B$28)^$B$29)*Parameters!$B$29</f>
        <v>1.5503362379199217E-2</v>
      </c>
      <c r="BE106" s="3">
        <f>($B25*BE100+$B26*BE100^$B$27+$B$30*(BE100/$B$28)^$B$29)*Parameters!$B$29</f>
        <v>1.5456499116710078E-2</v>
      </c>
      <c r="BF106" s="3">
        <f>($B25*BF100+$B26*BF100^$B$27+$B$30*(BF100/$B$28)^$B$29)*Parameters!$B$29</f>
        <v>1.5412508052805295E-2</v>
      </c>
      <c r="BG106" s="3">
        <f>($B25*BG100+$B26*BG100^$B$27+$B$30*(BG100/$B$28)^$B$29)*Parameters!$B$29</f>
        <v>1.5371079916306915E-2</v>
      </c>
      <c r="BH106" s="3">
        <f>($B25*BH100+$B26*BH100^$B$27+$B$30*(BH100/$B$28)^$B$29)*Parameters!$B$29</f>
        <v>1.5331933617222347E-2</v>
      </c>
      <c r="BI106" s="3">
        <f>($B25*BI100+$B26*BI100^$B$27+$B$30*(BI100/$B$28)^$B$29)*Parameters!$B$29</f>
        <v>1.5294814260096668E-2</v>
      </c>
    </row>
    <row r="107" spans="1:309" ht="18" customHeight="1" x14ac:dyDescent="0.35">
      <c r="A107" s="15" t="s">
        <v>126</v>
      </c>
      <c r="B107" s="3">
        <f>+B105*B106/(1+B106^Parameters!$B$56)</f>
        <v>0.11660356042275292</v>
      </c>
      <c r="C107" s="3">
        <f>+C105*C106/(1+C106^Parameters!$B$56)</f>
        <v>0.17562294011323876</v>
      </c>
      <c r="D107" s="3">
        <f>+D105*D106/(1+D106^Parameters!$B$56)</f>
        <v>0.25838716126011857</v>
      </c>
      <c r="E107" s="3">
        <f>+E105*E106/(1+E106^Parameters!$B$56)</f>
        <v>0.37193810125850796</v>
      </c>
      <c r="F107" s="3">
        <f>+F105*F106/(1+F106^Parameters!$B$56)</f>
        <v>0.52438864471798996</v>
      </c>
      <c r="G107" s="3">
        <f>+G105*G106/(1+G106^Parameters!$B$56)</f>
        <v>0.72481671205585396</v>
      </c>
      <c r="H107" s="3">
        <f>+H105*H106/(1+H106^Parameters!$B$56)</f>
        <v>0.98299431495882006</v>
      </c>
      <c r="I107" s="3">
        <f>+I105*I106/(1+I106^Parameters!$B$56)</f>
        <v>1.308985906832711</v>
      </c>
      <c r="J107" s="3">
        <f>+J105*J106/(1+J106^Parameters!$B$56)</f>
        <v>1.7126163960118159</v>
      </c>
      <c r="K107" s="3">
        <f>+K105*K106/(1+K106^Parameters!$B$56)</f>
        <v>2.2028163357982269</v>
      </c>
      <c r="L107" s="3">
        <f>+L105*L106/(1+L106^Parameters!$B$56)</f>
        <v>2.7868568775463332</v>
      </c>
      <c r="M107" s="3">
        <f>+M105*M106/(1+M106^Parameters!$B$56)</f>
        <v>3.469489265882935</v>
      </c>
      <c r="N107" s="3">
        <f>+N105*N106/(1+N106^Parameters!$B$56)</f>
        <v>4.2520022529418044</v>
      </c>
      <c r="O107" s="3">
        <f>+O105*O106/(1+O106^Parameters!$B$56)</f>
        <v>5.1312051697721959</v>
      </c>
      <c r="P107" s="3">
        <f>+P105*P106/(1+P106^Parameters!$B$56)</f>
        <v>6.0983336990075401</v>
      </c>
      <c r="Q107" s="3">
        <f>+Q105*Q106/(1+Q106^Parameters!$B$56)</f>
        <v>7.137858498581652</v>
      </c>
      <c r="R107" s="3">
        <f>+R105*R106/(1+R106^Parameters!$B$56)</f>
        <v>8.2261521306719061</v>
      </c>
      <c r="S107" s="3">
        <f>+S105*S106/(1+S106^Parameters!$B$56)</f>
        <v>9.3299344256067762</v>
      </c>
      <c r="T107" s="3">
        <f>+T105*T106/(1+T106^Parameters!$B$56)</f>
        <v>10.415945479935134</v>
      </c>
      <c r="U107" s="3">
        <f>+U105*U106/(1+U106^Parameters!$B$56)</f>
        <v>11.464969742873583</v>
      </c>
      <c r="V107" s="3">
        <f>+V105*V106/(1+V106^Parameters!$B$56)</f>
        <v>12.475235284711747</v>
      </c>
      <c r="W107" s="3">
        <f>+W105*W106/(1+W106^Parameters!$B$56)</f>
        <v>13.447235236878365</v>
      </c>
      <c r="X107" s="3">
        <f>+X105*X106/(1+X106^Parameters!$B$56)</f>
        <v>14.383097198791038</v>
      </c>
      <c r="Y107" s="3">
        <f>+Y105*Y106/(1+Y106^Parameters!$B$56)</f>
        <v>15.286055439925851</v>
      </c>
      <c r="Z107" s="3">
        <f>+Z105*Z106/(1+Z106^Parameters!$B$56)</f>
        <v>16.160024478069634</v>
      </c>
      <c r="AA107" s="3">
        <f>+AA105*AA106/(1+AA106^Parameters!$B$56)</f>
        <v>17.009265346925595</v>
      </c>
      <c r="AB107" s="3">
        <f>+AB105*AB106/(1+AB106^Parameters!$B$56)</f>
        <v>17.838132232600401</v>
      </c>
      <c r="AC107" s="3">
        <f>+AC105*AC106/(1+AC106^Parameters!$B$56)</f>
        <v>18.65088631905785</v>
      </c>
      <c r="AD107" s="3">
        <f>+AD105*AD106/(1+AD106^Parameters!$B$56)</f>
        <v>19.480397457903447</v>
      </c>
      <c r="AE107" s="3">
        <f>+AE105*AE106/(1+AE106^Parameters!$B$56)</f>
        <v>20.241373973679295</v>
      </c>
      <c r="AF107" s="3">
        <f>+AF105*AF106/(1+AF106^Parameters!$B$56)</f>
        <v>20.9970929470079</v>
      </c>
      <c r="AG107" s="3">
        <f>+AG105*AG106/(1+AG106^Parameters!$B$56)</f>
        <v>21.750194858528889</v>
      </c>
      <c r="AH107" s="3">
        <f>+AH105*AH106/(1+AH106^Parameters!$B$56)</f>
        <v>22.50301820153642</v>
      </c>
      <c r="AI107" s="3">
        <f>+AI105*AI106/(1+AI106^Parameters!$B$56)</f>
        <v>23.257574442868073</v>
      </c>
      <c r="AJ107" s="3">
        <f>+AJ105*AJ106/(1+AJ106^Parameters!$B$56)</f>
        <v>24.015541014241336</v>
      </c>
      <c r="AK107" s="3">
        <f>+AK105*AK106/(1+AK106^Parameters!$B$56)</f>
        <v>24.778267185010137</v>
      </c>
      <c r="AL107" s="3">
        <f>+AL105*AL106/(1+AL106^Parameters!$B$56)</f>
        <v>25.546788784678622</v>
      </c>
      <c r="AM107" s="3">
        <f>+AM105*AM106/(1+AM106^Parameters!$B$56)</f>
        <v>26.321848697237886</v>
      </c>
      <c r="AN107" s="3">
        <f>+AN105*AN106/(1+AN106^Parameters!$B$56)</f>
        <v>27.103920826874401</v>
      </c>
      <c r="AO107" s="3">
        <f>+AO105*AO106/(1+AO106^Parameters!$B$56)</f>
        <v>27.893235848715715</v>
      </c>
      <c r="AP107" s="3">
        <f>+AP105*AP106/(1+AP106^Parameters!$B$56)</f>
        <v>28.689807532228894</v>
      </c>
      <c r="AQ107" s="3">
        <f>+AQ105*AQ106/(1+AQ106^Parameters!$B$56)</f>
        <v>29.493458784144813</v>
      </c>
      <c r="AR107" s="3">
        <f>+AR105*AR106/(1+AR106^Parameters!$B$56)</f>
        <v>30.303846826179406</v>
      </c>
      <c r="AS107" s="3">
        <f>+AS105*AS106/(1+AS106^Parameters!$B$56)</f>
        <v>31.120487120921148</v>
      </c>
      <c r="AT107" s="3">
        <f>+AT105*AT106/(1+AT106^Parameters!$B$56)</f>
        <v>31.942775803933145</v>
      </c>
      <c r="AU107" s="3">
        <f>+AU105*AU106/(1+AU106^Parameters!$B$56)</f>
        <v>32.770010484779085</v>
      </c>
      <c r="AV107" s="3">
        <f>+AV105*AV106/(1+AV106^Parameters!$B$56)</f>
        <v>33.601409354702682</v>
      </c>
      <c r="AW107" s="3">
        <f>+AW105*AW106/(1+AW106^Parameters!$B$56)</f>
        <v>34.436128591943572</v>
      </c>
      <c r="AX107" s="3">
        <f>+AX105*AX106/(1+AX106^Parameters!$B$56)</f>
        <v>35.273278093051289</v>
      </c>
      <c r="AY107" s="3">
        <f>+AY105*AY106/(1+AY106^Parameters!$B$56)</f>
        <v>36.111935584401351</v>
      </c>
      <c r="AZ107" s="3">
        <f>+AZ105*AZ106/(1+AZ106^Parameters!$B$56)</f>
        <v>36.951159185595991</v>
      </c>
      <c r="BA107" s="3">
        <f>+BA105*BA106/(1+BA106^Parameters!$B$56)</f>
        <v>37.789998507836451</v>
      </c>
      <c r="BB107" s="3">
        <f>+BB105*BB106/(1+BB106^Parameters!$B$56)</f>
        <v>38.627504377336798</v>
      </c>
      <c r="BC107" s="3">
        <f>+BC105*BC106/(1+BC106^Parameters!$B$56)</f>
        <v>39.462737277591259</v>
      </c>
      <c r="BD107" s="3">
        <f>+BD105*BD106/(1+BD106^Parameters!$B$56)</f>
        <v>40.294774605659896</v>
      </c>
      <c r="BE107" s="3">
        <f>+BE105*BE106/(1+BE106^Parameters!$B$56)</f>
        <v>41.122716837214625</v>
      </c>
      <c r="BF107" s="3">
        <f>+BF105*BF106/(1+BF106^Parameters!$B$56)</f>
        <v>41.945692693336056</v>
      </c>
      <c r="BG107" s="3">
        <f>+BG105*BG106/(1+BG106^Parameters!$B$56)</f>
        <v>42.762863399308564</v>
      </c>
      <c r="BH107" s="3">
        <f>+BH105*BH106/(1+BH106^Parameters!$B$56)</f>
        <v>43.573426122174325</v>
      </c>
      <c r="BI107" s="3">
        <f>+BI105*BI106/(1+BI106^Parameters!$B$56)</f>
        <v>44.376616669778514</v>
      </c>
    </row>
    <row r="108" spans="1:309" ht="18" customHeight="1" x14ac:dyDescent="0.35">
      <c r="A108" s="15" t="s">
        <v>9</v>
      </c>
      <c r="B108" s="3">
        <f t="shared" ref="B108:BI108" si="14">+B105-B107</f>
        <v>63.425584281389504</v>
      </c>
      <c r="C108" s="3">
        <f t="shared" si="14"/>
        <v>75.519937818518471</v>
      </c>
      <c r="D108" s="3">
        <f t="shared" si="14"/>
        <v>89.092794152252523</v>
      </c>
      <c r="E108" s="3">
        <f t="shared" si="14"/>
        <v>104.18389789545128</v>
      </c>
      <c r="F108" s="3">
        <f t="shared" si="14"/>
        <v>120.8061769846623</v>
      </c>
      <c r="G108" s="3">
        <f t="shared" si="14"/>
        <v>138.96950679000761</v>
      </c>
      <c r="H108" s="3">
        <f t="shared" si="14"/>
        <v>158.6813586062344</v>
      </c>
      <c r="I108" s="3">
        <f t="shared" si="14"/>
        <v>179.94731601780137</v>
      </c>
      <c r="J108" s="3">
        <f t="shared" si="14"/>
        <v>202.77151117213504</v>
      </c>
      <c r="K108" s="3">
        <f t="shared" si="14"/>
        <v>227.15697261939081</v>
      </c>
      <c r="L108" s="3">
        <f t="shared" si="14"/>
        <v>253.10580742005163</v>
      </c>
      <c r="M108" s="3">
        <f t="shared" si="14"/>
        <v>280.61905122729087</v>
      </c>
      <c r="N108" s="3">
        <f t="shared" si="14"/>
        <v>309.69588365662997</v>
      </c>
      <c r="O108" s="3">
        <f t="shared" si="14"/>
        <v>340.33168735843111</v>
      </c>
      <c r="P108" s="3">
        <f t="shared" si="14"/>
        <v>372.51405896163709</v>
      </c>
      <c r="Q108" s="3">
        <f t="shared" si="14"/>
        <v>406.21523589169209</v>
      </c>
      <c r="R108" s="3">
        <f t="shared" si="14"/>
        <v>441.37826330130054</v>
      </c>
      <c r="S108" s="3">
        <f t="shared" si="14"/>
        <v>477.89210979384438</v>
      </c>
      <c r="T108" s="3">
        <f t="shared" si="14"/>
        <v>515.72357125703559</v>
      </c>
      <c r="U108" s="3">
        <f t="shared" si="14"/>
        <v>555.42282170671899</v>
      </c>
      <c r="V108" s="3">
        <f t="shared" si="14"/>
        <v>596.92574173065873</v>
      </c>
      <c r="W108" s="3">
        <f t="shared" si="14"/>
        <v>640.17346686023973</v>
      </c>
      <c r="X108" s="3">
        <f t="shared" si="14"/>
        <v>685.1093187267893</v>
      </c>
      <c r="Y108" s="3">
        <f t="shared" si="14"/>
        <v>731.67687184508452</v>
      </c>
      <c r="Z108" s="3">
        <f t="shared" si="14"/>
        <v>779.81879437263854</v>
      </c>
      <c r="AA108" s="3">
        <f t="shared" si="14"/>
        <v>829.47621420780388</v>
      </c>
      <c r="AB108" s="3">
        <f t="shared" si="14"/>
        <v>880.58842901628202</v>
      </c>
      <c r="AC108" s="3">
        <f t="shared" si="14"/>
        <v>933.09283652119734</v>
      </c>
      <c r="AD108" s="3">
        <f t="shared" si="14"/>
        <v>988.3879273319709</v>
      </c>
      <c r="AE108" s="3">
        <f t="shared" si="14"/>
        <v>1041.8892921189831</v>
      </c>
      <c r="AF108" s="3">
        <f t="shared" si="14"/>
        <v>1096.524393612071</v>
      </c>
      <c r="AG108" s="3">
        <f t="shared" si="14"/>
        <v>1152.2062179169679</v>
      </c>
      <c r="AH108" s="3">
        <f t="shared" si="14"/>
        <v>1208.8525312686395</v>
      </c>
      <c r="AI108" s="3">
        <f t="shared" si="14"/>
        <v>1266.3846571489476</v>
      </c>
      <c r="AJ108" s="3">
        <f t="shared" si="14"/>
        <v>1324.7266228036613</v>
      </c>
      <c r="AK108" s="3">
        <f t="shared" si="14"/>
        <v>1383.804577853758</v>
      </c>
      <c r="AL108" s="3">
        <f t="shared" si="14"/>
        <v>1443.5464121617833</v>
      </c>
      <c r="AM108" s="3">
        <f t="shared" si="14"/>
        <v>1503.8815186340241</v>
      </c>
      <c r="AN108" s="3">
        <f t="shared" si="14"/>
        <v>1564.7406605415495</v>
      </c>
      <c r="AO108" s="3">
        <f t="shared" si="14"/>
        <v>1626.0559133252621</v>
      </c>
      <c r="AP108" s="3">
        <f t="shared" si="14"/>
        <v>1687.760658580901</v>
      </c>
      <c r="AQ108" s="3">
        <f t="shared" si="14"/>
        <v>1749.7896136692141</v>
      </c>
      <c r="AR108" s="3">
        <f t="shared" si="14"/>
        <v>1812.0788846724104</v>
      </c>
      <c r="AS108" s="3">
        <f t="shared" si="14"/>
        <v>1874.566033601574</v>
      </c>
      <c r="AT108" s="3">
        <f t="shared" si="14"/>
        <v>1937.1901531346518</v>
      </c>
      <c r="AU108" s="3">
        <f t="shared" si="14"/>
        <v>1999.8919439410729</v>
      </c>
      <c r="AV108" s="3">
        <f t="shared" si="14"/>
        <v>2062.6137909823083</v>
      </c>
      <c r="AW108" s="3">
        <f t="shared" si="14"/>
        <v>2125.2998361818254</v>
      </c>
      <c r="AX108" s="3">
        <f t="shared" si="14"/>
        <v>2187.8960456173286</v>
      </c>
      <c r="AY108" s="3">
        <f t="shared" si="14"/>
        <v>2250.350269964686</v>
      </c>
      <c r="AZ108" s="3">
        <f t="shared" si="14"/>
        <v>2312.6122973622255</v>
      </c>
      <c r="BA108" s="3">
        <f t="shared" si="14"/>
        <v>2374.6338981997719</v>
      </c>
      <c r="BB108" s="3">
        <f t="shared" si="14"/>
        <v>2436.3688615938659</v>
      </c>
      <c r="BC108" s="3">
        <f t="shared" si="14"/>
        <v>2497.7730235074378</v>
      </c>
      <c r="BD108" s="3">
        <f t="shared" si="14"/>
        <v>2558.8042866227092</v>
      </c>
      <c r="BE108" s="3">
        <f t="shared" si="14"/>
        <v>2619.4226321905417</v>
      </c>
      <c r="BF108" s="3">
        <f t="shared" si="14"/>
        <v>2679.5901241655783</v>
      </c>
      <c r="BG108" s="3">
        <f t="shared" si="14"/>
        <v>2739.2709060004704</v>
      </c>
      <c r="BH108" s="3">
        <f t="shared" si="14"/>
        <v>2798.4311905185041</v>
      </c>
      <c r="BI108" s="3">
        <f t="shared" si="14"/>
        <v>2857.0392433158295</v>
      </c>
    </row>
    <row r="109" spans="1:309" ht="18" customHeight="1" x14ac:dyDescent="0.35">
      <c r="A109" s="15" t="s">
        <v>69</v>
      </c>
      <c r="B109" s="3">
        <f t="shared" ref="B109:BI109" si="15">(B32*(B137)^$B39)*B47^(1-$B$39)</f>
        <v>6.8065352173818985E-6</v>
      </c>
      <c r="C109" s="3">
        <f t="shared" si="15"/>
        <v>8.8141795842897432E-4</v>
      </c>
      <c r="D109" s="3">
        <f t="shared" si="15"/>
        <v>1.153409780513274E-3</v>
      </c>
      <c r="E109" s="3">
        <f t="shared" si="15"/>
        <v>1.4935086340924354E-3</v>
      </c>
      <c r="F109" s="3">
        <f t="shared" si="15"/>
        <v>1.9113833565355604E-3</v>
      </c>
      <c r="G109" s="3">
        <f t="shared" si="15"/>
        <v>2.4167256897657252E-3</v>
      </c>
      <c r="H109" s="3">
        <f t="shared" si="15"/>
        <v>3.0189919856507597E-3</v>
      </c>
      <c r="I109" s="3">
        <f t="shared" si="15"/>
        <v>3.7271377366250831E-3</v>
      </c>
      <c r="J109" s="3">
        <f t="shared" si="15"/>
        <v>4.549355348781696E-3</v>
      </c>
      <c r="K109" s="3">
        <f t="shared" si="15"/>
        <v>5.4928362378225178E-3</v>
      </c>
      <c r="L109" s="3">
        <f t="shared" si="15"/>
        <v>6.5635804297530772E-3</v>
      </c>
      <c r="M109" s="3">
        <f t="shared" si="15"/>
        <v>7.7662846701656721E-3</v>
      </c>
      <c r="N109" s="3">
        <f t="shared" si="15"/>
        <v>9.1043494641778848E-3</v>
      </c>
      <c r="O109" s="3">
        <f t="shared" si="15"/>
        <v>1.0580058533524062E-2</v>
      </c>
      <c r="P109" s="3">
        <f t="shared" si="15"/>
        <v>1.2195006387568087E-2</v>
      </c>
      <c r="Q109" s="3">
        <f t="shared" si="15"/>
        <v>1.395090307873807E-2</v>
      </c>
      <c r="R109" s="3">
        <f t="shared" si="15"/>
        <v>1.5850962277848171E-2</v>
      </c>
      <c r="S109" s="3">
        <f t="shared" si="15"/>
        <v>1.7258262837873999E-2</v>
      </c>
      <c r="T109" s="3">
        <f t="shared" si="15"/>
        <v>1.607153291055036E-2</v>
      </c>
      <c r="U109" s="3">
        <f t="shared" si="15"/>
        <v>1.4969836180765498E-2</v>
      </c>
      <c r="V109" s="3">
        <f t="shared" si="15"/>
        <v>1.3946840032579705E-2</v>
      </c>
      <c r="W109" s="3">
        <f t="shared" si="15"/>
        <v>1.2996700873668386E-2</v>
      </c>
      <c r="X109" s="3">
        <f t="shared" si="15"/>
        <v>1.2114025057832123E-2</v>
      </c>
      <c r="Y109" s="3">
        <f t="shared" si="15"/>
        <v>1.1293833032752996E-2</v>
      </c>
      <c r="Z109" s="3">
        <f t="shared" si="15"/>
        <v>1.0531526438518816E-2</v>
      </c>
      <c r="AA109" s="3">
        <f t="shared" si="15"/>
        <v>9.8228579064871049E-3</v>
      </c>
      <c r="AB109" s="3">
        <f t="shared" si="15"/>
        <v>9.163903329942262E-3</v>
      </c>
      <c r="AC109" s="3">
        <f t="shared" si="15"/>
        <v>8.5510363979174973E-3</v>
      </c>
      <c r="AD109" s="3">
        <f t="shared" si="15"/>
        <v>7.9809052016832499E-3</v>
      </c>
      <c r="AE109" s="3">
        <f t="shared" si="15"/>
        <v>7.4504107399169621E-3</v>
      </c>
      <c r="AF109" s="3">
        <f t="shared" si="15"/>
        <v>6.9566871636085629E-3</v>
      </c>
      <c r="AG109" s="3">
        <f t="shared" si="15"/>
        <v>6.497083615458683E-3</v>
      </c>
      <c r="AH109" s="3">
        <f t="shared" si="15"/>
        <v>6.0691475310152209E-3</v>
      </c>
      <c r="AI109" s="3">
        <f t="shared" si="15"/>
        <v>5.6706092801773935E-3</v>
      </c>
      <c r="AJ109" s="3">
        <f t="shared" si="15"/>
        <v>5.299368038076303E-3</v>
      </c>
      <c r="AK109" s="3">
        <f t="shared" si="15"/>
        <v>4.9534787838078796E-3</v>
      </c>
      <c r="AL109" s="3">
        <f t="shared" si="15"/>
        <v>4.631140334130277E-3</v>
      </c>
      <c r="AM109" s="3">
        <f t="shared" si="15"/>
        <v>4.3306843271184161E-3</v>
      </c>
      <c r="AN109" s="3">
        <f t="shared" si="15"/>
        <v>4.0505650779612068E-3</v>
      </c>
      <c r="AO109" s="3">
        <f t="shared" si="15"/>
        <v>3.7893502356536506E-3</v>
      </c>
      <c r="AP109" s="3">
        <f t="shared" si="15"/>
        <v>3.5457121753327409E-3</v>
      </c>
      <c r="AQ109" s="3">
        <f t="shared" si="15"/>
        <v>3.3184200664834141E-3</v>
      </c>
      <c r="AR109" s="3">
        <f t="shared" si="15"/>
        <v>3.1063325622451266E-3</v>
      </c>
      <c r="AS109" s="3">
        <f t="shared" si="15"/>
        <v>2.9083910596229097E-3</v>
      </c>
      <c r="AT109" s="3">
        <f t="shared" si="15"/>
        <v>2.7236134845870928E-3</v>
      </c>
      <c r="AU109" s="3">
        <f t="shared" si="15"/>
        <v>2.5510885598679588E-3</v>
      </c>
      <c r="AV109" s="3">
        <f t="shared" si="15"/>
        <v>2.3899705167470639E-3</v>
      </c>
      <c r="AW109" s="3">
        <f t="shared" si="15"/>
        <v>2.2394742153443556E-3</v>
      </c>
      <c r="AX109" s="3">
        <f t="shared" si="15"/>
        <v>2.0988706408258074E-3</v>
      </c>
      <c r="AY109" s="3">
        <f t="shared" si="15"/>
        <v>1.9674827456336989E-3</v>
      </c>
      <c r="AZ109" s="3">
        <f t="shared" si="15"/>
        <v>1.8446816102926501E-3</v>
      </c>
      <c r="BA109" s="3">
        <f t="shared" si="15"/>
        <v>1.7298828975886378E-3</v>
      </c>
      <c r="BB109" s="3">
        <f t="shared" si="15"/>
        <v>1.6225435769735177E-3</v>
      </c>
      <c r="BC109" s="3">
        <f t="shared" si="15"/>
        <v>1.5221588979303421E-3</v>
      </c>
      <c r="BD109" s="3">
        <f t="shared" si="15"/>
        <v>1.4282595927598738E-3</v>
      </c>
      <c r="BE109" s="3">
        <f t="shared" si="15"/>
        <v>1.3404092908297566E-3</v>
      </c>
      <c r="BF109" s="3">
        <f t="shared" si="15"/>
        <v>1.2582021277771501E-3</v>
      </c>
      <c r="BG109" s="3">
        <f t="shared" si="15"/>
        <v>1.1812605344845683E-3</v>
      </c>
      <c r="BH109" s="3">
        <f t="shared" si="15"/>
        <v>1.1092331918674599E-3</v>
      </c>
      <c r="BI109" s="3">
        <f t="shared" si="15"/>
        <v>1.041793138630097E-3</v>
      </c>
    </row>
    <row r="110" spans="1:309" ht="18" customHeight="1" x14ac:dyDescent="0.35">
      <c r="A110" s="15" t="s">
        <v>70</v>
      </c>
      <c r="B110" s="3">
        <f t="shared" ref="B110:BI110" si="16">+B105*B109</f>
        <v>4.3250213933479102E-4</v>
      </c>
      <c r="C110" s="3">
        <f t="shared" si="16"/>
        <v>6.6719426626009548E-2</v>
      </c>
      <c r="D110" s="3">
        <f t="shared" si="16"/>
        <v>0.10305852642742036</v>
      </c>
      <c r="E110" s="3">
        <f t="shared" si="16"/>
        <v>0.15615504380583872</v>
      </c>
      <c r="F110" s="3">
        <f t="shared" si="16"/>
        <v>0.23190922378304299</v>
      </c>
      <c r="G110" s="3">
        <f t="shared" si="16"/>
        <v>0.33760286032188069</v>
      </c>
      <c r="H110" s="3">
        <f t="shared" si="16"/>
        <v>0.48202540186319681</v>
      </c>
      <c r="I110" s="3">
        <f t="shared" si="16"/>
        <v>0.6755672029044133</v>
      </c>
      <c r="J110" s="3">
        <f t="shared" si="16"/>
        <v>0.93027095949310745</v>
      </c>
      <c r="K110" s="3">
        <f t="shared" si="16"/>
        <v>1.2598357602723873</v>
      </c>
      <c r="L110" s="3">
        <f t="shared" si="16"/>
        <v>1.6795720835010881</v>
      </c>
      <c r="M110" s="3">
        <f t="shared" si="16"/>
        <v>2.2063124770018754</v>
      </c>
      <c r="N110" s="3">
        <f t="shared" si="16"/>
        <v>2.8582912668605895</v>
      </c>
      <c r="O110" s="3">
        <f t="shared" si="16"/>
        <v>3.6550176241089232</v>
      </c>
      <c r="P110" s="3">
        <f t="shared" si="16"/>
        <v>4.6171805469089975</v>
      </c>
      <c r="Q110" s="3">
        <f t="shared" si="16"/>
        <v>5.7666489571351782</v>
      </c>
      <c r="R110" s="3">
        <f t="shared" si="16"/>
        <v>7.126662628966173</v>
      </c>
      <c r="S110" s="3">
        <f t="shared" si="16"/>
        <v>8.4086060995455565</v>
      </c>
      <c r="T110" s="3">
        <f t="shared" si="16"/>
        <v>8.4558685587792866</v>
      </c>
      <c r="U110" s="3">
        <f t="shared" si="16"/>
        <v>8.4862173708763571</v>
      </c>
      <c r="V110" s="3">
        <f t="shared" si="16"/>
        <v>8.4992179421311533</v>
      </c>
      <c r="W110" s="3">
        <f t="shared" si="16"/>
        <v>8.4949127499933574</v>
      </c>
      <c r="X110" s="3">
        <f t="shared" si="16"/>
        <v>8.4736686542860102</v>
      </c>
      <c r="Y110" s="3">
        <f t="shared" si="16"/>
        <v>8.4360745824133243</v>
      </c>
      <c r="Z110" s="3">
        <f t="shared" si="16"/>
        <v>8.3828719752272125</v>
      </c>
      <c r="AA110" s="3">
        <f t="shared" si="16"/>
        <v>8.3149065855707036</v>
      </c>
      <c r="AB110" s="3">
        <f t="shared" si="16"/>
        <v>8.2330941563372093</v>
      </c>
      <c r="AC110" s="3">
        <f t="shared" si="16"/>
        <v>8.1383952154965247</v>
      </c>
      <c r="AD110" s="3">
        <f t="shared" si="16"/>
        <v>8.0437015559272922</v>
      </c>
      <c r="AE110" s="3">
        <f t="shared" si="16"/>
        <v>7.9133097218519293</v>
      </c>
      <c r="AF110" s="3">
        <f t="shared" si="16"/>
        <v>7.7742473806023025</v>
      </c>
      <c r="AG110" s="3">
        <f t="shared" si="16"/>
        <v>7.6272929747063305</v>
      </c>
      <c r="AH110" s="3">
        <f t="shared" si="16"/>
        <v>7.4732784928688085</v>
      </c>
      <c r="AI110" s="3">
        <f t="shared" si="16"/>
        <v>7.313057206573232</v>
      </c>
      <c r="AJ110" s="3">
        <f t="shared" si="16"/>
        <v>7.1474811145424662</v>
      </c>
      <c r="AK110" s="3">
        <f t="shared" si="16"/>
        <v>6.9773852381352803</v>
      </c>
      <c r="AL110" s="3">
        <f t="shared" si="16"/>
        <v>6.8035767774997167</v>
      </c>
      <c r="AM110" s="3">
        <f t="shared" si="16"/>
        <v>6.6268277402053206</v>
      </c>
      <c r="AN110" s="3">
        <f t="shared" si="16"/>
        <v>6.4478700708327148</v>
      </c>
      <c r="AO110" s="3">
        <f t="shared" si="16"/>
        <v>6.2673925981815675</v>
      </c>
      <c r="AP110" s="3">
        <f t="shared" si="16"/>
        <v>6.086039316052883</v>
      </c>
      <c r="AQ110" s="3">
        <f t="shared" si="16"/>
        <v>5.9044086515834886</v>
      </c>
      <c r="AR110" s="3">
        <f t="shared" si="16"/>
        <v>5.7230534709721894</v>
      </c>
      <c r="AS110" s="3">
        <f t="shared" si="16"/>
        <v>5.542481639313193</v>
      </c>
      <c r="AT110" s="3">
        <f t="shared" si="16"/>
        <v>5.3631569982016076</v>
      </c>
      <c r="AU110" s="3">
        <f t="shared" si="16"/>
        <v>5.1855006580146368</v>
      </c>
      <c r="AV110" s="3">
        <f t="shared" si="16"/>
        <v>5.0098925255624964</v>
      </c>
      <c r="AW110" s="3">
        <f t="shared" si="16"/>
        <v>4.8366730050627211</v>
      </c>
      <c r="AX110" s="3">
        <f t="shared" si="16"/>
        <v>4.6661448231202822</v>
      </c>
      <c r="AY110" s="3">
        <f t="shared" si="16"/>
        <v>4.4985749379614006</v>
      </c>
      <c r="AZ110" s="3">
        <f t="shared" si="16"/>
        <v>4.3341965005093996</v>
      </c>
      <c r="BA110" s="3">
        <f t="shared" si="16"/>
        <v>4.1732108406486308</v>
      </c>
      <c r="BB110" s="3">
        <f t="shared" si="16"/>
        <v>4.0157894566393724</v>
      </c>
      <c r="BC110" s="3">
        <f t="shared" si="16"/>
        <v>3.8620759894259926</v>
      </c>
      <c r="BD110" s="3">
        <f t="shared" si="16"/>
        <v>3.7121881667326009</v>
      </c>
      <c r="BE110" s="3">
        <f t="shared" si="16"/>
        <v>3.5662197045107025</v>
      </c>
      <c r="BF110" s="3">
        <f t="shared" si="16"/>
        <v>3.4242421555936109</v>
      </c>
      <c r="BG110" s="3">
        <f t="shared" si="16"/>
        <v>3.2863066973953012</v>
      </c>
      <c r="BH110" s="3">
        <f t="shared" si="16"/>
        <v>3.1524458522183965</v>
      </c>
      <c r="BI110" s="3">
        <f t="shared" si="16"/>
        <v>3.0226751352455485</v>
      </c>
    </row>
    <row r="111" spans="1:309" ht="18" customHeight="1" x14ac:dyDescent="0.35">
      <c r="A111" s="15" t="s">
        <v>11</v>
      </c>
      <c r="B111" s="3">
        <f>+B108-B110</f>
        <v>63.425151779250172</v>
      </c>
      <c r="C111" s="3">
        <f>+C108-C110</f>
        <v>75.453218391892463</v>
      </c>
      <c r="D111" s="3">
        <f>+D108-D110</f>
        <v>88.989735625825105</v>
      </c>
      <c r="E111" s="3">
        <f>+E108-E110</f>
        <v>104.02774285164544</v>
      </c>
      <c r="F111" s="3">
        <f>+F108-F110</f>
        <v>120.57426776087925</v>
      </c>
      <c r="G111" s="3">
        <f t="shared" ref="G111:BI111" si="17">+G108-G110</f>
        <v>138.63190392968573</v>
      </c>
      <c r="H111" s="3">
        <f t="shared" si="17"/>
        <v>158.19933320437121</v>
      </c>
      <c r="I111" s="3">
        <f t="shared" si="17"/>
        <v>179.27174881489697</v>
      </c>
      <c r="J111" s="3">
        <f t="shared" si="17"/>
        <v>201.84124021264194</v>
      </c>
      <c r="K111" s="3">
        <f t="shared" si="17"/>
        <v>225.89713685911843</v>
      </c>
      <c r="L111" s="3">
        <f t="shared" si="17"/>
        <v>251.42623533655055</v>
      </c>
      <c r="M111" s="3">
        <f t="shared" si="17"/>
        <v>278.41273875028901</v>
      </c>
      <c r="N111" s="3">
        <f t="shared" si="17"/>
        <v>306.83759238976938</v>
      </c>
      <c r="O111" s="3">
        <f t="shared" si="17"/>
        <v>336.67666973432216</v>
      </c>
      <c r="P111" s="3">
        <f t="shared" si="17"/>
        <v>367.89687841472812</v>
      </c>
      <c r="Q111" s="3">
        <f t="shared" si="17"/>
        <v>400.44858693455689</v>
      </c>
      <c r="R111" s="3">
        <f t="shared" si="17"/>
        <v>434.25160067233435</v>
      </c>
      <c r="S111" s="3">
        <f t="shared" si="17"/>
        <v>469.4835036942988</v>
      </c>
      <c r="T111" s="3">
        <f t="shared" si="17"/>
        <v>507.2677026982563</v>
      </c>
      <c r="U111" s="3">
        <f t="shared" si="17"/>
        <v>546.93660433584262</v>
      </c>
      <c r="V111" s="3">
        <f t="shared" si="17"/>
        <v>588.42652378852756</v>
      </c>
      <c r="W111" s="3">
        <f t="shared" si="17"/>
        <v>631.67855411024641</v>
      </c>
      <c r="X111" s="3">
        <f t="shared" si="17"/>
        <v>676.63565007250327</v>
      </c>
      <c r="Y111" s="3">
        <f t="shared" si="17"/>
        <v>723.24079726267121</v>
      </c>
      <c r="Z111" s="3">
        <f t="shared" si="17"/>
        <v>771.43592239741133</v>
      </c>
      <c r="AA111" s="3">
        <f t="shared" si="17"/>
        <v>821.16130762223315</v>
      </c>
      <c r="AB111" s="3">
        <f t="shared" si="17"/>
        <v>872.35533485994483</v>
      </c>
      <c r="AC111" s="3">
        <f t="shared" si="17"/>
        <v>924.95444130570081</v>
      </c>
      <c r="AD111" s="3">
        <f t="shared" si="17"/>
        <v>980.34422577604357</v>
      </c>
      <c r="AE111" s="3">
        <f t="shared" si="17"/>
        <v>1033.9759823971312</v>
      </c>
      <c r="AF111" s="3">
        <f t="shared" si="17"/>
        <v>1088.7501462314688</v>
      </c>
      <c r="AG111" s="3">
        <f t="shared" si="17"/>
        <v>1144.5789249422617</v>
      </c>
      <c r="AH111" s="3">
        <f t="shared" si="17"/>
        <v>1201.3792527757707</v>
      </c>
      <c r="AI111" s="3">
        <f t="shared" si="17"/>
        <v>1259.0715999423744</v>
      </c>
      <c r="AJ111" s="3">
        <f t="shared" si="17"/>
        <v>1317.5791416891188</v>
      </c>
      <c r="AK111" s="3">
        <f t="shared" si="17"/>
        <v>1376.8271926156228</v>
      </c>
      <c r="AL111" s="3">
        <f t="shared" si="17"/>
        <v>1436.7428353842836</v>
      </c>
      <c r="AM111" s="3">
        <f t="shared" si="17"/>
        <v>1497.2546908938189</v>
      </c>
      <c r="AN111" s="3">
        <f t="shared" si="17"/>
        <v>1558.2927904707167</v>
      </c>
      <c r="AO111" s="3">
        <f t="shared" si="17"/>
        <v>1619.7885207270806</v>
      </c>
      <c r="AP111" s="3">
        <f t="shared" si="17"/>
        <v>1681.6746192648482</v>
      </c>
      <c r="AQ111" s="3">
        <f t="shared" si="17"/>
        <v>1743.8852050176306</v>
      </c>
      <c r="AR111" s="3">
        <f t="shared" si="17"/>
        <v>1806.3558312014381</v>
      </c>
      <c r="AS111" s="3">
        <f t="shared" si="17"/>
        <v>1869.0235519622609</v>
      </c>
      <c r="AT111" s="3">
        <f t="shared" si="17"/>
        <v>1931.8269961364501</v>
      </c>
      <c r="AU111" s="3">
        <f t="shared" si="17"/>
        <v>1994.7064432830582</v>
      </c>
      <c r="AV111" s="3">
        <f t="shared" si="17"/>
        <v>2057.6038984567458</v>
      </c>
      <c r="AW111" s="3">
        <f t="shared" si="17"/>
        <v>2120.4631631767625</v>
      </c>
      <c r="AX111" s="3">
        <f t="shared" si="17"/>
        <v>2183.2299007942083</v>
      </c>
      <c r="AY111" s="3">
        <f t="shared" si="17"/>
        <v>2245.8516950267244</v>
      </c>
      <c r="AZ111" s="3">
        <f t="shared" si="17"/>
        <v>2308.2781008617162</v>
      </c>
      <c r="BA111" s="3">
        <f t="shared" si="17"/>
        <v>2370.4606873591233</v>
      </c>
      <c r="BB111" s="3">
        <f t="shared" si="17"/>
        <v>2432.3530721372263</v>
      </c>
      <c r="BC111" s="3">
        <f t="shared" si="17"/>
        <v>2493.9109475180117</v>
      </c>
      <c r="BD111" s="3">
        <f t="shared" si="17"/>
        <v>2555.0920984559766</v>
      </c>
      <c r="BE111" s="3">
        <f t="shared" si="17"/>
        <v>2615.8564124860309</v>
      </c>
      <c r="BF111" s="3">
        <f t="shared" si="17"/>
        <v>2676.1658820099847</v>
      </c>
      <c r="BG111" s="3">
        <f t="shared" si="17"/>
        <v>2735.9845993030749</v>
      </c>
      <c r="BH111" s="3">
        <f t="shared" si="17"/>
        <v>2795.2787446662855</v>
      </c>
      <c r="BI111" s="3">
        <f t="shared" si="17"/>
        <v>2854.0165681805838</v>
      </c>
    </row>
    <row r="112" spans="1:309" ht="18" customHeight="1" thickBot="1" x14ac:dyDescent="0.4">
      <c r="A112" s="82" t="s">
        <v>38</v>
      </c>
      <c r="B112" s="3"/>
    </row>
    <row r="113" spans="1:124" ht="29.5" thickTop="1" x14ac:dyDescent="0.35">
      <c r="A113" s="15" t="s">
        <v>235</v>
      </c>
      <c r="B113" s="3">
        <f>+B114+B44</f>
        <v>31.399715356173722</v>
      </c>
      <c r="C113" s="3">
        <f t="shared" ref="C113:BI113" si="18">+C114+C44</f>
        <v>28.432739233025814</v>
      </c>
      <c r="D113" s="3">
        <f t="shared" si="18"/>
        <v>30.359472091183161</v>
      </c>
      <c r="E113" s="3">
        <f t="shared" si="18"/>
        <v>32.069550523183381</v>
      </c>
      <c r="F113" s="3">
        <f t="shared" si="18"/>
        <v>33.472685260465454</v>
      </c>
      <c r="G113" s="3">
        <f t="shared" si="18"/>
        <v>34.4878007214826</v>
      </c>
      <c r="H113" s="3">
        <f t="shared" si="18"/>
        <v>35.043018176115652</v>
      </c>
      <c r="I113" s="3">
        <f t="shared" si="18"/>
        <v>35.075536010441084</v>
      </c>
      <c r="J113" s="3">
        <f t="shared" si="18"/>
        <v>34.531446402976812</v>
      </c>
      <c r="K113" s="3">
        <f t="shared" si="18"/>
        <v>33.365481361187868</v>
      </c>
      <c r="L113" s="3">
        <f t="shared" si="18"/>
        <v>31.540671153750026</v>
      </c>
      <c r="M113" s="3">
        <f t="shared" si="18"/>
        <v>29.027881667478209</v>
      </c>
      <c r="N113" s="3">
        <f t="shared" si="18"/>
        <v>25.805186744848804</v>
      </c>
      <c r="O113" s="3">
        <f t="shared" si="18"/>
        <v>21.857026153909018</v>
      </c>
      <c r="P113" s="3">
        <f t="shared" si="18"/>
        <v>17.173095307674778</v>
      </c>
      <c r="Q113" s="3">
        <f t="shared" si="18"/>
        <v>11.746879624194895</v>
      </c>
      <c r="R113" s="3">
        <f t="shared" si="18"/>
        <v>5.5737450756898639</v>
      </c>
      <c r="S113" s="3">
        <f t="shared" si="18"/>
        <v>3.4671412091379708E-2</v>
      </c>
      <c r="T113" s="3">
        <f t="shared" si="18"/>
        <v>2.7737129673079893E-2</v>
      </c>
      <c r="U113" s="3">
        <f t="shared" si="18"/>
        <v>2.2189703738452922E-2</v>
      </c>
      <c r="V113" s="3">
        <f t="shared" si="18"/>
        <v>1.7751762990847259E-2</v>
      </c>
      <c r="W113" s="3">
        <f t="shared" si="18"/>
        <v>1.4201410392625244E-2</v>
      </c>
      <c r="X113" s="3">
        <f t="shared" si="18"/>
        <v>1.1361128314068844E-2</v>
      </c>
      <c r="Y113" s="3">
        <f t="shared" si="18"/>
        <v>9.0889026512550753E-3</v>
      </c>
      <c r="Z113" s="3">
        <f t="shared" si="18"/>
        <v>7.2711221211153318E-3</v>
      </c>
      <c r="AA113" s="3">
        <f t="shared" si="18"/>
        <v>5.8168976968032485E-3</v>
      </c>
      <c r="AB113" s="3">
        <f t="shared" si="18"/>
        <v>4.6535181574713386E-3</v>
      </c>
      <c r="AC113" s="3">
        <f t="shared" si="18"/>
        <v>3.722814526026923E-3</v>
      </c>
      <c r="AD113" s="3">
        <f t="shared" si="18"/>
        <v>2.9782516207632632E-3</v>
      </c>
      <c r="AE113" s="3">
        <f t="shared" si="18"/>
        <v>2.3826012966106109E-3</v>
      </c>
      <c r="AF113" s="3">
        <f t="shared" si="18"/>
        <v>1.9060810372884887E-3</v>
      </c>
      <c r="AG113" s="3">
        <f t="shared" si="18"/>
        <v>1.524864829830791E-3</v>
      </c>
      <c r="AH113" s="3">
        <f t="shared" si="18"/>
        <v>1.2198918638646329E-3</v>
      </c>
      <c r="AI113" s="3">
        <f t="shared" si="18"/>
        <v>9.7591349109170638E-4</v>
      </c>
      <c r="AJ113" s="3">
        <f t="shared" si="18"/>
        <v>7.8073079287336515E-4</v>
      </c>
      <c r="AK113" s="3">
        <f t="shared" si="18"/>
        <v>6.2458463429869221E-4</v>
      </c>
      <c r="AL113" s="3">
        <f t="shared" si="18"/>
        <v>4.9966770743895374E-4</v>
      </c>
      <c r="AM113" s="3">
        <f t="shared" si="18"/>
        <v>3.9973416595116303E-4</v>
      </c>
      <c r="AN113" s="3">
        <f t="shared" si="18"/>
        <v>3.1978733276093044E-4</v>
      </c>
      <c r="AO113" s="3">
        <f t="shared" si="18"/>
        <v>2.5582986620874439E-4</v>
      </c>
      <c r="AP113" s="3">
        <f t="shared" si="18"/>
        <v>2.0466389296699552E-4</v>
      </c>
      <c r="AQ113" s="3">
        <f t="shared" si="18"/>
        <v>1.6373111437359642E-4</v>
      </c>
      <c r="AR113" s="3">
        <f t="shared" si="18"/>
        <v>1.3098489149887714E-4</v>
      </c>
      <c r="AS113" s="3">
        <f t="shared" si="18"/>
        <v>1.0478791319910172E-4</v>
      </c>
      <c r="AT113" s="3">
        <f t="shared" si="18"/>
        <v>8.3830330559281379E-5</v>
      </c>
      <c r="AU113" s="3">
        <f t="shared" si="18"/>
        <v>6.7064264447425106E-5</v>
      </c>
      <c r="AV113" s="3">
        <f t="shared" si="18"/>
        <v>5.365141155794009E-5</v>
      </c>
      <c r="AW113" s="3">
        <f t="shared" si="18"/>
        <v>4.2921129246352076E-5</v>
      </c>
      <c r="AX113" s="3">
        <f t="shared" si="18"/>
        <v>3.4336903397081661E-5</v>
      </c>
      <c r="AY113" s="3">
        <f t="shared" si="18"/>
        <v>2.7469522717665329E-5</v>
      </c>
      <c r="AZ113" s="3">
        <f t="shared" si="18"/>
        <v>2.1975618174132264E-5</v>
      </c>
      <c r="BA113" s="3">
        <f t="shared" si="18"/>
        <v>1.7580494539305812E-5</v>
      </c>
      <c r="BB113" s="3">
        <f t="shared" si="18"/>
        <v>1.4064395631444651E-5</v>
      </c>
      <c r="BC113" s="3">
        <f t="shared" si="18"/>
        <v>1.1251516505155721E-5</v>
      </c>
      <c r="BD113" s="3">
        <f t="shared" si="18"/>
        <v>9.0012132041245777E-6</v>
      </c>
      <c r="BE113" s="3">
        <f t="shared" si="18"/>
        <v>7.2009705632996627E-6</v>
      </c>
      <c r="BF113" s="3">
        <f t="shared" si="18"/>
        <v>5.7607764506397308E-6</v>
      </c>
      <c r="BG113" s="3">
        <f t="shared" si="18"/>
        <v>4.6086211605117848E-6</v>
      </c>
      <c r="BH113" s="3">
        <f t="shared" si="18"/>
        <v>3.6868969284094279E-6</v>
      </c>
      <c r="BI113" s="3">
        <f t="shared" si="18"/>
        <v>2.9495175427275426E-6</v>
      </c>
    </row>
    <row r="114" spans="1:124" x14ac:dyDescent="0.35">
      <c r="A114" s="15" t="s">
        <v>236</v>
      </c>
      <c r="B114" s="51">
        <f t="shared" ref="B114:BI114" si="19">+B41*B105*(1-B137)</f>
        <v>29.859995356173723</v>
      </c>
      <c r="C114" s="51">
        <f t="shared" si="19"/>
        <v>27.200963233025814</v>
      </c>
      <c r="D114" s="51">
        <f t="shared" si="19"/>
        <v>29.374051291183161</v>
      </c>
      <c r="E114" s="51">
        <f t="shared" si="19"/>
        <v>31.281213883183383</v>
      </c>
      <c r="F114" s="51">
        <f t="shared" si="19"/>
        <v>32.842015948465452</v>
      </c>
      <c r="G114" s="51">
        <f t="shared" si="19"/>
        <v>33.983265271882601</v>
      </c>
      <c r="H114" s="51">
        <f t="shared" si="19"/>
        <v>34.639389816435653</v>
      </c>
      <c r="I114" s="51">
        <f t="shared" si="19"/>
        <v>34.752633322697086</v>
      </c>
      <c r="J114" s="51">
        <f t="shared" si="19"/>
        <v>34.273124252781614</v>
      </c>
      <c r="K114" s="51">
        <f t="shared" si="19"/>
        <v>33.158823641031709</v>
      </c>
      <c r="L114" s="51">
        <f t="shared" si="19"/>
        <v>31.375344977625097</v>
      </c>
      <c r="M114" s="51">
        <f t="shared" si="19"/>
        <v>28.895620726578265</v>
      </c>
      <c r="N114" s="51">
        <f t="shared" si="19"/>
        <v>25.699377992128849</v>
      </c>
      <c r="O114" s="51">
        <f t="shared" si="19"/>
        <v>21.772379151733055</v>
      </c>
      <c r="P114" s="51">
        <f t="shared" si="19"/>
        <v>17.105377705934007</v>
      </c>
      <c r="Q114" s="51">
        <f t="shared" si="19"/>
        <v>11.692705542802278</v>
      </c>
      <c r="R114" s="51">
        <f t="shared" si="19"/>
        <v>5.530405810575771</v>
      </c>
      <c r="S114" s="51">
        <f t="shared" si="19"/>
        <v>1.0517145194410038E-13</v>
      </c>
      <c r="T114" s="51">
        <f t="shared" si="19"/>
        <v>6.0263585021219114E-14</v>
      </c>
      <c r="U114" s="51">
        <f t="shared" si="19"/>
        <v>3.721838524030898E-14</v>
      </c>
      <c r="V114" s="51">
        <f t="shared" si="19"/>
        <v>1.1469354593980713E-13</v>
      </c>
      <c r="W114" s="51">
        <f t="shared" si="19"/>
        <v>3.919160652794481E-14</v>
      </c>
      <c r="X114" s="51">
        <f t="shared" si="19"/>
        <v>0</v>
      </c>
      <c r="Y114" s="51">
        <f t="shared" si="19"/>
        <v>0</v>
      </c>
      <c r="Z114" s="51">
        <f t="shared" si="19"/>
        <v>1.1127096702327244E-13</v>
      </c>
      <c r="AA114" s="51">
        <f t="shared" si="19"/>
        <v>0</v>
      </c>
      <c r="AB114" s="51">
        <f t="shared" si="19"/>
        <v>2.8739743532005069E-14</v>
      </c>
      <c r="AC114" s="51">
        <f t="shared" si="19"/>
        <v>7.2844031789468677E-14</v>
      </c>
      <c r="AD114" s="51">
        <f t="shared" si="19"/>
        <v>0</v>
      </c>
      <c r="AE114" s="51">
        <f t="shared" si="19"/>
        <v>0</v>
      </c>
      <c r="AF114" s="51">
        <f t="shared" si="19"/>
        <v>0</v>
      </c>
      <c r="AG114" s="51">
        <f t="shared" si="19"/>
        <v>0</v>
      </c>
      <c r="AH114" s="51">
        <f t="shared" si="19"/>
        <v>0</v>
      </c>
      <c r="AI114" s="51">
        <f t="shared" si="19"/>
        <v>0</v>
      </c>
      <c r="AJ114" s="51">
        <f t="shared" si="19"/>
        <v>0</v>
      </c>
      <c r="AK114" s="51">
        <f t="shared" si="19"/>
        <v>0</v>
      </c>
      <c r="AL114" s="51">
        <f t="shared" si="19"/>
        <v>0</v>
      </c>
      <c r="AM114" s="51">
        <f t="shared" si="19"/>
        <v>0</v>
      </c>
      <c r="AN114" s="51">
        <f t="shared" si="19"/>
        <v>0</v>
      </c>
      <c r="AO114" s="51">
        <f t="shared" si="19"/>
        <v>0</v>
      </c>
      <c r="AP114" s="51">
        <f t="shared" si="19"/>
        <v>0</v>
      </c>
      <c r="AQ114" s="51">
        <f t="shared" si="19"/>
        <v>0</v>
      </c>
      <c r="AR114" s="51">
        <f t="shared" si="19"/>
        <v>0</v>
      </c>
      <c r="AS114" s="51">
        <f t="shared" si="19"/>
        <v>0</v>
      </c>
      <c r="AT114" s="51">
        <f t="shared" si="19"/>
        <v>0</v>
      </c>
      <c r="AU114" s="51">
        <f t="shared" si="19"/>
        <v>0</v>
      </c>
      <c r="AV114" s="51">
        <f t="shared" si="19"/>
        <v>0</v>
      </c>
      <c r="AW114" s="51">
        <f t="shared" si="19"/>
        <v>0</v>
      </c>
      <c r="AX114" s="51">
        <f t="shared" si="19"/>
        <v>0</v>
      </c>
      <c r="AY114" s="51">
        <f t="shared" si="19"/>
        <v>0</v>
      </c>
      <c r="AZ114" s="51">
        <f t="shared" si="19"/>
        <v>0</v>
      </c>
      <c r="BA114" s="51">
        <f t="shared" si="19"/>
        <v>0</v>
      </c>
      <c r="BB114" s="51">
        <f t="shared" si="19"/>
        <v>0</v>
      </c>
      <c r="BC114" s="51">
        <f t="shared" si="19"/>
        <v>0</v>
      </c>
      <c r="BD114" s="51">
        <f t="shared" si="19"/>
        <v>0</v>
      </c>
      <c r="BE114" s="51">
        <f t="shared" si="19"/>
        <v>0</v>
      </c>
      <c r="BF114" s="51">
        <f t="shared" si="19"/>
        <v>0</v>
      </c>
      <c r="BG114" s="51">
        <f t="shared" si="19"/>
        <v>0</v>
      </c>
      <c r="BH114" s="51">
        <f t="shared" si="19"/>
        <v>0</v>
      </c>
      <c r="BI114" s="51">
        <f t="shared" si="19"/>
        <v>0</v>
      </c>
      <c r="BJ114" s="51"/>
      <c r="BK114" s="51"/>
      <c r="BL114" s="51"/>
      <c r="BM114" s="51"/>
      <c r="BN114" s="51"/>
      <c r="BO114" s="51"/>
      <c r="BP114" s="51"/>
      <c r="BQ114" s="51"/>
      <c r="BR114" s="51"/>
      <c r="BS114" s="51"/>
      <c r="BT114" s="51"/>
      <c r="BU114" s="51"/>
      <c r="BV114" s="51"/>
      <c r="BW114" s="51"/>
      <c r="BX114" s="51"/>
      <c r="BY114" s="51"/>
      <c r="BZ114" s="51"/>
      <c r="CA114" s="51"/>
      <c r="CB114" s="51"/>
      <c r="CC114" s="51"/>
      <c r="CD114" s="51"/>
      <c r="CE114" s="51"/>
      <c r="CF114" s="51"/>
      <c r="CG114" s="51"/>
      <c r="CH114" s="51"/>
      <c r="CI114" s="51"/>
      <c r="CJ114" s="51"/>
      <c r="CK114" s="51"/>
      <c r="CL114" s="51"/>
      <c r="CM114" s="51"/>
      <c r="CN114" s="51"/>
      <c r="CO114" s="51"/>
      <c r="CP114" s="51"/>
      <c r="CQ114" s="51"/>
      <c r="CR114" s="51"/>
      <c r="CS114" s="51"/>
      <c r="CT114" s="51"/>
      <c r="CU114" s="51"/>
      <c r="CV114" s="51"/>
      <c r="CW114" s="51"/>
      <c r="CX114" s="51"/>
      <c r="CY114" s="51"/>
      <c r="CZ114" s="51"/>
      <c r="DA114" s="51"/>
      <c r="DB114" s="51"/>
      <c r="DC114" s="51"/>
      <c r="DD114" s="51"/>
      <c r="DE114" s="51"/>
      <c r="DF114" s="51"/>
      <c r="DG114" s="51"/>
      <c r="DH114" s="51"/>
      <c r="DI114" s="51"/>
      <c r="DJ114" s="51"/>
      <c r="DK114" s="51"/>
      <c r="DL114" s="51"/>
      <c r="DM114" s="51"/>
      <c r="DN114" s="51"/>
      <c r="DO114" s="51"/>
      <c r="DP114" s="51"/>
      <c r="DQ114" s="51"/>
      <c r="DR114" s="51"/>
      <c r="DS114" s="51"/>
      <c r="DT114" s="51"/>
    </row>
    <row r="115" spans="1:124" s="69" customFormat="1" x14ac:dyDescent="0.35">
      <c r="A115" s="15" t="s">
        <v>100</v>
      </c>
      <c r="B115" s="51">
        <f t="shared" ref="B115:BI115" si="20">+B114/B105</f>
        <v>0.46992394140582522</v>
      </c>
      <c r="C115" s="51">
        <f t="shared" si="20"/>
        <v>0.35934687530436232</v>
      </c>
      <c r="D115" s="51">
        <f t="shared" si="20"/>
        <v>0.3287483260922584</v>
      </c>
      <c r="E115" s="51">
        <f t="shared" si="20"/>
        <v>0.29918190204292139</v>
      </c>
      <c r="F115" s="51">
        <f t="shared" si="20"/>
        <v>0.27068213008077113</v>
      </c>
      <c r="G115" s="51">
        <f t="shared" si="20"/>
        <v>0.2432687629671697</v>
      </c>
      <c r="H115" s="51">
        <f t="shared" si="20"/>
        <v>0.21695130555242276</v>
      </c>
      <c r="I115" s="51">
        <f t="shared" si="20"/>
        <v>0.19173200023217479</v>
      </c>
      <c r="J115" s="51">
        <f t="shared" si="20"/>
        <v>0.16760774863251757</v>
      </c>
      <c r="K115" s="51">
        <f t="shared" si="20"/>
        <v>0.14457121621920435</v>
      </c>
      <c r="L115" s="51">
        <f t="shared" si="20"/>
        <v>0.12261134981632849</v>
      </c>
      <c r="M115" s="51">
        <f t="shared" si="20"/>
        <v>0.10171343298964423</v>
      </c>
      <c r="N115" s="51">
        <f t="shared" si="20"/>
        <v>8.1858738808425008E-2</v>
      </c>
      <c r="O115" s="51">
        <f t="shared" si="20"/>
        <v>6.3023785253449691E-2</v>
      </c>
      <c r="P115" s="51">
        <f t="shared" si="20"/>
        <v>4.5179127882551344E-2</v>
      </c>
      <c r="Q115" s="51">
        <f t="shared" si="20"/>
        <v>2.82874513375783E-2</v>
      </c>
      <c r="R115" s="51">
        <f t="shared" si="20"/>
        <v>1.2300603865872289E-2</v>
      </c>
      <c r="S115" s="51">
        <f t="shared" si="20"/>
        <v>2.158593872996637E-16</v>
      </c>
      <c r="T115" s="51">
        <f t="shared" si="20"/>
        <v>1.1453917279386995E-16</v>
      </c>
      <c r="U115" s="51">
        <f t="shared" si="20"/>
        <v>6.5653883893208559E-17</v>
      </c>
      <c r="V115" s="51">
        <f t="shared" si="20"/>
        <v>1.8820702667976573E-16</v>
      </c>
      <c r="W115" s="51">
        <f t="shared" si="20"/>
        <v>5.9960779091298637E-17</v>
      </c>
      <c r="X115" s="51">
        <f t="shared" si="20"/>
        <v>0</v>
      </c>
      <c r="Y115" s="51">
        <f t="shared" si="20"/>
        <v>0</v>
      </c>
      <c r="Z115" s="51">
        <f t="shared" si="20"/>
        <v>1.397913667903042E-16</v>
      </c>
      <c r="AA115" s="51">
        <f t="shared" si="20"/>
        <v>0</v>
      </c>
      <c r="AB115" s="51">
        <f t="shared" si="20"/>
        <v>3.1988973580717164E-17</v>
      </c>
      <c r="AC115" s="51">
        <f t="shared" si="20"/>
        <v>7.6537443895172543E-17</v>
      </c>
      <c r="AD115" s="51">
        <f t="shared" si="20"/>
        <v>0</v>
      </c>
      <c r="AE115" s="51">
        <f t="shared" si="20"/>
        <v>0</v>
      </c>
      <c r="AF115" s="51">
        <f t="shared" si="20"/>
        <v>0</v>
      </c>
      <c r="AG115" s="51">
        <f t="shared" si="20"/>
        <v>0</v>
      </c>
      <c r="AH115" s="51">
        <f t="shared" si="20"/>
        <v>0</v>
      </c>
      <c r="AI115" s="51">
        <f t="shared" si="20"/>
        <v>0</v>
      </c>
      <c r="AJ115" s="51">
        <f t="shared" si="20"/>
        <v>0</v>
      </c>
      <c r="AK115" s="51">
        <f t="shared" si="20"/>
        <v>0</v>
      </c>
      <c r="AL115" s="51">
        <f t="shared" si="20"/>
        <v>0</v>
      </c>
      <c r="AM115" s="51">
        <f t="shared" si="20"/>
        <v>0</v>
      </c>
      <c r="AN115" s="51">
        <f t="shared" si="20"/>
        <v>0</v>
      </c>
      <c r="AO115" s="51">
        <f t="shared" si="20"/>
        <v>0</v>
      </c>
      <c r="AP115" s="51">
        <f t="shared" si="20"/>
        <v>0</v>
      </c>
      <c r="AQ115" s="51">
        <f t="shared" si="20"/>
        <v>0</v>
      </c>
      <c r="AR115" s="51">
        <f t="shared" si="20"/>
        <v>0</v>
      </c>
      <c r="AS115" s="51">
        <f t="shared" si="20"/>
        <v>0</v>
      </c>
      <c r="AT115" s="51">
        <f t="shared" si="20"/>
        <v>0</v>
      </c>
      <c r="AU115" s="51">
        <f t="shared" si="20"/>
        <v>0</v>
      </c>
      <c r="AV115" s="51">
        <f t="shared" si="20"/>
        <v>0</v>
      </c>
      <c r="AW115" s="51">
        <f t="shared" si="20"/>
        <v>0</v>
      </c>
      <c r="AX115" s="51">
        <f t="shared" si="20"/>
        <v>0</v>
      </c>
      <c r="AY115" s="51">
        <f t="shared" si="20"/>
        <v>0</v>
      </c>
      <c r="AZ115" s="51">
        <f t="shared" si="20"/>
        <v>0</v>
      </c>
      <c r="BA115" s="51">
        <f t="shared" si="20"/>
        <v>0</v>
      </c>
      <c r="BB115" s="51">
        <f t="shared" si="20"/>
        <v>0</v>
      </c>
      <c r="BC115" s="51">
        <f t="shared" si="20"/>
        <v>0</v>
      </c>
      <c r="BD115" s="51">
        <f t="shared" si="20"/>
        <v>0</v>
      </c>
      <c r="BE115" s="51">
        <f t="shared" si="20"/>
        <v>0</v>
      </c>
      <c r="BF115" s="51">
        <f t="shared" si="20"/>
        <v>0</v>
      </c>
      <c r="BG115" s="51">
        <f t="shared" si="20"/>
        <v>0</v>
      </c>
      <c r="BH115" s="51">
        <f t="shared" si="20"/>
        <v>0</v>
      </c>
      <c r="BI115" s="51">
        <f t="shared" si="20"/>
        <v>0</v>
      </c>
      <c r="BJ115" s="51"/>
      <c r="BK115" s="51"/>
      <c r="BL115" s="51"/>
      <c r="BM115" s="51"/>
      <c r="BN115" s="51"/>
      <c r="BO115" s="51"/>
      <c r="BP115" s="51"/>
      <c r="BQ115" s="51"/>
      <c r="BR115" s="51"/>
      <c r="BS115" s="51"/>
      <c r="BT115" s="51"/>
      <c r="BU115" s="51"/>
      <c r="BV115" s="51"/>
      <c r="BW115" s="51"/>
      <c r="BX115" s="51"/>
      <c r="BY115" s="51"/>
      <c r="BZ115" s="51"/>
      <c r="CA115" s="51"/>
      <c r="CB115" s="51"/>
      <c r="CC115" s="51"/>
      <c r="CD115" s="51"/>
      <c r="CE115" s="51"/>
      <c r="CF115" s="51"/>
      <c r="CG115" s="51"/>
      <c r="CH115" s="51"/>
      <c r="CI115" s="51"/>
      <c r="CJ115" s="51"/>
      <c r="CK115" s="51"/>
      <c r="CL115" s="51"/>
      <c r="CM115" s="51"/>
      <c r="CN115" s="51"/>
      <c r="CO115" s="51"/>
      <c r="CP115" s="51"/>
      <c r="CQ115" s="51"/>
      <c r="CR115" s="51"/>
      <c r="CS115" s="51"/>
      <c r="CT115" s="51"/>
      <c r="CU115" s="51"/>
      <c r="CV115" s="51"/>
      <c r="CW115" s="51"/>
      <c r="CX115" s="51"/>
      <c r="CY115" s="51"/>
      <c r="CZ115" s="51"/>
      <c r="DA115" s="51"/>
      <c r="DB115" s="51"/>
      <c r="DC115" s="51"/>
      <c r="DD115" s="51"/>
      <c r="DE115" s="51"/>
      <c r="DF115" s="51"/>
      <c r="DG115" s="51"/>
      <c r="DH115" s="51"/>
      <c r="DI115" s="51"/>
      <c r="DJ115" s="51"/>
      <c r="DK115" s="51"/>
      <c r="DL115" s="51"/>
      <c r="DM115" s="51"/>
      <c r="DN115" s="51"/>
      <c r="DO115" s="51"/>
      <c r="DP115" s="51"/>
      <c r="DQ115" s="51"/>
    </row>
    <row r="116" spans="1:124" ht="17.5" thickBot="1" x14ac:dyDescent="0.4">
      <c r="A116" s="82" t="s">
        <v>12</v>
      </c>
    </row>
    <row r="117" spans="1:124" ht="29.5" thickTop="1" x14ac:dyDescent="0.35">
      <c r="A117" s="15" t="s">
        <v>132</v>
      </c>
      <c r="B117" s="51">
        <f t="shared" ref="B117:BI117" si="21">(B132)*B111</f>
        <v>16.203714892534268</v>
      </c>
      <c r="C117" s="3">
        <f t="shared" si="21"/>
        <v>19.139990229804461</v>
      </c>
      <c r="D117" s="3">
        <f t="shared" si="21"/>
        <v>22.463663275601789</v>
      </c>
      <c r="E117" s="3">
        <f t="shared" si="21"/>
        <v>26.164785561096995</v>
      </c>
      <c r="F117" s="3">
        <f t="shared" si="21"/>
        <v>30.252702214919342</v>
      </c>
      <c r="G117" s="3">
        <f t="shared" si="21"/>
        <v>34.736934055434162</v>
      </c>
      <c r="H117" s="3">
        <f t="shared" si="21"/>
        <v>39.627097266059465</v>
      </c>
      <c r="I117" s="3">
        <f t="shared" si="21"/>
        <v>44.932713459769779</v>
      </c>
      <c r="J117" s="3">
        <f t="shared" si="21"/>
        <v>50.66287325984355</v>
      </c>
      <c r="K117" s="3">
        <f t="shared" si="21"/>
        <v>56.825648931858829</v>
      </c>
      <c r="L117" s="3">
        <f t="shared" si="21"/>
        <v>63.427059610000562</v>
      </c>
      <c r="M117" s="3">
        <f t="shared" si="21"/>
        <v>70.46923777937559</v>
      </c>
      <c r="N117" s="3">
        <f t="shared" si="21"/>
        <v>77.947190745143544</v>
      </c>
      <c r="O117" s="3">
        <f t="shared" si="21"/>
        <v>85.843111807053901</v>
      </c>
      <c r="P117" s="3">
        <f t="shared" si="21"/>
        <v>94.116434668974861</v>
      </c>
      <c r="Q117" s="3">
        <f t="shared" si="21"/>
        <v>102.68650661817593</v>
      </c>
      <c r="R117" s="3">
        <f t="shared" si="21"/>
        <v>111.40237345470017</v>
      </c>
      <c r="S117" s="3">
        <f t="shared" si="21"/>
        <v>120.30418268306401</v>
      </c>
      <c r="T117" s="3">
        <f t="shared" si="21"/>
        <v>130.36299523606328</v>
      </c>
      <c r="U117" s="3">
        <f t="shared" si="21"/>
        <v>140.97321329439438</v>
      </c>
      <c r="V117" s="3">
        <f t="shared" si="21"/>
        <v>152.12448646982455</v>
      </c>
      <c r="W117" s="3">
        <f t="shared" si="21"/>
        <v>163.80631772547116</v>
      </c>
      <c r="X117" s="3">
        <f t="shared" si="21"/>
        <v>176.00761045376032</v>
      </c>
      <c r="Y117" s="3">
        <f t="shared" si="21"/>
        <v>188.7163981469738</v>
      </c>
      <c r="Z117" s="3">
        <f t="shared" si="21"/>
        <v>201.91971645329926</v>
      </c>
      <c r="AA117" s="3">
        <f t="shared" si="21"/>
        <v>215.6035623422413</v>
      </c>
      <c r="AB117" s="3">
        <f t="shared" si="21"/>
        <v>229.75290966044935</v>
      </c>
      <c r="AC117" s="3">
        <f t="shared" si="21"/>
        <v>247.06253852412857</v>
      </c>
      <c r="AD117" s="3">
        <f t="shared" si="21"/>
        <v>257.54110357735442</v>
      </c>
      <c r="AE117" s="3">
        <f t="shared" si="21"/>
        <v>271.63042182274222</v>
      </c>
      <c r="AF117" s="3">
        <f t="shared" si="21"/>
        <v>286.01985589142896</v>
      </c>
      <c r="AG117" s="3">
        <f t="shared" si="21"/>
        <v>300.68634231783869</v>
      </c>
      <c r="AH117" s="3">
        <f t="shared" si="21"/>
        <v>315.60805933230631</v>
      </c>
      <c r="AI117" s="3">
        <f t="shared" si="21"/>
        <v>330.76411407980402</v>
      </c>
      <c r="AJ117" s="3">
        <f t="shared" si="21"/>
        <v>346.13432433133755</v>
      </c>
      <c r="AK117" s="3">
        <f t="shared" si="21"/>
        <v>361.69906987603662</v>
      </c>
      <c r="AL117" s="3">
        <f t="shared" si="21"/>
        <v>377.43919498155498</v>
      </c>
      <c r="AM117" s="3">
        <f t="shared" si="21"/>
        <v>393.33594801756391</v>
      </c>
      <c r="AN117" s="3">
        <f t="shared" si="21"/>
        <v>409.37094787983659</v>
      </c>
      <c r="AO117" s="3">
        <f t="shared" si="21"/>
        <v>425.52616950414119</v>
      </c>
      <c r="AP117" s="3">
        <f t="shared" si="21"/>
        <v>441.78394273771823</v>
      </c>
      <c r="AQ117" s="3">
        <f t="shared" si="21"/>
        <v>458.12696031022682</v>
      </c>
      <c r="AR117" s="3">
        <f t="shared" si="21"/>
        <v>474.53829174415273</v>
      </c>
      <c r="AS117" s="3">
        <f t="shared" si="21"/>
        <v>491.00140086344572</v>
      </c>
      <c r="AT117" s="3">
        <f t="shared" si="21"/>
        <v>507.50016517072328</v>
      </c>
      <c r="AU117" s="3">
        <f t="shared" si="21"/>
        <v>524.01889582132935</v>
      </c>
      <c r="AV117" s="3">
        <f t="shared" si="21"/>
        <v>540.54235726653314</v>
      </c>
      <c r="AW117" s="3">
        <f t="shared" si="21"/>
        <v>557.05578589741947</v>
      </c>
      <c r="AX117" s="3">
        <f t="shared" si="21"/>
        <v>573.54490721717934</v>
      </c>
      <c r="AY117" s="3">
        <f t="shared" si="21"/>
        <v>589.995951218453</v>
      </c>
      <c r="AZ117" s="3">
        <f t="shared" si="21"/>
        <v>606.39566575584888</v>
      </c>
      <c r="BA117" s="3">
        <f t="shared" si="21"/>
        <v>622.73132779043613</v>
      </c>
      <c r="BB117" s="3">
        <f t="shared" si="21"/>
        <v>638.99075244932965</v>
      </c>
      <c r="BC117" s="3">
        <f t="shared" si="21"/>
        <v>655.16229989420287</v>
      </c>
      <c r="BD117" s="3">
        <f t="shared" si="21"/>
        <v>671.23488003126965</v>
      </c>
      <c r="BE117" s="3">
        <f t="shared" si="21"/>
        <v>687.19795512464623</v>
      </c>
      <c r="BF117" s="3">
        <f t="shared" si="21"/>
        <v>703.04154039702189</v>
      </c>
      <c r="BG117" s="3">
        <f t="shared" si="21"/>
        <v>718.7562027178501</v>
      </c>
      <c r="BH117" s="3">
        <f t="shared" si="21"/>
        <v>734.33305749090596</v>
      </c>
      <c r="BI117" s="3">
        <f t="shared" si="21"/>
        <v>749.76376386103766</v>
      </c>
    </row>
    <row r="118" spans="1:124" x14ac:dyDescent="0.35">
      <c r="A118" s="15" t="s">
        <v>133</v>
      </c>
      <c r="B118" s="51">
        <f>+B12</f>
        <v>135</v>
      </c>
      <c r="C118" s="3">
        <f t="shared" ref="C118:BI118" si="22">+B118*(1-$B$10)^(C2-B2)+B117*(C2-B2)</f>
        <v>160.73472446267135</v>
      </c>
      <c r="D118" s="3">
        <f t="shared" si="22"/>
        <v>190.61219859698514</v>
      </c>
      <c r="E118" s="3">
        <f t="shared" si="22"/>
        <v>224.87291352754272</v>
      </c>
      <c r="F118" s="3">
        <f t="shared" si="22"/>
        <v>263.60913451436375</v>
      </c>
      <c r="G118" s="3">
        <f t="shared" si="22"/>
        <v>306.92206891398342</v>
      </c>
      <c r="H118" s="3">
        <f t="shared" si="22"/>
        <v>354.91908275018898</v>
      </c>
      <c r="I118" s="3">
        <f t="shared" si="22"/>
        <v>407.71165550345648</v>
      </c>
      <c r="J118" s="3">
        <f t="shared" si="22"/>
        <v>465.41322275708501</v>
      </c>
      <c r="K118" s="3">
        <f t="shared" si="22"/>
        <v>528.13622020504897</v>
      </c>
      <c r="L118" s="3">
        <f t="shared" si="22"/>
        <v>595.98740132817352</v>
      </c>
      <c r="M118" s="3">
        <f t="shared" si="22"/>
        <v>669.05989866027608</v>
      </c>
      <c r="N118" s="3">
        <f t="shared" si="22"/>
        <v>747.41936845678447</v>
      </c>
      <c r="O118" s="3">
        <f t="shared" si="22"/>
        <v>831.0796166057645</v>
      </c>
      <c r="P118" s="3">
        <f t="shared" si="22"/>
        <v>919.95976184480753</v>
      </c>
      <c r="Q118" s="3">
        <f t="shared" si="22"/>
        <v>1013.809213116615</v>
      </c>
      <c r="R118" s="3">
        <f t="shared" si="22"/>
        <v>1112.0767353441097</v>
      </c>
      <c r="S118" s="3">
        <f t="shared" si="22"/>
        <v>1213.6820587268444</v>
      </c>
      <c r="T118" s="3">
        <f t="shared" si="22"/>
        <v>1318.1880322729346</v>
      </c>
      <c r="U118" s="3">
        <f t="shared" si="22"/>
        <v>1430.1918273571619</v>
      </c>
      <c r="V118" s="3">
        <f t="shared" si="22"/>
        <v>1549.3800386081025</v>
      </c>
      <c r="W118" s="3">
        <f t="shared" si="22"/>
        <v>1675.5158513468214</v>
      </c>
      <c r="X118" s="3">
        <f t="shared" si="22"/>
        <v>1808.4069436891407</v>
      </c>
      <c r="Y118" s="3">
        <f t="shared" si="22"/>
        <v>1947.8842684478027</v>
      </c>
      <c r="Z118" s="3">
        <f t="shared" si="22"/>
        <v>2093.7881724106123</v>
      </c>
      <c r="AA118" s="3">
        <f t="shared" si="22"/>
        <v>2245.9595601932392</v>
      </c>
      <c r="AB118" s="3">
        <f t="shared" si="22"/>
        <v>2404.2344724097129</v>
      </c>
      <c r="AC118" s="3">
        <f t="shared" si="22"/>
        <v>2568.4409619154585</v>
      </c>
      <c r="AD118" s="3">
        <f t="shared" si="22"/>
        <v>2751.9513962221026</v>
      </c>
      <c r="AE118" s="3">
        <f t="shared" si="22"/>
        <v>2912.7052978419624</v>
      </c>
      <c r="AF118" s="3">
        <f t="shared" si="22"/>
        <v>3078.075460436412</v>
      </c>
      <c r="AG118" s="3">
        <f t="shared" si="22"/>
        <v>3247.672058090242</v>
      </c>
      <c r="AH118" s="3">
        <f t="shared" si="22"/>
        <v>3421.1495851709014</v>
      </c>
      <c r="AI118" s="3">
        <f t="shared" si="22"/>
        <v>3598.1949152090979</v>
      </c>
      <c r="AJ118" s="3">
        <f t="shared" si="22"/>
        <v>3778.5186858808411</v>
      </c>
      <c r="AK118" s="3">
        <f t="shared" si="22"/>
        <v>3961.8491204824663</v>
      </c>
      <c r="AL118" s="3">
        <f t="shared" si="22"/>
        <v>4147.9276365338756</v>
      </c>
      <c r="AM118" s="3">
        <f t="shared" si="22"/>
        <v>4336.5057650046638</v>
      </c>
      <c r="AN118" s="3">
        <f t="shared" si="22"/>
        <v>4527.3430292654248</v>
      </c>
      <c r="AO118" s="3">
        <f t="shared" si="22"/>
        <v>4720.2055247501248</v>
      </c>
      <c r="AP118" s="3">
        <f t="shared" si="22"/>
        <v>4914.8650078304081</v>
      </c>
      <c r="AQ118" s="3">
        <f t="shared" si="22"/>
        <v>5111.0983521623693</v>
      </c>
      <c r="AR118" s="3">
        <f t="shared" si="22"/>
        <v>5308.6872675194918</v>
      </c>
      <c r="AS118" s="3">
        <f t="shared" si="22"/>
        <v>5507.4182033183497</v>
      </c>
      <c r="AT118" s="3">
        <f t="shared" si="22"/>
        <v>5707.0823791946823</v>
      </c>
      <c r="AU118" s="3">
        <f t="shared" si="22"/>
        <v>5907.4758999442856</v>
      </c>
      <c r="AV118" s="3">
        <f t="shared" si="22"/>
        <v>6108.3999232647493</v>
      </c>
      <c r="AW118" s="3">
        <f t="shared" si="22"/>
        <v>6309.6608570212684</v>
      </c>
      <c r="AX118" s="3">
        <f t="shared" si="22"/>
        <v>6511.0705689495871</v>
      </c>
      <c r="AY118" s="3">
        <f t="shared" si="22"/>
        <v>6712.4465963449402</v>
      </c>
      <c r="AZ118" s="3">
        <f t="shared" si="22"/>
        <v>6913.6123467679899</v>
      </c>
      <c r="BA118" s="3">
        <f t="shared" si="22"/>
        <v>7114.3972834222759</v>
      </c>
      <c r="BB118" s="3">
        <f t="shared" si="22"/>
        <v>7314.6370908402014</v>
      </c>
      <c r="BC118" s="3">
        <f t="shared" si="22"/>
        <v>7514.1738180168795</v>
      </c>
      <c r="BD118" s="3">
        <f t="shared" si="22"/>
        <v>7712.8559972718031</v>
      </c>
      <c r="BE118" s="3">
        <f t="shared" si="22"/>
        <v>7910.5387379853764</v>
      </c>
      <c r="BF118" s="3">
        <f t="shared" si="22"/>
        <v>8107.0837950162177</v>
      </c>
      <c r="BG118" s="3">
        <f t="shared" si="22"/>
        <v>8302.3596121042374</v>
      </c>
      <c r="BH118" s="3">
        <f t="shared" si="22"/>
        <v>8496.2413409406836</v>
      </c>
      <c r="BI118" s="3">
        <f t="shared" si="22"/>
        <v>8688.6108368665955</v>
      </c>
    </row>
    <row r="119" spans="1:124" ht="17.5" thickBot="1" x14ac:dyDescent="0.4">
      <c r="A119" s="82" t="s">
        <v>96</v>
      </c>
    </row>
    <row r="120" spans="1:124" ht="15" thickTop="1" x14ac:dyDescent="0.35">
      <c r="A120" s="15" t="s">
        <v>97</v>
      </c>
      <c r="B120" s="51">
        <f t="shared" ref="B120:BI120" si="23">+B15</f>
        <v>1E-3</v>
      </c>
      <c r="C120" s="3">
        <f t="shared" si="23"/>
        <v>1E-3</v>
      </c>
      <c r="D120" s="3">
        <f t="shared" si="23"/>
        <v>1E-3</v>
      </c>
      <c r="E120" s="3">
        <f t="shared" si="23"/>
        <v>1E-3</v>
      </c>
      <c r="F120" s="3">
        <f t="shared" si="23"/>
        <v>1E-3</v>
      </c>
      <c r="G120" s="3">
        <f t="shared" si="23"/>
        <v>1E-3</v>
      </c>
      <c r="H120" s="3">
        <f t="shared" si="23"/>
        <v>1E-3</v>
      </c>
      <c r="I120" s="3">
        <f t="shared" si="23"/>
        <v>1E-3</v>
      </c>
      <c r="J120" s="3">
        <f t="shared" si="23"/>
        <v>1E-3</v>
      </c>
      <c r="K120" s="3">
        <f t="shared" si="23"/>
        <v>1E-3</v>
      </c>
      <c r="L120" s="3">
        <f t="shared" si="23"/>
        <v>1E-3</v>
      </c>
      <c r="M120" s="3">
        <f t="shared" si="23"/>
        <v>1E-3</v>
      </c>
      <c r="N120" s="3">
        <f t="shared" si="23"/>
        <v>1E-3</v>
      </c>
      <c r="O120" s="3">
        <f t="shared" si="23"/>
        <v>1E-3</v>
      </c>
      <c r="P120" s="3">
        <f t="shared" si="23"/>
        <v>1E-3</v>
      </c>
      <c r="Q120" s="3">
        <f t="shared" si="23"/>
        <v>1E-3</v>
      </c>
      <c r="R120" s="3">
        <f t="shared" si="23"/>
        <v>1E-3</v>
      </c>
      <c r="S120" s="3">
        <f t="shared" si="23"/>
        <v>1E-3</v>
      </c>
      <c r="T120" s="3">
        <f t="shared" si="23"/>
        <v>1E-3</v>
      </c>
      <c r="U120" s="3">
        <f t="shared" si="23"/>
        <v>1E-3</v>
      </c>
      <c r="V120" s="3">
        <f t="shared" si="23"/>
        <v>1E-3</v>
      </c>
      <c r="W120" s="3">
        <f t="shared" si="23"/>
        <v>1E-3</v>
      </c>
      <c r="X120" s="3">
        <f t="shared" si="23"/>
        <v>1E-3</v>
      </c>
      <c r="Y120" s="3">
        <f t="shared" si="23"/>
        <v>1E-3</v>
      </c>
      <c r="Z120" s="3">
        <f t="shared" si="23"/>
        <v>1E-3</v>
      </c>
      <c r="AA120" s="3">
        <f t="shared" si="23"/>
        <v>1E-3</v>
      </c>
      <c r="AB120" s="3">
        <f t="shared" si="23"/>
        <v>1E-3</v>
      </c>
      <c r="AC120" s="3">
        <f t="shared" si="23"/>
        <v>1E-3</v>
      </c>
      <c r="AD120" s="3">
        <f t="shared" si="23"/>
        <v>1E-3</v>
      </c>
      <c r="AE120" s="3">
        <f t="shared" si="23"/>
        <v>1E-3</v>
      </c>
      <c r="AF120" s="3">
        <f t="shared" si="23"/>
        <v>1E-3</v>
      </c>
      <c r="AG120" s="3">
        <f t="shared" si="23"/>
        <v>1E-3</v>
      </c>
      <c r="AH120" s="3">
        <f t="shared" si="23"/>
        <v>1E-3</v>
      </c>
      <c r="AI120" s="3">
        <f t="shared" si="23"/>
        <v>1E-3</v>
      </c>
      <c r="AJ120" s="3">
        <f t="shared" si="23"/>
        <v>1E-3</v>
      </c>
      <c r="AK120" s="3">
        <f t="shared" si="23"/>
        <v>1E-3</v>
      </c>
      <c r="AL120" s="3">
        <f t="shared" si="23"/>
        <v>1E-3</v>
      </c>
      <c r="AM120" s="3">
        <f t="shared" si="23"/>
        <v>1E-3</v>
      </c>
      <c r="AN120" s="3">
        <f t="shared" si="23"/>
        <v>1E-3</v>
      </c>
      <c r="AO120" s="3">
        <f t="shared" si="23"/>
        <v>1E-3</v>
      </c>
      <c r="AP120" s="3">
        <f t="shared" si="23"/>
        <v>1E-3</v>
      </c>
      <c r="AQ120" s="3">
        <f t="shared" si="23"/>
        <v>1E-3</v>
      </c>
      <c r="AR120" s="3">
        <f t="shared" si="23"/>
        <v>1E-3</v>
      </c>
      <c r="AS120" s="3">
        <f t="shared" si="23"/>
        <v>1E-3</v>
      </c>
      <c r="AT120" s="3">
        <f t="shared" si="23"/>
        <v>1E-3</v>
      </c>
      <c r="AU120" s="3">
        <f t="shared" si="23"/>
        <v>1E-3</v>
      </c>
      <c r="AV120" s="3">
        <f t="shared" si="23"/>
        <v>1E-3</v>
      </c>
      <c r="AW120" s="3">
        <f t="shared" si="23"/>
        <v>1E-3</v>
      </c>
      <c r="AX120" s="3">
        <f t="shared" si="23"/>
        <v>1E-3</v>
      </c>
      <c r="AY120" s="3">
        <f t="shared" si="23"/>
        <v>1E-3</v>
      </c>
      <c r="AZ120" s="3">
        <f t="shared" si="23"/>
        <v>1E-3</v>
      </c>
      <c r="BA120" s="3">
        <f t="shared" si="23"/>
        <v>1E-3</v>
      </c>
      <c r="BB120" s="3">
        <f t="shared" si="23"/>
        <v>1E-3</v>
      </c>
      <c r="BC120" s="3">
        <f t="shared" si="23"/>
        <v>1E-3</v>
      </c>
      <c r="BD120" s="3">
        <f t="shared" si="23"/>
        <v>1E-3</v>
      </c>
      <c r="BE120" s="3">
        <f t="shared" si="23"/>
        <v>1E-3</v>
      </c>
      <c r="BF120" s="3">
        <f t="shared" si="23"/>
        <v>1E-3</v>
      </c>
      <c r="BG120" s="3">
        <f t="shared" si="23"/>
        <v>1E-3</v>
      </c>
      <c r="BH120" s="3">
        <f t="shared" si="23"/>
        <v>1E-3</v>
      </c>
      <c r="BI120" s="3">
        <f t="shared" si="23"/>
        <v>1E-3</v>
      </c>
    </row>
    <row r="121" spans="1:124" x14ac:dyDescent="0.35">
      <c r="A121" s="15" t="s">
        <v>32</v>
      </c>
      <c r="B121" s="51">
        <f t="shared" ref="B121:BI121" si="24">+$B$5*B105/B118</f>
        <v>0.14120486187069389</v>
      </c>
      <c r="C121" s="3">
        <f t="shared" si="24"/>
        <v>0.14128041282618628</v>
      </c>
      <c r="D121" s="3">
        <f t="shared" si="24"/>
        <v>0.14062769639800882</v>
      </c>
      <c r="E121" s="3">
        <f t="shared" si="24"/>
        <v>0.13948656735472542</v>
      </c>
      <c r="F121" s="3">
        <f t="shared" si="24"/>
        <v>0.138080077368604</v>
      </c>
      <c r="G121" s="3">
        <f t="shared" si="24"/>
        <v>0.13654377216636079</v>
      </c>
      <c r="H121" s="3">
        <f t="shared" si="24"/>
        <v>0.13495838404967381</v>
      </c>
      <c r="I121" s="3">
        <f t="shared" si="24"/>
        <v>0.13337094940355274</v>
      </c>
      <c r="J121" s="3">
        <f t="shared" si="24"/>
        <v>0.1318081121697357</v>
      </c>
      <c r="K121" s="3">
        <f t="shared" si="24"/>
        <v>0.13028444945480544</v>
      </c>
      <c r="L121" s="3">
        <f t="shared" si="24"/>
        <v>0.12880775519448959</v>
      </c>
      <c r="M121" s="3">
        <f t="shared" si="24"/>
        <v>0.12738255919777824</v>
      </c>
      <c r="N121" s="3">
        <f t="shared" si="24"/>
        <v>0.12601274431426143</v>
      </c>
      <c r="O121" s="3">
        <f t="shared" si="24"/>
        <v>0.12470389802331501</v>
      </c>
      <c r="P121" s="3">
        <f t="shared" si="24"/>
        <v>0.12346596287040038</v>
      </c>
      <c r="Q121" s="3">
        <f t="shared" si="24"/>
        <v>0.12231682915552489</v>
      </c>
      <c r="R121" s="3">
        <f t="shared" si="24"/>
        <v>0.12128778558419839</v>
      </c>
      <c r="S121" s="3">
        <f t="shared" si="24"/>
        <v>0.12043237536127419</v>
      </c>
      <c r="T121" s="3">
        <f t="shared" si="24"/>
        <v>0.11974153243443314</v>
      </c>
      <c r="U121" s="3">
        <f t="shared" si="24"/>
        <v>0.1189115573042686</v>
      </c>
      <c r="V121" s="3">
        <f t="shared" si="24"/>
        <v>0.11799577156605758</v>
      </c>
      <c r="W121" s="3">
        <f t="shared" si="24"/>
        <v>0.11703035245623994</v>
      </c>
      <c r="X121" s="3">
        <f t="shared" si="24"/>
        <v>0.11604010121172495</v>
      </c>
      <c r="Y121" s="3">
        <f t="shared" si="24"/>
        <v>0.11504219311965144</v>
      </c>
      <c r="Z121" s="3">
        <f t="shared" si="24"/>
        <v>0.11404861714367479</v>
      </c>
      <c r="AA121" s="3">
        <f t="shared" si="24"/>
        <v>0.11306777217510083</v>
      </c>
      <c r="AB121" s="3">
        <f t="shared" si="24"/>
        <v>0.11210552525874176</v>
      </c>
      <c r="AC121" s="3">
        <f t="shared" si="24"/>
        <v>0.11116592558901678</v>
      </c>
      <c r="AD121" s="3">
        <f t="shared" si="24"/>
        <v>0.10987130726656176</v>
      </c>
      <c r="AE121" s="3">
        <f t="shared" si="24"/>
        <v>0.10939630592352755</v>
      </c>
      <c r="AF121" s="3">
        <f t="shared" si="24"/>
        <v>0.1089175526321212</v>
      </c>
      <c r="AG121" s="3">
        <f t="shared" si="24"/>
        <v>0.10844288386671304</v>
      </c>
      <c r="AH121" s="3">
        <f t="shared" si="24"/>
        <v>0.10797734961436925</v>
      </c>
      <c r="AI121" s="3">
        <f t="shared" si="24"/>
        <v>0.10752409988747416</v>
      </c>
      <c r="AJ121" s="3">
        <f t="shared" si="24"/>
        <v>0.10708499356039201</v>
      </c>
      <c r="AK121" s="3">
        <f t="shared" si="24"/>
        <v>0.10666101627317148</v>
      </c>
      <c r="AL121" s="3">
        <f t="shared" si="24"/>
        <v>0.10625256728254383</v>
      </c>
      <c r="AM121" s="3">
        <f t="shared" si="24"/>
        <v>0.10585965638601771</v>
      </c>
      <c r="AN121" s="3">
        <f t="shared" si="24"/>
        <v>0.10548203909523764</v>
      </c>
      <c r="AO121" s="3">
        <f t="shared" si="24"/>
        <v>0.10511930935008598</v>
      </c>
      <c r="AP121" s="3">
        <f t="shared" si="24"/>
        <v>0.10477096298953065</v>
      </c>
      <c r="AQ121" s="3">
        <f t="shared" si="24"/>
        <v>0.1044364410460185</v>
      </c>
      <c r="AR121" s="3">
        <f t="shared" si="24"/>
        <v>0.10411515909616492</v>
      </c>
      <c r="AS121" s="3">
        <f t="shared" si="24"/>
        <v>0.10380652696253975</v>
      </c>
      <c r="AT121" s="3">
        <f t="shared" si="24"/>
        <v>0.10350996173371056</v>
      </c>
      <c r="AU121" s="3">
        <f t="shared" si="24"/>
        <v>0.10322489615802015</v>
      </c>
      <c r="AV121" s="3">
        <f t="shared" si="24"/>
        <v>0.10295078383882154</v>
      </c>
      <c r="AW121" s="3">
        <f t="shared" si="24"/>
        <v>0.10268710222533385</v>
      </c>
      <c r="AX121" s="3">
        <f t="shared" si="24"/>
        <v>0.1024333540929063</v>
      </c>
      <c r="AY121" s="3">
        <f t="shared" si="24"/>
        <v>0.10218906799768557</v>
      </c>
      <c r="AZ121" s="3">
        <f t="shared" si="24"/>
        <v>0.10195379804507872</v>
      </c>
      <c r="BA121" s="3">
        <f t="shared" si="24"/>
        <v>0.1017271232095355</v>
      </c>
      <c r="BB121" s="3">
        <f t="shared" si="24"/>
        <v>0.1015086463716921</v>
      </c>
      <c r="BC121" s="3">
        <f t="shared" si="24"/>
        <v>0.10129799318861044</v>
      </c>
      <c r="BD121" s="3">
        <f t="shared" si="24"/>
        <v>0.10109481087736076</v>
      </c>
      <c r="BE121" s="3">
        <f t="shared" si="24"/>
        <v>0.10089876696711557</v>
      </c>
      <c r="BF121" s="3">
        <f t="shared" si="24"/>
        <v>0.10070954805716807</v>
      </c>
      <c r="BG121" s="3">
        <f t="shared" si="24"/>
        <v>0.10052685860573092</v>
      </c>
      <c r="BH121" s="3">
        <f t="shared" si="24"/>
        <v>0.10035041976547777</v>
      </c>
      <c r="BI121" s="3">
        <f t="shared" si="24"/>
        <v>0.10017996827552546</v>
      </c>
    </row>
    <row r="122" spans="1:124" x14ac:dyDescent="0.35">
      <c r="A122" s="15" t="s">
        <v>33</v>
      </c>
      <c r="B122" s="3">
        <f>+AVERAGE($B121:B121)</f>
        <v>0.14120486187069389</v>
      </c>
      <c r="C122" s="3">
        <f>+AVERAGE($B121:C121)</f>
        <v>0.14124263734844009</v>
      </c>
      <c r="D122" s="3">
        <f>+AVERAGE($B121:D121)</f>
        <v>0.14103765703162965</v>
      </c>
      <c r="E122" s="3">
        <f>+AVERAGE($B121:E121)</f>
        <v>0.1406498846124036</v>
      </c>
      <c r="F122" s="3">
        <f>+AVERAGE($B121:F121)</f>
        <v>0.14013592316364371</v>
      </c>
      <c r="G122" s="3">
        <f>+AVERAGE($B121:G121)</f>
        <v>0.13953723133076321</v>
      </c>
      <c r="H122" s="3">
        <f>+AVERAGE($B121:H121)</f>
        <v>0.1388831102906076</v>
      </c>
      <c r="I122" s="3">
        <f>+AVERAGE($B121:I121)</f>
        <v>0.13819409017972573</v>
      </c>
      <c r="J122" s="3">
        <f>+AVERAGE($B121:J121)</f>
        <v>0.1374845370675046</v>
      </c>
      <c r="K122" s="3">
        <f>+AVERAGE($B121:K121)</f>
        <v>0.1367645283062347</v>
      </c>
      <c r="L122" s="3">
        <f>+AVERAGE($B121:L121)</f>
        <v>0.13604118529607603</v>
      </c>
      <c r="M122" s="3">
        <f>+AVERAGE($B121:M121)</f>
        <v>0.13531963312121789</v>
      </c>
      <c r="N122" s="3">
        <f>+AVERAGE($B121:N121)</f>
        <v>0.13460371859760584</v>
      </c>
      <c r="O122" s="3">
        <f>+AVERAGE($B121:O121)</f>
        <v>0.13389658855658507</v>
      </c>
      <c r="P122" s="3">
        <f>+AVERAGE($B121:P121)</f>
        <v>0.13320121351083944</v>
      </c>
      <c r="Q122" s="3">
        <f>+AVERAGE($B121:Q121)</f>
        <v>0.13252093948863228</v>
      </c>
      <c r="R122" s="3">
        <f>+AVERAGE($B121:R121)</f>
        <v>0.13186016572954792</v>
      </c>
      <c r="S122" s="3">
        <f>+AVERAGE($B121:S121)</f>
        <v>0.13122528848686604</v>
      </c>
      <c r="T122" s="3">
        <f>+AVERAGE($B121:T121)</f>
        <v>0.13062088027358013</v>
      </c>
      <c r="U122" s="3">
        <f>+AVERAGE($B121:U121)</f>
        <v>0.13003541412511455</v>
      </c>
      <c r="V122" s="3">
        <f>+AVERAGE($B121:V121)</f>
        <v>0.12946209781277851</v>
      </c>
      <c r="W122" s="3">
        <f>+AVERAGE($B121:W121)</f>
        <v>0.12889701847839038</v>
      </c>
      <c r="X122" s="3">
        <f>+AVERAGE($B121:X121)</f>
        <v>0.12833802207549191</v>
      </c>
      <c r="Y122" s="3">
        <f>+AVERAGE($B121:Y121)</f>
        <v>0.12778402920233187</v>
      </c>
      <c r="Z122" s="3">
        <f>+AVERAGE($B121:Z121)</f>
        <v>0.1272346127199856</v>
      </c>
      <c r="AA122" s="3">
        <f>+AVERAGE($B121:AA121)</f>
        <v>0.12668973423749003</v>
      </c>
      <c r="AB122" s="3">
        <f>+AVERAGE($B121:AB121)</f>
        <v>0.12614957834938825</v>
      </c>
      <c r="AC122" s="3">
        <f>+AVERAGE($B121:AC121)</f>
        <v>0.12561444789366069</v>
      </c>
      <c r="AD122" s="3">
        <f>+AVERAGE($B121:AD121)</f>
        <v>0.12507158097548485</v>
      </c>
      <c r="AE122" s="3">
        <f>+AVERAGE($B121:AE121)</f>
        <v>0.12454907180708628</v>
      </c>
      <c r="AF122" s="3">
        <f>+AVERAGE($B121:AF121)</f>
        <v>0.12404482925305516</v>
      </c>
      <c r="AG122" s="3">
        <f>+AVERAGE($B121:AG121)</f>
        <v>0.12355726845973196</v>
      </c>
      <c r="AH122" s="3">
        <f>+AVERAGE($B121:AH121)</f>
        <v>0.12308514970684217</v>
      </c>
      <c r="AI122" s="3">
        <f>+AVERAGE($B121:AI121)</f>
        <v>0.12262747177097841</v>
      </c>
      <c r="AJ122" s="3">
        <f>+AVERAGE($B121:AJ121)</f>
        <v>0.12218340096496164</v>
      </c>
      <c r="AK122" s="3">
        <f>+AVERAGE($B121:AK121)</f>
        <v>0.12175222361241191</v>
      </c>
      <c r="AL122" s="3">
        <f>+AVERAGE($B121:AL121)</f>
        <v>0.12133331398187494</v>
      </c>
      <c r="AM122" s="3">
        <f>+AVERAGE($B121:AM121)</f>
        <v>0.12092611246619449</v>
      </c>
      <c r="AN122" s="3">
        <f>+AVERAGE($B121:AN121)</f>
        <v>0.12053011058488791</v>
      </c>
      <c r="AO122" s="3">
        <f>+AVERAGE($B121:AO121)</f>
        <v>0.12014484055401786</v>
      </c>
      <c r="AP122" s="3">
        <f>+AVERAGE($B121:AP121)</f>
        <v>0.1197698679304938</v>
      </c>
      <c r="AQ122" s="3">
        <f>+AVERAGE($B121:AQ121)</f>
        <v>0.11940478633800627</v>
      </c>
      <c r="AR122" s="3">
        <f>+AVERAGE($B121:AR121)</f>
        <v>0.11904921361145182</v>
      </c>
      <c r="AS122" s="3">
        <f>+AVERAGE($B121:AS121)</f>
        <v>0.11870278891488564</v>
      </c>
      <c r="AT122" s="3">
        <f>+AVERAGE($B121:AT121)</f>
        <v>0.11836517053308175</v>
      </c>
      <c r="AU122" s="3">
        <f>+AVERAGE($B121:AU121)</f>
        <v>0.11803603413362387</v>
      </c>
      <c r="AV122" s="3">
        <f>+AVERAGE($B121:AV121)</f>
        <v>0.11771507136139404</v>
      </c>
      <c r="AW122" s="3">
        <f>+AVERAGE($B121:AW121)</f>
        <v>0.11740198867105944</v>
      </c>
      <c r="AX122" s="3">
        <f>+AVERAGE($B121:AX121)</f>
        <v>0.11709650633272979</v>
      </c>
      <c r="AY122" s="3">
        <f>+AVERAGE($B121:AY121)</f>
        <v>0.11679835756602891</v>
      </c>
      <c r="AZ122" s="3">
        <f>+AVERAGE($B121:AZ121)</f>
        <v>0.11650728777150048</v>
      </c>
      <c r="BA122" s="3">
        <f>+AVERAGE($B121:BA121)</f>
        <v>0.11622305383761654</v>
      </c>
      <c r="BB122" s="3">
        <f>+AVERAGE($B121:BB121)</f>
        <v>0.11594542350807079</v>
      </c>
      <c r="BC122" s="3">
        <f>+AVERAGE($B121:BC121)</f>
        <v>0.11567417479845116</v>
      </c>
      <c r="BD122" s="3">
        <f>+AVERAGE($B121:BD121)</f>
        <v>0.11540909545443133</v>
      </c>
      <c r="BE122" s="3">
        <f>+AVERAGE($B121:BE121)</f>
        <v>0.11514998244572926</v>
      </c>
      <c r="BF122" s="3">
        <f>+AVERAGE($B121:BF121)</f>
        <v>0.11489664149154397</v>
      </c>
      <c r="BG122" s="3">
        <f>+AVERAGE($B121:BG121)</f>
        <v>0.11464888661420236</v>
      </c>
      <c r="BH122" s="3">
        <f>+AVERAGE($B121:BH121)</f>
        <v>0.11440653971846128</v>
      </c>
      <c r="BI122" s="3">
        <f>+AVERAGE($B121:BI121)</f>
        <v>0.11416943019441234</v>
      </c>
    </row>
    <row r="123" spans="1:124" ht="22.5" x14ac:dyDescent="0.35">
      <c r="A123" s="86" t="s">
        <v>52</v>
      </c>
    </row>
    <row r="124" spans="1:124" x14ac:dyDescent="0.35">
      <c r="A124" s="15" t="s">
        <v>45</v>
      </c>
      <c r="B124" s="51">
        <f>B111-B117</f>
        <v>47.221436886715907</v>
      </c>
      <c r="C124" s="3">
        <f>C111-C117</f>
        <v>56.313228162088002</v>
      </c>
      <c r="D124" s="3">
        <f>D111-D117</f>
        <v>66.526072350223316</v>
      </c>
      <c r="E124" s="3">
        <f>E111-E117</f>
        <v>77.862957290548451</v>
      </c>
      <c r="F124" s="3">
        <f>F111-F117</f>
        <v>90.321565545959913</v>
      </c>
      <c r="G124" s="3">
        <f t="shared" ref="G124:BI124" si="25">G111-G117</f>
        <v>103.89496987425157</v>
      </c>
      <c r="H124" s="3">
        <f t="shared" si="25"/>
        <v>118.57223593831175</v>
      </c>
      <c r="I124" s="3">
        <f t="shared" si="25"/>
        <v>134.33903535512718</v>
      </c>
      <c r="J124" s="3">
        <f t="shared" si="25"/>
        <v>151.1783669527984</v>
      </c>
      <c r="K124" s="3">
        <f>K111-K117</f>
        <v>169.0714879272596</v>
      </c>
      <c r="L124" s="3">
        <f>L111-L117</f>
        <v>187.99917572654999</v>
      </c>
      <c r="M124" s="3">
        <f t="shared" si="25"/>
        <v>207.94350097091342</v>
      </c>
      <c r="N124" s="3">
        <f t="shared" si="25"/>
        <v>228.89040164462585</v>
      </c>
      <c r="O124" s="3">
        <f t="shared" si="25"/>
        <v>250.83355792726826</v>
      </c>
      <c r="P124" s="3">
        <f t="shared" si="25"/>
        <v>273.78044374575325</v>
      </c>
      <c r="Q124" s="3">
        <f t="shared" si="25"/>
        <v>297.76208031638095</v>
      </c>
      <c r="R124" s="3">
        <f t="shared" si="25"/>
        <v>322.84922721763417</v>
      </c>
      <c r="S124" s="3">
        <f t="shared" si="25"/>
        <v>349.17932101123478</v>
      </c>
      <c r="T124" s="3">
        <f t="shared" si="25"/>
        <v>376.90470746219302</v>
      </c>
      <c r="U124" s="3">
        <f t="shared" si="25"/>
        <v>405.96339104144823</v>
      </c>
      <c r="V124" s="3">
        <f t="shared" si="25"/>
        <v>436.30203731870301</v>
      </c>
      <c r="W124" s="3">
        <f t="shared" si="25"/>
        <v>467.87223638477525</v>
      </c>
      <c r="X124" s="3">
        <f t="shared" si="25"/>
        <v>500.62803961874295</v>
      </c>
      <c r="Y124" s="3">
        <f t="shared" si="25"/>
        <v>534.52439911569741</v>
      </c>
      <c r="Z124" s="3">
        <f t="shared" si="25"/>
        <v>569.51620594411202</v>
      </c>
      <c r="AA124" s="3">
        <f t="shared" si="25"/>
        <v>605.55774527999188</v>
      </c>
      <c r="AB124" s="3">
        <f t="shared" si="25"/>
        <v>642.60242519949543</v>
      </c>
      <c r="AC124" s="3">
        <f t="shared" si="25"/>
        <v>677.8919027815723</v>
      </c>
      <c r="AD124" s="3">
        <f t="shared" si="25"/>
        <v>722.80312219868915</v>
      </c>
      <c r="AE124" s="3">
        <f t="shared" si="25"/>
        <v>762.34556057438908</v>
      </c>
      <c r="AF124" s="3">
        <f t="shared" si="25"/>
        <v>802.7302903400398</v>
      </c>
      <c r="AG124" s="3">
        <f t="shared" si="25"/>
        <v>843.89258262442297</v>
      </c>
      <c r="AH124" s="3">
        <f t="shared" si="25"/>
        <v>885.77119344346443</v>
      </c>
      <c r="AI124" s="3">
        <f t="shared" si="25"/>
        <v>928.30748586257039</v>
      </c>
      <c r="AJ124" s="3">
        <f t="shared" si="25"/>
        <v>971.44481735778129</v>
      </c>
      <c r="AK124" s="3">
        <f t="shared" si="25"/>
        <v>1015.1281227395862</v>
      </c>
      <c r="AL124" s="3">
        <f t="shared" si="25"/>
        <v>1059.3036404027287</v>
      </c>
      <c r="AM124" s="3">
        <f t="shared" si="25"/>
        <v>1103.918742876255</v>
      </c>
      <c r="AN124" s="3">
        <f t="shared" si="25"/>
        <v>1148.92184259088</v>
      </c>
      <c r="AO124" s="3">
        <f t="shared" si="25"/>
        <v>1194.2623512229393</v>
      </c>
      <c r="AP124" s="3">
        <f t="shared" si="25"/>
        <v>1239.8906765271299</v>
      </c>
      <c r="AQ124" s="3">
        <f t="shared" si="25"/>
        <v>1285.7582447074037</v>
      </c>
      <c r="AR124" s="3">
        <f t="shared" si="25"/>
        <v>1331.8175394572854</v>
      </c>
      <c r="AS124" s="3">
        <f t="shared" si="25"/>
        <v>1378.0221510988151</v>
      </c>
      <c r="AT124" s="3">
        <f t="shared" si="25"/>
        <v>1424.3268309657269</v>
      </c>
      <c r="AU124" s="3">
        <f t="shared" si="25"/>
        <v>1470.6875474617289</v>
      </c>
      <c r="AV124" s="3">
        <f t="shared" si="25"/>
        <v>1517.0615411902127</v>
      </c>
      <c r="AW124" s="3">
        <f t="shared" si="25"/>
        <v>1563.4073772793431</v>
      </c>
      <c r="AX124" s="3">
        <f t="shared" si="25"/>
        <v>1609.684993577029</v>
      </c>
      <c r="AY124" s="3">
        <f t="shared" si="25"/>
        <v>1655.8557438082714</v>
      </c>
      <c r="AZ124" s="3">
        <f t="shared" si="25"/>
        <v>1701.8824351058674</v>
      </c>
      <c r="BA124" s="3">
        <f t="shared" si="25"/>
        <v>1747.7293595686872</v>
      </c>
      <c r="BB124" s="3">
        <f t="shared" si="25"/>
        <v>1793.3623196878966</v>
      </c>
      <c r="BC124" s="3">
        <f t="shared" si="25"/>
        <v>1838.7486476238087</v>
      </c>
      <c r="BD124" s="3">
        <f t="shared" si="25"/>
        <v>1883.8572184247068</v>
      </c>
      <c r="BE124" s="3">
        <f t="shared" si="25"/>
        <v>1928.6584573613845</v>
      </c>
      <c r="BF124" s="3">
        <f t="shared" si="25"/>
        <v>1973.1243416129628</v>
      </c>
      <c r="BG124" s="3">
        <f t="shared" si="25"/>
        <v>2017.2283965852248</v>
      </c>
      <c r="BH124" s="3">
        <f t="shared" si="25"/>
        <v>2060.9456871753796</v>
      </c>
      <c r="BI124" s="3">
        <f t="shared" si="25"/>
        <v>2104.2528043195462</v>
      </c>
    </row>
    <row r="125" spans="1:124" ht="29" x14ac:dyDescent="0.35">
      <c r="A125" s="15" t="s">
        <v>108</v>
      </c>
      <c r="B125" s="51">
        <f>+C125</f>
        <v>5.14694489253427</v>
      </c>
      <c r="C125" s="51">
        <f t="shared" ref="C125:BI125" si="26">+(C118-B118)/(C2-B2)</f>
        <v>5.14694489253427</v>
      </c>
      <c r="D125" s="51">
        <f t="shared" si="26"/>
        <v>5.9754948268627572</v>
      </c>
      <c r="E125" s="51">
        <f t="shared" si="26"/>
        <v>6.8521429861115166</v>
      </c>
      <c r="F125" s="51">
        <f t="shared" si="26"/>
        <v>7.7472441973642052</v>
      </c>
      <c r="G125" s="51">
        <f t="shared" si="26"/>
        <v>8.6625868799239356</v>
      </c>
      <c r="H125" s="51">
        <f t="shared" si="26"/>
        <v>9.5994027672411111</v>
      </c>
      <c r="I125" s="51">
        <f t="shared" si="26"/>
        <v>10.558514550653502</v>
      </c>
      <c r="J125" s="51">
        <f t="shared" si="26"/>
        <v>11.540313450725705</v>
      </c>
      <c r="K125" s="51">
        <f t="shared" si="26"/>
        <v>12.544599489592793</v>
      </c>
      <c r="L125" s="51">
        <f t="shared" si="26"/>
        <v>13.57023622462491</v>
      </c>
      <c r="M125" s="51">
        <f t="shared" si="26"/>
        <v>14.614499466420511</v>
      </c>
      <c r="N125" s="51">
        <f t="shared" si="26"/>
        <v>15.671893959301679</v>
      </c>
      <c r="O125" s="51">
        <f t="shared" si="26"/>
        <v>16.732049629796006</v>
      </c>
      <c r="P125" s="51">
        <f t="shared" si="26"/>
        <v>17.776029047808606</v>
      </c>
      <c r="Q125" s="51">
        <f t="shared" si="26"/>
        <v>18.769890254361485</v>
      </c>
      <c r="R125" s="51">
        <f t="shared" si="26"/>
        <v>19.653504445498946</v>
      </c>
      <c r="S125" s="51">
        <f t="shared" si="26"/>
        <v>20.321064676546939</v>
      </c>
      <c r="T125" s="51">
        <f t="shared" si="26"/>
        <v>20.901194709218043</v>
      </c>
      <c r="U125" s="51">
        <f t="shared" si="26"/>
        <v>22.400759016845448</v>
      </c>
      <c r="V125" s="51">
        <f t="shared" si="26"/>
        <v>23.837642250188129</v>
      </c>
      <c r="W125" s="51">
        <f t="shared" si="26"/>
        <v>25.227162547743774</v>
      </c>
      <c r="X125" s="51">
        <f t="shared" si="26"/>
        <v>26.578218468463866</v>
      </c>
      <c r="Y125" s="51">
        <f t="shared" si="26"/>
        <v>27.8954649517324</v>
      </c>
      <c r="Z125" s="51">
        <f t="shared" si="26"/>
        <v>29.180780792561926</v>
      </c>
      <c r="AA125" s="51">
        <f t="shared" si="26"/>
        <v>30.434277556525377</v>
      </c>
      <c r="AB125" s="51">
        <f t="shared" si="26"/>
        <v>31.654982443294738</v>
      </c>
      <c r="AC125" s="51">
        <f t="shared" si="26"/>
        <v>32.841297901149119</v>
      </c>
      <c r="AD125" s="51">
        <f t="shared" si="26"/>
        <v>36.702086861328823</v>
      </c>
      <c r="AE125" s="51">
        <f t="shared" si="26"/>
        <v>32.150780323971958</v>
      </c>
      <c r="AF125" s="51">
        <f t="shared" si="26"/>
        <v>33.074032518889908</v>
      </c>
      <c r="AG125" s="51">
        <f t="shared" si="26"/>
        <v>33.919319530766003</v>
      </c>
      <c r="AH125" s="51">
        <f t="shared" si="26"/>
        <v>34.695505416131894</v>
      </c>
      <c r="AI125" s="51">
        <f t="shared" si="26"/>
        <v>35.409066007639282</v>
      </c>
      <c r="AJ125" s="51">
        <f t="shared" si="26"/>
        <v>36.06475413434864</v>
      </c>
      <c r="AK125" s="51">
        <f t="shared" si="26"/>
        <v>36.66608692032505</v>
      </c>
      <c r="AL125" s="51">
        <f t="shared" si="26"/>
        <v>37.215703210281845</v>
      </c>
      <c r="AM125" s="51">
        <f t="shared" si="26"/>
        <v>37.715625694157644</v>
      </c>
      <c r="AN125" s="51">
        <f t="shared" si="26"/>
        <v>38.167452852152202</v>
      </c>
      <c r="AO125" s="51">
        <f t="shared" si="26"/>
        <v>38.572499096940007</v>
      </c>
      <c r="AP125" s="51">
        <f t="shared" si="26"/>
        <v>38.931896616056655</v>
      </c>
      <c r="AQ125" s="51">
        <f t="shared" si="26"/>
        <v>39.246668866392248</v>
      </c>
      <c r="AR125" s="51">
        <f t="shared" si="26"/>
        <v>39.517783071424489</v>
      </c>
      <c r="AS125" s="51">
        <f t="shared" si="26"/>
        <v>39.74618715977158</v>
      </c>
      <c r="AT125" s="51">
        <f t="shared" si="26"/>
        <v>39.932835175266518</v>
      </c>
      <c r="AU125" s="51">
        <f t="shared" si="26"/>
        <v>40.078704149920668</v>
      </c>
      <c r="AV125" s="51">
        <f t="shared" si="26"/>
        <v>40.184804664092738</v>
      </c>
      <c r="AW125" s="51">
        <f t="shared" si="26"/>
        <v>40.252186751303817</v>
      </c>
      <c r="AX125" s="51">
        <f t="shared" si="26"/>
        <v>40.281942385663754</v>
      </c>
      <c r="AY125" s="51">
        <f t="shared" si="26"/>
        <v>40.275205479070607</v>
      </c>
      <c r="AZ125" s="51">
        <f t="shared" si="26"/>
        <v>40.233150084609953</v>
      </c>
      <c r="BA125" s="51">
        <f t="shared" si="26"/>
        <v>40.156987330857191</v>
      </c>
      <c r="BB125" s="51">
        <f t="shared" si="26"/>
        <v>40.047961483585098</v>
      </c>
      <c r="BC125" s="51">
        <f t="shared" si="26"/>
        <v>39.907345435335628</v>
      </c>
      <c r="BD125" s="51">
        <f t="shared" si="26"/>
        <v>39.736435850984705</v>
      </c>
      <c r="BE125" s="51">
        <f t="shared" si="26"/>
        <v>39.536548142714672</v>
      </c>
      <c r="BF125" s="51">
        <f t="shared" si="26"/>
        <v>39.309011406168246</v>
      </c>
      <c r="BG125" s="51">
        <f t="shared" si="26"/>
        <v>39.055163417603943</v>
      </c>
      <c r="BH125" s="51">
        <f t="shared" si="26"/>
        <v>38.776345767289243</v>
      </c>
      <c r="BI125" s="51">
        <f t="shared" si="26"/>
        <v>38.473899185182383</v>
      </c>
      <c r="BJ125" s="51"/>
      <c r="BK125" s="51"/>
      <c r="BL125" s="51"/>
      <c r="BM125" s="51"/>
      <c r="BN125" s="51"/>
      <c r="BO125" s="51"/>
      <c r="BP125" s="51"/>
      <c r="BQ125" s="51"/>
      <c r="BR125" s="51"/>
      <c r="BS125" s="51"/>
      <c r="BT125" s="51"/>
      <c r="BU125" s="51"/>
      <c r="BV125" s="51"/>
      <c r="BW125" s="51"/>
      <c r="BX125" s="51"/>
      <c r="BY125" s="51"/>
      <c r="BZ125" s="51"/>
      <c r="CA125" s="51"/>
      <c r="CB125" s="51"/>
      <c r="CC125" s="51"/>
      <c r="CD125" s="51"/>
      <c r="CE125" s="51"/>
      <c r="CF125" s="51"/>
      <c r="CG125" s="51"/>
      <c r="CH125" s="51"/>
      <c r="CI125" s="51"/>
      <c r="CJ125" s="51"/>
      <c r="CK125" s="51"/>
      <c r="CL125" s="51"/>
      <c r="CM125" s="51"/>
      <c r="CN125" s="51"/>
      <c r="CO125" s="51"/>
      <c r="CP125" s="51"/>
      <c r="CQ125" s="51"/>
      <c r="CR125" s="51"/>
      <c r="CS125" s="51"/>
      <c r="CT125" s="51"/>
      <c r="CU125" s="51"/>
      <c r="CV125" s="51"/>
      <c r="CW125" s="51"/>
      <c r="CX125" s="51"/>
      <c r="CY125" s="51"/>
      <c r="CZ125" s="51"/>
      <c r="DA125" s="51"/>
      <c r="DB125" s="51"/>
      <c r="DC125" s="51"/>
      <c r="DD125" s="51"/>
      <c r="DE125" s="51"/>
      <c r="DF125" s="51"/>
      <c r="DG125" s="51"/>
      <c r="DH125" s="51"/>
      <c r="DI125" s="51"/>
      <c r="DJ125" s="51"/>
      <c r="DK125" s="51"/>
      <c r="DL125" s="51"/>
      <c r="DM125" s="51"/>
      <c r="DN125" s="51"/>
      <c r="DO125" s="51"/>
      <c r="DP125" s="51"/>
      <c r="DQ125" s="51"/>
      <c r="DR125" s="51"/>
      <c r="DS125" s="51"/>
      <c r="DT125" s="51"/>
    </row>
    <row r="126" spans="1:124" ht="29" x14ac:dyDescent="0.35">
      <c r="A126" s="15" t="s">
        <v>229</v>
      </c>
      <c r="B126" s="51">
        <f t="shared" ref="B126:AG126" si="27">+SUM(B124:B125)</f>
        <v>52.368381779250178</v>
      </c>
      <c r="C126" s="51">
        <f t="shared" si="27"/>
        <v>61.460173054622274</v>
      </c>
      <c r="D126" s="51">
        <f t="shared" si="27"/>
        <v>72.501567177086073</v>
      </c>
      <c r="E126" s="51">
        <f t="shared" si="27"/>
        <v>84.715100276659967</v>
      </c>
      <c r="F126" s="51">
        <f t="shared" si="27"/>
        <v>98.068809743324124</v>
      </c>
      <c r="G126" s="51">
        <f t="shared" si="27"/>
        <v>112.55755675417551</v>
      </c>
      <c r="H126" s="51">
        <f t="shared" si="27"/>
        <v>128.17163870555285</v>
      </c>
      <c r="I126" s="51">
        <f t="shared" si="27"/>
        <v>144.89754990578069</v>
      </c>
      <c r="J126" s="51">
        <f t="shared" si="27"/>
        <v>162.7186804035241</v>
      </c>
      <c r="K126" s="51">
        <f t="shared" si="27"/>
        <v>181.61608741685239</v>
      </c>
      <c r="L126" s="51">
        <f t="shared" si="27"/>
        <v>201.56941195117491</v>
      </c>
      <c r="M126" s="51">
        <f t="shared" si="27"/>
        <v>222.55800043733393</v>
      </c>
      <c r="N126" s="51">
        <f t="shared" si="27"/>
        <v>244.56229560392754</v>
      </c>
      <c r="O126" s="51">
        <f t="shared" si="27"/>
        <v>267.56560755706425</v>
      </c>
      <c r="P126" s="51">
        <f t="shared" si="27"/>
        <v>291.55647279356185</v>
      </c>
      <c r="Q126" s="51">
        <f t="shared" si="27"/>
        <v>316.53197057074243</v>
      </c>
      <c r="R126" s="51">
        <f t="shared" si="27"/>
        <v>342.50273166313309</v>
      </c>
      <c r="S126" s="51">
        <f t="shared" si="27"/>
        <v>369.50038568778172</v>
      </c>
      <c r="T126" s="51">
        <f t="shared" si="27"/>
        <v>397.80590217141105</v>
      </c>
      <c r="U126" s="51">
        <f t="shared" si="27"/>
        <v>428.36415005829366</v>
      </c>
      <c r="V126" s="51">
        <f t="shared" si="27"/>
        <v>460.13967956889115</v>
      </c>
      <c r="W126" s="51">
        <f t="shared" si="27"/>
        <v>493.09939893251902</v>
      </c>
      <c r="X126" s="51">
        <f t="shared" si="27"/>
        <v>527.20625808720683</v>
      </c>
      <c r="Y126" s="51">
        <f t="shared" si="27"/>
        <v>562.41986406742978</v>
      </c>
      <c r="Z126" s="51">
        <f t="shared" si="27"/>
        <v>598.69698673667392</v>
      </c>
      <c r="AA126" s="51">
        <f t="shared" si="27"/>
        <v>635.99202283651721</v>
      </c>
      <c r="AB126" s="51">
        <f t="shared" si="27"/>
        <v>674.25740764279021</v>
      </c>
      <c r="AC126" s="51">
        <f t="shared" si="27"/>
        <v>710.73320068272142</v>
      </c>
      <c r="AD126" s="51">
        <f t="shared" si="27"/>
        <v>759.50520906001793</v>
      </c>
      <c r="AE126" s="51">
        <f t="shared" si="27"/>
        <v>794.49634089836104</v>
      </c>
      <c r="AF126" s="51">
        <f t="shared" si="27"/>
        <v>835.80432285892971</v>
      </c>
      <c r="AG126" s="51">
        <f t="shared" si="27"/>
        <v>877.81190215518893</v>
      </c>
      <c r="AH126" s="51">
        <f t="shared" ref="AH126:BI126" si="28">+SUM(AH124:AH125)</f>
        <v>920.46669885959636</v>
      </c>
      <c r="AI126" s="51">
        <f t="shared" si="28"/>
        <v>963.71655187020963</v>
      </c>
      <c r="AJ126" s="51">
        <f t="shared" si="28"/>
        <v>1007.5095714921299</v>
      </c>
      <c r="AK126" s="51">
        <f t="shared" si="28"/>
        <v>1051.7942096599113</v>
      </c>
      <c r="AL126" s="51">
        <f t="shared" si="28"/>
        <v>1096.5193436130105</v>
      </c>
      <c r="AM126" s="51">
        <f t="shared" si="28"/>
        <v>1141.6343685704126</v>
      </c>
      <c r="AN126" s="51">
        <f t="shared" si="28"/>
        <v>1187.0892954430321</v>
      </c>
      <c r="AO126" s="51">
        <f t="shared" si="28"/>
        <v>1232.8348503198793</v>
      </c>
      <c r="AP126" s="51">
        <f t="shared" si="28"/>
        <v>1278.8225731431867</v>
      </c>
      <c r="AQ126" s="51">
        <f t="shared" si="28"/>
        <v>1325.0049135737959</v>
      </c>
      <c r="AR126" s="51">
        <f t="shared" si="28"/>
        <v>1371.3353225287099</v>
      </c>
      <c r="AS126" s="51">
        <f t="shared" si="28"/>
        <v>1417.7683382585867</v>
      </c>
      <c r="AT126" s="51">
        <f t="shared" si="28"/>
        <v>1464.2596661409934</v>
      </c>
      <c r="AU126" s="51">
        <f t="shared" si="28"/>
        <v>1510.7662516116495</v>
      </c>
      <c r="AV126" s="51">
        <f t="shared" si="28"/>
        <v>1557.2463458543054</v>
      </c>
      <c r="AW126" s="51">
        <f t="shared" si="28"/>
        <v>1603.6595640306468</v>
      </c>
      <c r="AX126" s="51">
        <f t="shared" si="28"/>
        <v>1649.9669359626928</v>
      </c>
      <c r="AY126" s="51">
        <f t="shared" si="28"/>
        <v>1696.130949287342</v>
      </c>
      <c r="AZ126" s="51">
        <f t="shared" si="28"/>
        <v>1742.1155851904773</v>
      </c>
      <c r="BA126" s="51">
        <f t="shared" si="28"/>
        <v>1787.8863468995444</v>
      </c>
      <c r="BB126" s="51">
        <f t="shared" si="28"/>
        <v>1833.4102811714818</v>
      </c>
      <c r="BC126" s="51">
        <f t="shared" si="28"/>
        <v>1878.6559930591443</v>
      </c>
      <c r="BD126" s="51">
        <f t="shared" si="28"/>
        <v>1923.5936542756915</v>
      </c>
      <c r="BE126" s="51">
        <f t="shared" si="28"/>
        <v>1968.1950055040993</v>
      </c>
      <c r="BF126" s="51">
        <f t="shared" si="28"/>
        <v>2012.4333530191311</v>
      </c>
      <c r="BG126" s="51">
        <f t="shared" si="28"/>
        <v>2056.2835600028288</v>
      </c>
      <c r="BH126" s="51">
        <f t="shared" si="28"/>
        <v>2099.7220329426686</v>
      </c>
      <c r="BI126" s="51">
        <f t="shared" si="28"/>
        <v>2142.7267035047284</v>
      </c>
      <c r="BJ126" s="51"/>
      <c r="BK126" s="51"/>
      <c r="BL126" s="51"/>
      <c r="BM126" s="51"/>
      <c r="BN126" s="51"/>
      <c r="BO126" s="51"/>
      <c r="BP126" s="51"/>
      <c r="BQ126" s="51"/>
      <c r="BR126" s="51"/>
      <c r="BS126" s="51"/>
      <c r="BT126" s="51"/>
      <c r="BU126" s="51"/>
      <c r="BV126" s="51"/>
      <c r="BW126" s="51"/>
      <c r="BX126" s="51"/>
      <c r="BY126" s="51"/>
      <c r="BZ126" s="51"/>
      <c r="CA126" s="51"/>
      <c r="CB126" s="51"/>
      <c r="CC126" s="51"/>
      <c r="CD126" s="51"/>
      <c r="CE126" s="51"/>
      <c r="CF126" s="51"/>
      <c r="CG126" s="51"/>
      <c r="CH126" s="51"/>
      <c r="CI126" s="51"/>
      <c r="CJ126" s="51"/>
      <c r="CK126" s="51"/>
      <c r="CL126" s="51"/>
      <c r="CM126" s="51"/>
      <c r="CN126" s="51"/>
      <c r="CO126" s="51"/>
      <c r="CP126" s="51"/>
      <c r="CQ126" s="51"/>
      <c r="CR126" s="51"/>
      <c r="CS126" s="51"/>
      <c r="CT126" s="51"/>
      <c r="CU126" s="51"/>
      <c r="CV126" s="51"/>
      <c r="CW126" s="51"/>
      <c r="CX126" s="51"/>
      <c r="CY126" s="51"/>
      <c r="CZ126" s="51"/>
      <c r="DA126" s="51"/>
      <c r="DB126" s="51"/>
      <c r="DC126" s="51"/>
      <c r="DD126" s="51"/>
      <c r="DE126" s="51"/>
      <c r="DF126" s="51"/>
      <c r="DG126" s="51"/>
      <c r="DH126" s="51"/>
      <c r="DI126" s="51"/>
      <c r="DJ126" s="51"/>
      <c r="DK126" s="51"/>
      <c r="DL126" s="51"/>
      <c r="DM126" s="51"/>
      <c r="DN126" s="51"/>
      <c r="DO126" s="51"/>
      <c r="DP126" s="51"/>
      <c r="DQ126" s="51"/>
      <c r="DR126" s="51"/>
      <c r="DS126" s="51"/>
      <c r="DT126" s="51"/>
    </row>
    <row r="127" spans="1:124" ht="29" x14ac:dyDescent="0.35">
      <c r="A127" s="15" t="s">
        <v>65</v>
      </c>
      <c r="B127" s="3">
        <f t="shared" ref="B127:BI127" si="29">(B124/B53)*1000</f>
        <v>6.9057380647434785</v>
      </c>
      <c r="C127" s="3">
        <f t="shared" si="29"/>
        <v>7.7737611533807227</v>
      </c>
      <c r="D127" s="3">
        <f t="shared" si="29"/>
        <v>8.7363798927040239</v>
      </c>
      <c r="E127" s="3">
        <f t="shared" si="29"/>
        <v>9.7927637232907845</v>
      </c>
      <c r="F127" s="3">
        <f t="shared" si="29"/>
        <v>10.94269591414289</v>
      </c>
      <c r="G127" s="3">
        <f t="shared" si="29"/>
        <v>12.186253512989383</v>
      </c>
      <c r="H127" s="3">
        <f t="shared" si="29"/>
        <v>13.523592024503278</v>
      </c>
      <c r="I127" s="3">
        <f t="shared" si="29"/>
        <v>14.95481109264473</v>
      </c>
      <c r="J127" s="3">
        <f t="shared" si="29"/>
        <v>16.479887274918728</v>
      </c>
      <c r="K127" s="3">
        <f t="shared" si="29"/>
        <v>18.098667463289509</v>
      </c>
      <c r="L127" s="3">
        <f t="shared" si="29"/>
        <v>19.810923253087598</v>
      </c>
      <c r="M127" s="3">
        <f t="shared" si="29"/>
        <v>21.616475798263529</v>
      </c>
      <c r="N127" s="3">
        <f t="shared" si="29"/>
        <v>23.515413624999599</v>
      </c>
      <c r="O127" s="3">
        <f t="shared" si="29"/>
        <v>25.508447645364296</v>
      </c>
      <c r="P127" s="3">
        <f t="shared" si="29"/>
        <v>27.597484935199429</v>
      </c>
      <c r="Q127" s="3">
        <f t="shared" si="29"/>
        <v>29.786565832270629</v>
      </c>
      <c r="R127" s="3">
        <f t="shared" si="29"/>
        <v>32.083425680021463</v>
      </c>
      <c r="S127" s="3">
        <f t="shared" si="29"/>
        <v>34.502092112766491</v>
      </c>
      <c r="T127" s="3">
        <f t="shared" si="29"/>
        <v>37.057702466542096</v>
      </c>
      <c r="U127" s="3">
        <f t="shared" si="29"/>
        <v>39.744127342103106</v>
      </c>
      <c r="V127" s="3">
        <f t="shared" si="29"/>
        <v>42.556192470748549</v>
      </c>
      <c r="W127" s="3">
        <f t="shared" si="29"/>
        <v>45.489255955401518</v>
      </c>
      <c r="X127" s="3">
        <f t="shared" si="29"/>
        <v>48.538934440194652</v>
      </c>
      <c r="Y127" s="3">
        <f t="shared" si="29"/>
        <v>51.700932006210699</v>
      </c>
      <c r="Z127" s="3">
        <f t="shared" si="29"/>
        <v>54.970936225224122</v>
      </c>
      <c r="AA127" s="3">
        <f t="shared" si="29"/>
        <v>58.344560107754845</v>
      </c>
      <c r="AB127" s="3">
        <f t="shared" si="29"/>
        <v>61.817313879218815</v>
      </c>
      <c r="AC127" s="3">
        <f t="shared" si="29"/>
        <v>65.124174889510698</v>
      </c>
      <c r="AD127" s="3">
        <f t="shared" si="29"/>
        <v>69.357692180612943</v>
      </c>
      <c r="AE127" s="3">
        <f t="shared" si="29"/>
        <v>73.078146882081114</v>
      </c>
      <c r="AF127" s="3">
        <f t="shared" si="29"/>
        <v>76.882124176482606</v>
      </c>
      <c r="AG127" s="3">
        <f t="shared" si="29"/>
        <v>80.763301047965129</v>
      </c>
      <c r="AH127" s="3">
        <f t="shared" si="29"/>
        <v>84.715687117161167</v>
      </c>
      <c r="AI127" s="3">
        <f t="shared" si="29"/>
        <v>88.733540060045868</v>
      </c>
      <c r="AJ127" s="3">
        <f t="shared" si="29"/>
        <v>92.811307378221628</v>
      </c>
      <c r="AK127" s="3">
        <f t="shared" si="29"/>
        <v>96.943587378821348</v>
      </c>
      <c r="AL127" s="3">
        <f t="shared" si="29"/>
        <v>101.12510407061627</v>
      </c>
      <c r="AM127" s="3">
        <f t="shared" si="29"/>
        <v>105.35069206485856</v>
      </c>
      <c r="AN127" s="3">
        <f t="shared" si="29"/>
        <v>109.61528859614351</v>
      </c>
      <c r="AO127" s="3">
        <f t="shared" si="29"/>
        <v>113.9139305385805</v>
      </c>
      <c r="AP127" s="3">
        <f t="shared" si="29"/>
        <v>118.24175485401157</v>
      </c>
      <c r="AQ127" s="3">
        <f t="shared" si="29"/>
        <v>122.59400132348871</v>
      </c>
      <c r="AR127" s="3">
        <f t="shared" si="29"/>
        <v>126.96601671926847</v>
      </c>
      <c r="AS127" s="3">
        <f t="shared" si="29"/>
        <v>131.35325980079949</v>
      </c>
      <c r="AT127" s="3">
        <f t="shared" si="29"/>
        <v>135.75130668565237</v>
      </c>
      <c r="AU127" s="3">
        <f t="shared" si="29"/>
        <v>140.15585627058175</v>
      </c>
      <c r="AV127" s="3">
        <f t="shared" si="29"/>
        <v>144.56273547031014</v>
      </c>
      <c r="AW127" s="3">
        <f t="shared" si="29"/>
        <v>148.96790411050611</v>
      </c>
      <c r="AX127" s="3">
        <f t="shared" si="29"/>
        <v>153.3674593629338</v>
      </c>
      <c r="AY127" s="3">
        <f t="shared" si="29"/>
        <v>157.75763964934006</v>
      </c>
      <c r="AZ127" s="3">
        <f t="shared" si="29"/>
        <v>162.13482796962657</v>
      </c>
      <c r="BA127" s="3">
        <f t="shared" si="29"/>
        <v>166.49555463163352</v>
      </c>
      <c r="BB127" s="3">
        <f t="shared" si="29"/>
        <v>170.83649937623312</v>
      </c>
      <c r="BC127" s="3">
        <f t="shared" si="29"/>
        <v>175.15449290370154</v>
      </c>
      <c r="BD127" s="3">
        <f t="shared" si="29"/>
        <v>179.44651781649304</v>
      </c>
      <c r="BE127" s="3">
        <f t="shared" si="29"/>
        <v>183.7097090003065</v>
      </c>
      <c r="BF127" s="3">
        <f t="shared" si="29"/>
        <v>187.94135347024658</v>
      </c>
      <c r="BG127" s="3">
        <f t="shared" si="29"/>
        <v>192.13888971237225</v>
      </c>
      <c r="BH127" s="3">
        <f t="shared" si="29"/>
        <v>196.29990655328123</v>
      </c>
      <c r="BI127" s="3">
        <f t="shared" si="29"/>
        <v>200.42214159185551</v>
      </c>
    </row>
    <row r="128" spans="1:124" x14ac:dyDescent="0.35">
      <c r="A128" s="15" t="s">
        <v>230</v>
      </c>
      <c r="B128" s="3">
        <f>((B127)^(1-$B$19)-1)/(1-$B$19)-1</f>
        <v>-0.19942069990592148</v>
      </c>
      <c r="C128" s="3">
        <f t="shared" ref="C128:BI128" si="30">((C127)^(1-$B$19)-1)/(1-$B$19)-1</f>
        <v>-0.1861696229188794</v>
      </c>
      <c r="D128" s="3">
        <f t="shared" si="30"/>
        <v>-0.17468953404958099</v>
      </c>
      <c r="E128" s="3">
        <f t="shared" si="30"/>
        <v>-0.16480348818188628</v>
      </c>
      <c r="F128" s="3">
        <f t="shared" si="30"/>
        <v>-0.15630800707249526</v>
      </c>
      <c r="G128" s="3">
        <f t="shared" si="30"/>
        <v>-0.14900560644052974</v>
      </c>
      <c r="H128" s="3">
        <f t="shared" si="30"/>
        <v>-0.14271819092418092</v>
      </c>
      <c r="I128" s="3">
        <f t="shared" si="30"/>
        <v>-0.13729096474712321</v>
      </c>
      <c r="J128" s="3">
        <f t="shared" si="30"/>
        <v>-0.13259196480059121</v>
      </c>
      <c r="K128" s="3">
        <f t="shared" si="30"/>
        <v>-0.12850980165199566</v>
      </c>
      <c r="L128" s="3">
        <f t="shared" si="30"/>
        <v>-0.12495086048838344</v>
      </c>
      <c r="M128" s="3">
        <f t="shared" si="30"/>
        <v>-0.12183652818255242</v>
      </c>
      <c r="N128" s="3">
        <f t="shared" si="30"/>
        <v>-0.11910067180535622</v>
      </c>
      <c r="O128" s="3">
        <f t="shared" si="30"/>
        <v>-0.1166874270288274</v>
      </c>
      <c r="P128" s="3">
        <f t="shared" si="30"/>
        <v>-0.11454927528530412</v>
      </c>
      <c r="Q128" s="3">
        <f t="shared" si="30"/>
        <v>-0.11264535170133694</v>
      </c>
      <c r="R128" s="3">
        <f t="shared" si="30"/>
        <v>-0.11093990074602766</v>
      </c>
      <c r="S128" s="3">
        <f t="shared" si="30"/>
        <v>-0.10940081230310839</v>
      </c>
      <c r="T128" s="3">
        <f t="shared" si="30"/>
        <v>-0.10800298369702377</v>
      </c>
      <c r="U128" s="3">
        <f t="shared" si="30"/>
        <v>-0.10673639886476494</v>
      </c>
      <c r="V128" s="3">
        <f t="shared" si="30"/>
        <v>-0.10558984195332466</v>
      </c>
      <c r="W128" s="3">
        <f t="shared" si="30"/>
        <v>-0.10455201925419333</v>
      </c>
      <c r="X128" s="3">
        <f t="shared" si="30"/>
        <v>-0.10361214223558524</v>
      </c>
      <c r="Y128" s="3">
        <f t="shared" si="30"/>
        <v>-0.10276020299122424</v>
      </c>
      <c r="Z128" s="3">
        <f t="shared" si="30"/>
        <v>-0.10198707833493881</v>
      </c>
      <c r="AA128" s="3">
        <f t="shared" si="30"/>
        <v>-0.10128454010195653</v>
      </c>
      <c r="AB128" s="3">
        <f t="shared" si="30"/>
        <v>-0.10064521660068926</v>
      </c>
      <c r="AC128" s="3">
        <f t="shared" si="30"/>
        <v>-0.10010280211545253</v>
      </c>
      <c r="AD128" s="3">
        <f t="shared" si="30"/>
        <v>-9.9487430161439794E-2</v>
      </c>
      <c r="AE128" s="3">
        <f t="shared" si="30"/>
        <v>-9.90082706338129E-2</v>
      </c>
      <c r="AF128" s="3">
        <f t="shared" si="30"/>
        <v>-9.8568572972517643E-2</v>
      </c>
      <c r="AG128" s="3">
        <f t="shared" si="30"/>
        <v>-9.8164666098884523E-2</v>
      </c>
      <c r="AH128" s="3">
        <f t="shared" si="30"/>
        <v>-9.7793189688826332E-2</v>
      </c>
      <c r="AI128" s="3">
        <f t="shared" si="30"/>
        <v>-9.745109371112548E-2</v>
      </c>
      <c r="AJ128" s="3">
        <f t="shared" si="30"/>
        <v>-9.7135624500959028E-2</v>
      </c>
      <c r="AK128" s="3">
        <f t="shared" si="30"/>
        <v>-9.6844304048355756E-2</v>
      </c>
      <c r="AL128" s="3">
        <f t="shared" si="30"/>
        <v>-9.657490649972611E-2</v>
      </c>
      <c r="AM128" s="3">
        <f t="shared" si="30"/>
        <v>-9.6325434203382243E-2</v>
      </c>
      <c r="AN128" s="3">
        <f t="shared" si="30"/>
        <v>-9.6094094602330982E-2</v>
      </c>
      <c r="AO128" s="3">
        <f t="shared" si="30"/>
        <v>-9.5879278650938815E-2</v>
      </c>
      <c r="AP128" s="3">
        <f t="shared" si="30"/>
        <v>-9.5679541055552986E-2</v>
      </c>
      <c r="AQ128" s="3">
        <f t="shared" si="30"/>
        <v>-9.5493582417985778E-2</v>
      </c>
      <c r="AR128" s="3">
        <f t="shared" si="30"/>
        <v>-9.5320233235455687E-2</v>
      </c>
      <c r="AS128" s="3">
        <f t="shared" si="30"/>
        <v>-9.5158439643944881E-2</v>
      </c>
      <c r="AT128" s="3">
        <f t="shared" si="30"/>
        <v>-9.5007250760730577E-2</v>
      </c>
      <c r="AU128" s="3">
        <f t="shared" si="30"/>
        <v>-9.486580747163964E-2</v>
      </c>
      <c r="AV128" s="3">
        <f t="shared" si="30"/>
        <v>-9.4733332510414825E-2</v>
      </c>
      <c r="AW128" s="3">
        <f t="shared" si="30"/>
        <v>-9.4609121685935715E-2</v>
      </c>
      <c r="AX128" s="3">
        <f t="shared" si="30"/>
        <v>-9.4492536124603066E-2</v>
      </c>
      <c r="AY128" s="3">
        <f t="shared" si="30"/>
        <v>-9.438299540792916E-2</v>
      </c>
      <c r="AZ128" s="3">
        <f t="shared" si="30"/>
        <v>-9.4279971498154147E-2</v>
      </c>
      <c r="BA128" s="3">
        <f t="shared" si="30"/>
        <v>-9.4182983356874805E-2</v>
      </c>
      <c r="BB128" s="3">
        <f t="shared" si="30"/>
        <v>-9.4091592172896754E-2</v>
      </c>
      <c r="BC128" s="3">
        <f t="shared" si="30"/>
        <v>-9.4005397125696444E-2</v>
      </c>
      <c r="BD128" s="3">
        <f t="shared" si="30"/>
        <v>-9.3924031619954218E-2</v>
      </c>
      <c r="BE128" s="3">
        <f t="shared" si="30"/>
        <v>-9.3847159934665192E-2</v>
      </c>
      <c r="BF128" s="3">
        <f t="shared" si="30"/>
        <v>-9.3774474237410699E-2</v>
      </c>
      <c r="BG128" s="3">
        <f t="shared" si="30"/>
        <v>-9.3705691920564993E-2</v>
      </c>
      <c r="BH128" s="3">
        <f t="shared" si="30"/>
        <v>-9.3640553221638223E-2</v>
      </c>
      <c r="BI128" s="3">
        <f t="shared" si="30"/>
        <v>-9.3578819094669474E-2</v>
      </c>
    </row>
    <row r="129" spans="1:124" x14ac:dyDescent="0.35">
      <c r="A129" s="15" t="s">
        <v>231</v>
      </c>
      <c r="B129" s="51">
        <f t="shared" ref="B129:BI129" si="31">B$18*B$53*B128</f>
        <v>-1363.6387459566911</v>
      </c>
      <c r="C129" s="51">
        <f t="shared" si="31"/>
        <v>-1341.8923060774355</v>
      </c>
      <c r="D129" s="51">
        <f t="shared" si="31"/>
        <v>-1317.0021525570482</v>
      </c>
      <c r="E129" s="51">
        <f t="shared" si="31"/>
        <v>-1290.865089584825</v>
      </c>
      <c r="F129" s="51">
        <f t="shared" si="31"/>
        <v>-1264.6396734364364</v>
      </c>
      <c r="G129" s="51">
        <f t="shared" si="31"/>
        <v>-1239.010495553038</v>
      </c>
      <c r="H129" s="51">
        <f t="shared" si="31"/>
        <v>-1214.3614065383135</v>
      </c>
      <c r="I129" s="51">
        <f t="shared" si="31"/>
        <v>-1190.8869578523402</v>
      </c>
      <c r="J129" s="51">
        <f t="shared" si="31"/>
        <v>-1168.6636070487507</v>
      </c>
      <c r="K129" s="51">
        <f t="shared" si="31"/>
        <v>-1147.6951353893764</v>
      </c>
      <c r="L129" s="51">
        <f t="shared" si="31"/>
        <v>-1127.9415807726782</v>
      </c>
      <c r="M129" s="51">
        <f t="shared" si="31"/>
        <v>-1109.3375512323294</v>
      </c>
      <c r="N129" s="51">
        <f t="shared" si="31"/>
        <v>-1091.8035987640967</v>
      </c>
      <c r="O129" s="51">
        <f t="shared" si="31"/>
        <v>-1075.2529337849255</v>
      </c>
      <c r="P129" s="51">
        <f t="shared" si="31"/>
        <v>-1059.5948540494987</v>
      </c>
      <c r="Q129" s="51">
        <f t="shared" si="31"/>
        <v>-1044.735660988981</v>
      </c>
      <c r="R129" s="51">
        <f t="shared" si="31"/>
        <v>-1030.5773476932502</v>
      </c>
      <c r="S129" s="51">
        <f t="shared" si="31"/>
        <v>-1017.0142701929743</v>
      </c>
      <c r="T129" s="51">
        <f t="shared" si="31"/>
        <v>-1003.9725806464244</v>
      </c>
      <c r="U129" s="51">
        <f t="shared" si="31"/>
        <v>-991.49171963007859</v>
      </c>
      <c r="V129" s="51">
        <f t="shared" si="31"/>
        <v>-979.57765154503795</v>
      </c>
      <c r="W129" s="51">
        <f t="shared" si="31"/>
        <v>-968.21706101387815</v>
      </c>
      <c r="X129" s="51">
        <f t="shared" si="31"/>
        <v>-957.38597802345248</v>
      </c>
      <c r="Y129" s="51">
        <f t="shared" si="31"/>
        <v>-947.05500856445701</v>
      </c>
      <c r="Z129" s="51">
        <f t="shared" si="31"/>
        <v>-937.19250364424227</v>
      </c>
      <c r="AA129" s="51">
        <f t="shared" si="31"/>
        <v>-927.76646185596053</v>
      </c>
      <c r="AB129" s="51">
        <f t="shared" si="31"/>
        <v>-918.74565219235717</v>
      </c>
      <c r="AC129" s="51">
        <f t="shared" si="31"/>
        <v>-910.4665346504944</v>
      </c>
      <c r="AD129" s="51">
        <f t="shared" si="31"/>
        <v>-901.41078864905774</v>
      </c>
      <c r="AE129" s="51">
        <f t="shared" si="31"/>
        <v>-893.50006805065527</v>
      </c>
      <c r="AF129" s="51">
        <f t="shared" si="31"/>
        <v>-885.87230439737891</v>
      </c>
      <c r="AG129" s="51">
        <f t="shared" si="31"/>
        <v>-878.50915664298998</v>
      </c>
      <c r="AH129" s="51">
        <f t="shared" si="31"/>
        <v>-871.39272438743058</v>
      </c>
      <c r="AI129" s="51">
        <f t="shared" si="31"/>
        <v>-864.5059326515792</v>
      </c>
      <c r="AJ129" s="51">
        <f t="shared" si="31"/>
        <v>-857.8327261846199</v>
      </c>
      <c r="AK129" s="51">
        <f t="shared" si="31"/>
        <v>-851.35814726242859</v>
      </c>
      <c r="AL129" s="51">
        <f t="shared" si="31"/>
        <v>-845.06834364192582</v>
      </c>
      <c r="AM129" s="51">
        <f t="shared" si="31"/>
        <v>-838.95053598293111</v>
      </c>
      <c r="AN129" s="51">
        <f t="shared" si="31"/>
        <v>-832.9929630394264</v>
      </c>
      <c r="AO129" s="51">
        <f t="shared" si="31"/>
        <v>-827.18481594692514</v>
      </c>
      <c r="AP129" s="51">
        <f t="shared" si="31"/>
        <v>-821.51616851965105</v>
      </c>
      <c r="AQ129" s="51">
        <f t="shared" si="31"/>
        <v>-815.97790768514244</v>
      </c>
      <c r="AR129" s="51">
        <f t="shared" si="31"/>
        <v>-810.56166643116467</v>
      </c>
      <c r="AS129" s="51">
        <f t="shared" si="31"/>
        <v>-805.25976054394278</v>
      </c>
      <c r="AT129" s="51">
        <f t="shared" si="31"/>
        <v>-800.06512973818656</v>
      </c>
      <c r="AU129" s="51">
        <f t="shared" si="31"/>
        <v>-794.97128336594278</v>
      </c>
      <c r="AV129" s="51">
        <f t="shared" si="31"/>
        <v>-789.97225064595807</v>
      </c>
      <c r="AW129" s="51">
        <f t="shared" si="31"/>
        <v>-785.06253521570932</v>
      </c>
      <c r="AX129" s="51">
        <f t="shared" si="31"/>
        <v>-780.23707373533102</v>
      </c>
      <c r="AY129" s="51">
        <f t="shared" si="31"/>
        <v>-775.49119824064223</v>
      </c>
      <c r="AZ129" s="51">
        <f t="shared" si="31"/>
        <v>-770.8206019354858</v>
      </c>
      <c r="BA129" s="51">
        <f t="shared" si="31"/>
        <v>-766.22130812124578</v>
      </c>
      <c r="BB129" s="51">
        <f t="shared" si="31"/>
        <v>-761.68964197715957</v>
      </c>
      <c r="BC129" s="51">
        <f t="shared" si="31"/>
        <v>-757.22220492499389</v>
      </c>
      <c r="BD129" s="51">
        <f t="shared" si="31"/>
        <v>-752.81585133306226</v>
      </c>
      <c r="BE129" s="51">
        <f t="shared" si="31"/>
        <v>-748.46766733613629</v>
      </c>
      <c r="BF129" s="51">
        <f t="shared" si="31"/>
        <v>-744.17495156854579</v>
      </c>
      <c r="BG129" s="51">
        <f t="shared" si="31"/>
        <v>-739.9351976271555</v>
      </c>
      <c r="BH129" s="51">
        <f t="shared" si="31"/>
        <v>-735.7460780989577</v>
      </c>
      <c r="BI129" s="51">
        <f t="shared" si="31"/>
        <v>-731.60543000432506</v>
      </c>
      <c r="BJ129" s="51"/>
      <c r="BK129" s="51"/>
      <c r="BL129" s="51"/>
      <c r="BM129" s="51"/>
      <c r="BN129" s="51"/>
      <c r="BO129" s="51"/>
      <c r="BP129" s="51"/>
      <c r="BQ129" s="51"/>
      <c r="BR129" s="51"/>
      <c r="BS129" s="51"/>
      <c r="BT129" s="51"/>
      <c r="BU129" s="51"/>
      <c r="BV129" s="51"/>
      <c r="BW129" s="51"/>
      <c r="BX129" s="51"/>
      <c r="BY129" s="51"/>
      <c r="BZ129" s="51"/>
      <c r="CA129" s="51"/>
      <c r="CB129" s="51"/>
      <c r="CC129" s="51"/>
      <c r="CD129" s="51"/>
      <c r="CE129" s="51"/>
      <c r="CF129" s="51"/>
      <c r="CG129" s="51"/>
      <c r="CH129" s="51"/>
      <c r="CI129" s="51"/>
      <c r="CJ129" s="51"/>
      <c r="CK129" s="51"/>
      <c r="CL129" s="51"/>
      <c r="CM129" s="51"/>
      <c r="CN129" s="51"/>
      <c r="CO129" s="51"/>
      <c r="CP129" s="51"/>
      <c r="CQ129" s="51"/>
      <c r="CR129" s="51"/>
      <c r="CS129" s="51"/>
      <c r="CT129" s="51"/>
      <c r="CU129" s="51"/>
      <c r="CV129" s="51"/>
      <c r="CW129" s="51"/>
      <c r="CX129" s="51"/>
      <c r="CY129" s="51"/>
      <c r="CZ129" s="51"/>
      <c r="DA129" s="51"/>
      <c r="DB129" s="51"/>
      <c r="DC129" s="51"/>
      <c r="DD129" s="51"/>
      <c r="DE129" s="51"/>
      <c r="DF129" s="51"/>
      <c r="DG129" s="51"/>
      <c r="DH129" s="51"/>
      <c r="DI129" s="51"/>
      <c r="DJ129" s="51"/>
      <c r="DK129" s="51"/>
      <c r="DL129" s="51"/>
      <c r="DM129" s="51"/>
      <c r="DN129" s="51"/>
      <c r="DO129" s="51"/>
      <c r="DP129" s="51"/>
      <c r="DQ129" s="51"/>
      <c r="DR129" s="51"/>
      <c r="DS129" s="51"/>
      <c r="DT129" s="51"/>
    </row>
    <row r="130" spans="1:124" x14ac:dyDescent="0.35">
      <c r="A130" s="87" t="s">
        <v>232</v>
      </c>
      <c r="B130" s="17">
        <f>SUM(B129:DQ129)*5*B49+B50</f>
        <v>-8453.7370671215849</v>
      </c>
      <c r="C130" s="17">
        <v>3048.5693049573711</v>
      </c>
      <c r="D130" s="16">
        <f>+B130-C130</f>
        <v>-11502.306372078956</v>
      </c>
      <c r="U130" s="3">
        <f>+D130</f>
        <v>-11502.306372078956</v>
      </c>
    </row>
    <row r="131" spans="1:124" ht="23" thickBot="1" x14ac:dyDescent="0.4">
      <c r="A131" s="88" t="s">
        <v>27</v>
      </c>
      <c r="C131" s="72"/>
      <c r="D131" s="72"/>
    </row>
    <row r="132" spans="1:124" s="28" customFormat="1" ht="21.65" customHeight="1" thickTop="1" x14ac:dyDescent="0.35">
      <c r="A132" s="26" t="s">
        <v>90</v>
      </c>
      <c r="B132" s="166">
        <v>0.255477747202418</v>
      </c>
      <c r="C132" s="166">
        <v>0.25366698250556102</v>
      </c>
      <c r="D132" s="166">
        <v>0.25242982370522699</v>
      </c>
      <c r="E132" s="166">
        <v>0.25151738222765002</v>
      </c>
      <c r="F132" s="166">
        <v>0.25090512906879903</v>
      </c>
      <c r="G132" s="166">
        <v>0.25056955196296499</v>
      </c>
      <c r="H132" s="166">
        <v>0.25048839627450797</v>
      </c>
      <c r="I132" s="166">
        <v>0.25064023615993197</v>
      </c>
      <c r="J132" s="166">
        <v>0.251003576902667</v>
      </c>
      <c r="K132" s="166">
        <v>0.25155541908128898</v>
      </c>
      <c r="L132" s="166">
        <v>0.25226905825917201</v>
      </c>
      <c r="M132" s="166">
        <v>0.25311068055179797</v>
      </c>
      <c r="N132" s="166">
        <v>0.25403403193872298</v>
      </c>
      <c r="O132" s="166">
        <v>0.254971964273005</v>
      </c>
      <c r="P132" s="166">
        <v>0.255822868284514</v>
      </c>
      <c r="Q132" s="166">
        <v>0.25642869014532799</v>
      </c>
      <c r="R132" s="166">
        <v>0.25653877448516099</v>
      </c>
      <c r="S132" s="166">
        <v>0.25624794425449998</v>
      </c>
      <c r="T132" s="166">
        <v>0.25699052895076302</v>
      </c>
      <c r="U132" s="166">
        <v>0.257750554957976</v>
      </c>
      <c r="V132" s="166">
        <v>0.25852758215313898</v>
      </c>
      <c r="W132" s="166">
        <v>0.25931910567424798</v>
      </c>
      <c r="X132" s="166">
        <v>0.26012169242767602</v>
      </c>
      <c r="Y132" s="166">
        <v>0.26093162728268299</v>
      </c>
      <c r="Z132" s="166">
        <v>0.26174528640796002</v>
      </c>
      <c r="AA132" s="166">
        <v>0.26255932950195399</v>
      </c>
      <c r="AB132" s="166">
        <v>0.26337078536619002</v>
      </c>
      <c r="AC132" s="166">
        <v>0.267107792006886</v>
      </c>
      <c r="AD132" s="166">
        <v>0.26270476920847274</v>
      </c>
      <c r="AE132" s="166">
        <f>+AD132</f>
        <v>0.26270476920847274</v>
      </c>
      <c r="AF132" s="166">
        <f t="shared" ref="AF132:BI132" si="32">+AE132</f>
        <v>0.26270476920847274</v>
      </c>
      <c r="AG132" s="166">
        <f t="shared" si="32"/>
        <v>0.26270476920847274</v>
      </c>
      <c r="AH132" s="166">
        <f t="shared" si="32"/>
        <v>0.26270476920847274</v>
      </c>
      <c r="AI132" s="166">
        <f t="shared" si="32"/>
        <v>0.26270476920847274</v>
      </c>
      <c r="AJ132" s="166">
        <f t="shared" si="32"/>
        <v>0.26270476920847274</v>
      </c>
      <c r="AK132" s="166">
        <f t="shared" si="32"/>
        <v>0.26270476920847274</v>
      </c>
      <c r="AL132" s="166">
        <f t="shared" si="32"/>
        <v>0.26270476920847274</v>
      </c>
      <c r="AM132" s="166">
        <f t="shared" si="32"/>
        <v>0.26270476920847274</v>
      </c>
      <c r="AN132" s="166">
        <f t="shared" si="32"/>
        <v>0.26270476920847274</v>
      </c>
      <c r="AO132" s="166">
        <f t="shared" si="32"/>
        <v>0.26270476920847274</v>
      </c>
      <c r="AP132" s="166">
        <f t="shared" si="32"/>
        <v>0.26270476920847274</v>
      </c>
      <c r="AQ132" s="166">
        <f t="shared" si="32"/>
        <v>0.26270476920847274</v>
      </c>
      <c r="AR132" s="166">
        <f t="shared" si="32"/>
        <v>0.26270476920847274</v>
      </c>
      <c r="AS132" s="166">
        <f t="shared" si="32"/>
        <v>0.26270476920847274</v>
      </c>
      <c r="AT132" s="166">
        <f t="shared" si="32"/>
        <v>0.26270476920847274</v>
      </c>
      <c r="AU132" s="166">
        <f t="shared" si="32"/>
        <v>0.26270476920847274</v>
      </c>
      <c r="AV132" s="166">
        <f t="shared" si="32"/>
        <v>0.26270476920847274</v>
      </c>
      <c r="AW132" s="166">
        <f t="shared" si="32"/>
        <v>0.26270476920847274</v>
      </c>
      <c r="AX132" s="166">
        <f t="shared" si="32"/>
        <v>0.26270476920847274</v>
      </c>
      <c r="AY132" s="166">
        <f t="shared" si="32"/>
        <v>0.26270476920847274</v>
      </c>
      <c r="AZ132" s="166">
        <f t="shared" si="32"/>
        <v>0.26270476920847274</v>
      </c>
      <c r="BA132" s="166">
        <f t="shared" si="32"/>
        <v>0.26270476920847274</v>
      </c>
      <c r="BB132" s="166">
        <f t="shared" si="32"/>
        <v>0.26270476920847274</v>
      </c>
      <c r="BC132" s="166">
        <f t="shared" si="32"/>
        <v>0.26270476920847274</v>
      </c>
      <c r="BD132" s="166">
        <f t="shared" si="32"/>
        <v>0.26270476920847274</v>
      </c>
      <c r="BE132" s="166">
        <f t="shared" si="32"/>
        <v>0.26270476920847274</v>
      </c>
      <c r="BF132" s="166">
        <f t="shared" si="32"/>
        <v>0.26270476920847274</v>
      </c>
      <c r="BG132" s="166">
        <f t="shared" si="32"/>
        <v>0.26270476920847274</v>
      </c>
      <c r="BH132" s="166">
        <f t="shared" si="32"/>
        <v>0.26270476920847274</v>
      </c>
      <c r="BI132" s="166">
        <f t="shared" si="32"/>
        <v>0.26270476920847274</v>
      </c>
      <c r="BJ132" s="27"/>
      <c r="BK132" s="27"/>
      <c r="BL132" s="27"/>
      <c r="BM132" s="27"/>
      <c r="BN132" s="27"/>
      <c r="BO132" s="27"/>
      <c r="BP132" s="27"/>
      <c r="BQ132" s="27"/>
      <c r="BR132" s="27"/>
      <c r="BS132" s="27"/>
      <c r="BT132" s="27"/>
      <c r="BU132" s="27"/>
      <c r="BV132" s="27"/>
      <c r="BW132" s="27"/>
      <c r="BX132" s="27"/>
      <c r="BY132" s="27"/>
      <c r="BZ132" s="27"/>
      <c r="CA132" s="27"/>
      <c r="CB132" s="27"/>
      <c r="CC132" s="27"/>
      <c r="CD132" s="27"/>
      <c r="CE132" s="27"/>
      <c r="CF132" s="27"/>
      <c r="CG132" s="27"/>
      <c r="CH132" s="27"/>
      <c r="CI132" s="27"/>
      <c r="CJ132" s="27"/>
      <c r="CK132" s="27"/>
      <c r="CL132" s="27"/>
      <c r="CM132" s="27"/>
      <c r="CN132" s="27"/>
      <c r="CO132" s="27"/>
      <c r="CP132" s="27"/>
      <c r="CQ132" s="27"/>
      <c r="CR132" s="27"/>
      <c r="CS132" s="27"/>
      <c r="CT132" s="27"/>
      <c r="CU132" s="27"/>
      <c r="CV132" s="27"/>
      <c r="CW132" s="27"/>
      <c r="CX132" s="27"/>
      <c r="CY132" s="27"/>
      <c r="CZ132" s="27"/>
      <c r="DA132" s="27"/>
      <c r="DB132" s="27"/>
      <c r="DC132" s="27"/>
      <c r="DD132" s="27"/>
      <c r="DE132" s="27"/>
      <c r="DF132" s="27"/>
      <c r="DG132" s="27"/>
      <c r="DH132" s="27"/>
      <c r="DI132" s="27"/>
      <c r="DJ132" s="27"/>
      <c r="DK132" s="27"/>
      <c r="DL132" s="27"/>
      <c r="DM132" s="27"/>
      <c r="DN132" s="27"/>
      <c r="DO132" s="27"/>
      <c r="DP132" s="27"/>
      <c r="DQ132" s="27"/>
      <c r="DR132" s="27"/>
      <c r="DS132" s="27"/>
      <c r="DT132" s="27"/>
    </row>
    <row r="133" spans="1:124" s="28" customFormat="1" ht="25.25" customHeight="1" x14ac:dyDescent="0.35">
      <c r="A133" s="29" t="s">
        <v>301</v>
      </c>
      <c r="B133" s="166">
        <v>0.99998508507415795</v>
      </c>
      <c r="C133" s="166">
        <v>23.3294657167454</v>
      </c>
      <c r="D133" s="166">
        <v>28.376217685335899</v>
      </c>
      <c r="E133" s="166">
        <v>34.276159164522397</v>
      </c>
      <c r="F133" s="166">
        <v>41.085872606060299</v>
      </c>
      <c r="G133" s="166">
        <v>48.858767440569501</v>
      </c>
      <c r="H133" s="166">
        <v>57.643781384898702</v>
      </c>
      <c r="I133" s="166">
        <v>67.484235581800306</v>
      </c>
      <c r="J133" s="166">
        <v>78.416868019798002</v>
      </c>
      <c r="K133" s="166">
        <v>90.471169015693903</v>
      </c>
      <c r="L133" s="166">
        <v>103.669126274219</v>
      </c>
      <c r="M133" s="166">
        <v>118.025544361252</v>
      </c>
      <c r="N133" s="166">
        <v>133.54916900153901</v>
      </c>
      <c r="O133" s="166">
        <v>150.24494050843899</v>
      </c>
      <c r="P133" s="166">
        <v>168.11786751534601</v>
      </c>
      <c r="Q133" s="166">
        <v>187.17942699710599</v>
      </c>
      <c r="R133" s="166">
        <v>207.45794169570399</v>
      </c>
      <c r="S133" s="166">
        <v>223.68502448968599</v>
      </c>
      <c r="T133" s="166">
        <v>218.09289887744399</v>
      </c>
      <c r="U133" s="166">
        <v>212.640576405508</v>
      </c>
      <c r="V133" s="166">
        <v>207.32456199537</v>
      </c>
      <c r="W133" s="166">
        <v>202.14144794548599</v>
      </c>
      <c r="X133" s="166">
        <v>197.08791174684899</v>
      </c>
      <c r="Y133" s="166">
        <v>192.160713953178</v>
      </c>
      <c r="Z133" s="166">
        <v>187.356696104348</v>
      </c>
      <c r="AA133" s="166">
        <v>182.67277870173999</v>
      </c>
      <c r="AB133" s="166">
        <v>178.10595923419601</v>
      </c>
      <c r="AC133" s="166">
        <v>173.653310253341</v>
      </c>
      <c r="AD133" s="166">
        <v>169.31200000000001</v>
      </c>
      <c r="AE133" s="166">
        <v>165.07919999999999</v>
      </c>
      <c r="AF133" s="166">
        <v>160.9522</v>
      </c>
      <c r="AG133" s="166">
        <v>156.92840000000001</v>
      </c>
      <c r="AH133" s="166">
        <v>153.0052</v>
      </c>
      <c r="AI133" s="166">
        <v>149.18010000000001</v>
      </c>
      <c r="AJ133" s="166">
        <v>145.45060000000001</v>
      </c>
      <c r="AK133" s="166">
        <v>141.8143</v>
      </c>
      <c r="AL133" s="166">
        <v>141.8143</v>
      </c>
      <c r="AM133" s="166">
        <v>141.8143</v>
      </c>
      <c r="AN133" s="166">
        <v>141.8143</v>
      </c>
      <c r="AO133" s="166">
        <v>141.8143</v>
      </c>
      <c r="AP133" s="166">
        <v>141.8143</v>
      </c>
      <c r="AQ133" s="27">
        <v>141.8143</v>
      </c>
      <c r="AR133" s="27">
        <v>141.8143</v>
      </c>
      <c r="AS133" s="27">
        <v>141.8143</v>
      </c>
      <c r="AT133" s="27">
        <v>141.8143</v>
      </c>
      <c r="AU133" s="27">
        <v>141.8143</v>
      </c>
      <c r="AV133" s="27">
        <v>141.8143</v>
      </c>
      <c r="AW133" s="27">
        <v>141.8143</v>
      </c>
      <c r="AX133" s="27">
        <v>141.8143</v>
      </c>
      <c r="AY133" s="27">
        <v>141.8143</v>
      </c>
      <c r="AZ133" s="27">
        <v>141.8143</v>
      </c>
      <c r="BA133" s="27">
        <v>141.8143</v>
      </c>
      <c r="BB133" s="27">
        <v>141.8143</v>
      </c>
      <c r="BC133" s="27">
        <v>141.8143</v>
      </c>
      <c r="BD133" s="27">
        <v>141.8143</v>
      </c>
      <c r="BE133" s="27">
        <v>141.8143</v>
      </c>
      <c r="BF133" s="27">
        <v>141.8143</v>
      </c>
      <c r="BG133" s="27">
        <v>141.8143</v>
      </c>
      <c r="BH133" s="27">
        <v>141.8143</v>
      </c>
      <c r="BI133" s="27">
        <v>141.8143</v>
      </c>
      <c r="BJ133" s="27">
        <v>141.8143</v>
      </c>
      <c r="BK133" s="27">
        <v>141.8143</v>
      </c>
      <c r="BL133" s="27">
        <v>141.8143</v>
      </c>
      <c r="BM133" s="27">
        <v>141.8143</v>
      </c>
      <c r="BN133" s="27">
        <v>141.8143</v>
      </c>
      <c r="BO133" s="27">
        <v>141.8143</v>
      </c>
      <c r="BP133" s="27"/>
      <c r="BQ133" s="27"/>
      <c r="BR133" s="27"/>
      <c r="BS133" s="27"/>
      <c r="BT133" s="27"/>
      <c r="BU133" s="27"/>
      <c r="BV133" s="27"/>
      <c r="BW133" s="27"/>
      <c r="BX133" s="27"/>
      <c r="BY133" s="27"/>
      <c r="BZ133" s="27"/>
      <c r="CA133" s="27"/>
      <c r="CB133" s="27"/>
      <c r="CC133" s="27"/>
      <c r="CD133" s="27"/>
      <c r="CE133" s="27"/>
      <c r="CF133" s="27"/>
      <c r="CG133" s="27"/>
      <c r="CH133" s="27"/>
      <c r="CI133" s="27"/>
      <c r="CJ133" s="27"/>
      <c r="CK133" s="27"/>
      <c r="CL133" s="27"/>
      <c r="CM133" s="27"/>
      <c r="CN133" s="27"/>
      <c r="CO133" s="27"/>
      <c r="CP133" s="27"/>
      <c r="CQ133" s="27"/>
      <c r="CR133" s="27"/>
      <c r="CS133" s="27"/>
      <c r="CT133" s="27"/>
      <c r="CU133" s="27"/>
      <c r="CV133" s="27"/>
      <c r="CW133" s="27"/>
      <c r="CX133" s="27"/>
      <c r="CY133" s="27"/>
      <c r="CZ133" s="27"/>
      <c r="DA133" s="27"/>
      <c r="DB133" s="27"/>
      <c r="DC133" s="27"/>
      <c r="DD133" s="27"/>
      <c r="DE133" s="27"/>
      <c r="DF133" s="27"/>
      <c r="DG133" s="27"/>
      <c r="DH133" s="27"/>
      <c r="DI133" s="27"/>
      <c r="DJ133" s="27"/>
      <c r="DK133" s="27"/>
      <c r="DL133" s="27"/>
      <c r="DM133" s="27"/>
      <c r="DN133" s="27"/>
      <c r="DO133" s="27"/>
      <c r="DP133" s="27"/>
      <c r="DQ133" s="27"/>
      <c r="DR133" s="27"/>
      <c r="DS133" s="27"/>
      <c r="DT133" s="27"/>
    </row>
    <row r="134" spans="1:124" s="2" customFormat="1" x14ac:dyDescent="0.35">
      <c r="A134" s="47" t="s">
        <v>307</v>
      </c>
      <c r="B134" s="8">
        <f>+MIN(B133,B34)</f>
        <v>0.99998508507415795</v>
      </c>
      <c r="C134" s="8">
        <f>+MIN(C133,C34)</f>
        <v>23.3294657167454</v>
      </c>
      <c r="D134" s="8">
        <f t="shared" ref="D134:BI134" si="33">+MIN(D133,D34)</f>
        <v>28.376217685335899</v>
      </c>
      <c r="E134" s="8">
        <f t="shared" si="33"/>
        <v>34.276159164522397</v>
      </c>
      <c r="F134" s="8">
        <f t="shared" si="33"/>
        <v>41.085872606060299</v>
      </c>
      <c r="G134" s="8">
        <f t="shared" si="33"/>
        <v>48.858767440569501</v>
      </c>
      <c r="H134" s="8">
        <f t="shared" si="33"/>
        <v>57.643781384898702</v>
      </c>
      <c r="I134" s="8">
        <f t="shared" si="33"/>
        <v>67.484235581800306</v>
      </c>
      <c r="J134" s="8">
        <f t="shared" si="33"/>
        <v>78.416868019798002</v>
      </c>
      <c r="K134" s="8">
        <f t="shared" si="33"/>
        <v>90.471169015693903</v>
      </c>
      <c r="L134" s="8">
        <f t="shared" si="33"/>
        <v>103.669126274219</v>
      </c>
      <c r="M134" s="8">
        <f t="shared" si="33"/>
        <v>118.025544361252</v>
      </c>
      <c r="N134" s="8">
        <f t="shared" si="33"/>
        <v>133.54916900153901</v>
      </c>
      <c r="O134" s="8">
        <f t="shared" si="33"/>
        <v>150.24494050843899</v>
      </c>
      <c r="P134" s="8">
        <f t="shared" si="33"/>
        <v>168.11786751534601</v>
      </c>
      <c r="Q134" s="8">
        <f t="shared" si="33"/>
        <v>187.17942699710599</v>
      </c>
      <c r="R134" s="8">
        <f t="shared" si="33"/>
        <v>207.45794169570399</v>
      </c>
      <c r="S134" s="8">
        <f t="shared" si="33"/>
        <v>223.68502448968599</v>
      </c>
      <c r="T134" s="8">
        <f t="shared" si="33"/>
        <v>218.09289887744399</v>
      </c>
      <c r="U134" s="8">
        <f t="shared" si="33"/>
        <v>212.640576405508</v>
      </c>
      <c r="V134" s="8">
        <f t="shared" si="33"/>
        <v>207.32456199537</v>
      </c>
      <c r="W134" s="8">
        <f t="shared" si="33"/>
        <v>202.14144794548599</v>
      </c>
      <c r="X134" s="8">
        <f t="shared" si="33"/>
        <v>197.08791174684899</v>
      </c>
      <c r="Y134" s="8">
        <f t="shared" si="33"/>
        <v>192.16071395317775</v>
      </c>
      <c r="Z134" s="8">
        <f t="shared" si="33"/>
        <v>187.356696104348</v>
      </c>
      <c r="AA134" s="8">
        <f t="shared" si="33"/>
        <v>182.67277870173959</v>
      </c>
      <c r="AB134" s="8">
        <f t="shared" si="33"/>
        <v>178.10595923419601</v>
      </c>
      <c r="AC134" s="8">
        <f t="shared" si="33"/>
        <v>173.653310253341</v>
      </c>
      <c r="AD134" s="8">
        <f t="shared" si="33"/>
        <v>169.31197749700763</v>
      </c>
      <c r="AE134" s="8">
        <f t="shared" si="33"/>
        <v>165.07917805958243</v>
      </c>
      <c r="AF134" s="8">
        <f t="shared" si="33"/>
        <v>160.95219860809286</v>
      </c>
      <c r="AG134" s="8">
        <f t="shared" si="33"/>
        <v>156.92839364289054</v>
      </c>
      <c r="AH134" s="8">
        <f t="shared" si="33"/>
        <v>153.00518380181828</v>
      </c>
      <c r="AI134" s="8">
        <f t="shared" si="33"/>
        <v>149.18005420677281</v>
      </c>
      <c r="AJ134" s="8">
        <f t="shared" si="33"/>
        <v>145.45055285160348</v>
      </c>
      <c r="AK134" s="8">
        <f t="shared" si="33"/>
        <v>141.81428903031338</v>
      </c>
      <c r="AL134" s="8">
        <f t="shared" si="33"/>
        <v>138.26893180455554</v>
      </c>
      <c r="AM134" s="8">
        <f t="shared" si="33"/>
        <v>134.81220850944163</v>
      </c>
      <c r="AN134" s="8">
        <f t="shared" si="33"/>
        <v>131.44190329670559</v>
      </c>
      <c r="AO134" s="8">
        <f t="shared" si="33"/>
        <v>128.15585571428795</v>
      </c>
      <c r="AP134" s="8">
        <f t="shared" si="33"/>
        <v>124.95195932143075</v>
      </c>
      <c r="AQ134" s="8">
        <f t="shared" si="33"/>
        <v>121.82816033839498</v>
      </c>
      <c r="AR134" s="8">
        <f t="shared" si="33"/>
        <v>118.7824563299351</v>
      </c>
      <c r="AS134" s="8">
        <f t="shared" si="33"/>
        <v>115.81289492168672</v>
      </c>
      <c r="AT134" s="8">
        <f t="shared" si="33"/>
        <v>112.91757254864454</v>
      </c>
      <c r="AU134" s="8">
        <f t="shared" si="33"/>
        <v>110.09463323492842</v>
      </c>
      <c r="AV134" s="8">
        <f t="shared" si="33"/>
        <v>107.34226740405521</v>
      </c>
      <c r="AW134" s="8">
        <f t="shared" si="33"/>
        <v>104.65871071895383</v>
      </c>
      <c r="AX134" s="8">
        <f t="shared" si="33"/>
        <v>102.04224295097998</v>
      </c>
      <c r="AY134" s="8">
        <f t="shared" si="33"/>
        <v>99.491186877205479</v>
      </c>
      <c r="AZ134" s="8">
        <f t="shared" si="33"/>
        <v>97.00390720527534</v>
      </c>
      <c r="BA134" s="8">
        <f t="shared" si="33"/>
        <v>94.578809525143456</v>
      </c>
      <c r="BB134" s="8">
        <f t="shared" si="33"/>
        <v>92.214339287014866</v>
      </c>
      <c r="BC134" s="8">
        <f t="shared" si="33"/>
        <v>89.908980804839487</v>
      </c>
      <c r="BD134" s="8">
        <f t="shared" si="33"/>
        <v>87.661256284718505</v>
      </c>
      <c r="BE134" s="8">
        <f t="shared" si="33"/>
        <v>85.469724877600541</v>
      </c>
      <c r="BF134" s="8">
        <f t="shared" si="33"/>
        <v>83.332981755660526</v>
      </c>
      <c r="BG134" s="8">
        <f t="shared" si="33"/>
        <v>81.249657211769005</v>
      </c>
      <c r="BH134" s="8">
        <f t="shared" si="33"/>
        <v>79.218415781474775</v>
      </c>
      <c r="BI134" s="8">
        <f t="shared" si="33"/>
        <v>77.237955386937898</v>
      </c>
      <c r="BJ134" s="8"/>
      <c r="BK134" s="8"/>
      <c r="BL134" s="8"/>
      <c r="BM134" s="8"/>
      <c r="BN134" s="8"/>
      <c r="BO134" s="8"/>
      <c r="BP134" s="8"/>
      <c r="BQ134" s="8"/>
      <c r="BR134" s="8"/>
      <c r="BS134" s="8"/>
      <c r="BT134" s="8"/>
      <c r="BU134" s="8"/>
      <c r="BV134" s="8"/>
      <c r="BW134" s="8"/>
      <c r="BX134" s="8"/>
      <c r="BY134" s="8"/>
      <c r="BZ134" s="8"/>
      <c r="CA134" s="8"/>
      <c r="CB134" s="8"/>
      <c r="CC134" s="8"/>
      <c r="CD134" s="8"/>
      <c r="CE134" s="8"/>
      <c r="CF134" s="8"/>
      <c r="CG134" s="8"/>
      <c r="CH134" s="8"/>
      <c r="CI134" s="8"/>
      <c r="CJ134" s="8"/>
      <c r="CK134" s="8"/>
      <c r="CL134" s="8"/>
      <c r="CM134" s="8"/>
      <c r="CN134" s="8"/>
      <c r="CO134" s="8"/>
      <c r="CP134" s="8"/>
      <c r="CQ134" s="8"/>
      <c r="CR134" s="8"/>
      <c r="CS134" s="8"/>
      <c r="CT134" s="8"/>
      <c r="CU134" s="8"/>
      <c r="CV134" s="8"/>
      <c r="CW134" s="8"/>
      <c r="CX134" s="8"/>
      <c r="CY134" s="8"/>
      <c r="CZ134" s="8"/>
      <c r="DA134" s="8"/>
      <c r="DB134" s="8"/>
      <c r="DC134" s="8"/>
      <c r="DD134" s="8"/>
      <c r="DE134" s="8"/>
      <c r="DF134" s="8"/>
      <c r="DG134" s="8"/>
      <c r="DH134" s="8"/>
      <c r="DI134" s="8"/>
      <c r="DJ134" s="8"/>
      <c r="DK134" s="8"/>
      <c r="DL134" s="8"/>
      <c r="DM134" s="8"/>
      <c r="DN134" s="8"/>
      <c r="DO134" s="8"/>
      <c r="DP134" s="8"/>
      <c r="DQ134" s="8"/>
      <c r="DR134" s="8"/>
      <c r="DS134" s="8"/>
      <c r="DT134" s="8"/>
    </row>
    <row r="135" spans="1:124" s="2" customFormat="1" x14ac:dyDescent="0.35">
      <c r="A135" s="13" t="s">
        <v>305</v>
      </c>
      <c r="B135" s="8">
        <f t="shared" ref="B135" si="34">+B133*3.666</f>
        <v>3.6659453218818632</v>
      </c>
      <c r="C135" s="8">
        <f t="shared" ref="C135:BI135" si="35">+C133*3.666</f>
        <v>85.525821317588637</v>
      </c>
      <c r="D135" s="8">
        <f t="shared" si="35"/>
        <v>104.0272140344414</v>
      </c>
      <c r="E135" s="8">
        <f t="shared" si="35"/>
        <v>125.65639949713911</v>
      </c>
      <c r="F135" s="8">
        <f t="shared" si="35"/>
        <v>150.62080897381705</v>
      </c>
      <c r="G135" s="8">
        <f t="shared" si="35"/>
        <v>179.1162414371278</v>
      </c>
      <c r="H135" s="8">
        <f t="shared" si="35"/>
        <v>211.32210255703865</v>
      </c>
      <c r="I135" s="8">
        <f t="shared" si="35"/>
        <v>247.39720764287992</v>
      </c>
      <c r="J135" s="8">
        <f t="shared" si="35"/>
        <v>287.4762381605795</v>
      </c>
      <c r="K135" s="8">
        <f t="shared" si="35"/>
        <v>331.66730561153383</v>
      </c>
      <c r="L135" s="8">
        <f t="shared" si="35"/>
        <v>380.05101692128682</v>
      </c>
      <c r="M135" s="8">
        <f t="shared" si="35"/>
        <v>432.68164562834983</v>
      </c>
      <c r="N135" s="8">
        <f t="shared" si="35"/>
        <v>489.59125355964204</v>
      </c>
      <c r="O135" s="8">
        <f t="shared" si="35"/>
        <v>550.79795190393736</v>
      </c>
      <c r="P135" s="8">
        <f t="shared" si="35"/>
        <v>616.32010231125844</v>
      </c>
      <c r="Q135" s="8">
        <f t="shared" si="35"/>
        <v>686.1997793713906</v>
      </c>
      <c r="R135" s="8">
        <f t="shared" si="35"/>
        <v>760.54081425645086</v>
      </c>
      <c r="S135" s="8">
        <f t="shared" si="35"/>
        <v>820.02929977918882</v>
      </c>
      <c r="T135" s="8">
        <f t="shared" si="35"/>
        <v>799.52856728470965</v>
      </c>
      <c r="U135" s="8">
        <f t="shared" si="35"/>
        <v>779.54035310259235</v>
      </c>
      <c r="V135" s="8">
        <f t="shared" si="35"/>
        <v>760.05184427502638</v>
      </c>
      <c r="W135" s="8">
        <f t="shared" si="35"/>
        <v>741.05054816815164</v>
      </c>
      <c r="X135" s="8">
        <f t="shared" si="35"/>
        <v>722.52428446394833</v>
      </c>
      <c r="Y135" s="8">
        <f t="shared" si="35"/>
        <v>704.46117735235055</v>
      </c>
      <c r="Z135" s="8">
        <f t="shared" si="35"/>
        <v>686.84964791853974</v>
      </c>
      <c r="AA135" s="8">
        <f t="shared" si="35"/>
        <v>669.67840672057878</v>
      </c>
      <c r="AB135" s="8">
        <f t="shared" si="35"/>
        <v>652.93644655256253</v>
      </c>
      <c r="AC135" s="8">
        <f t="shared" si="35"/>
        <v>636.61303538874813</v>
      </c>
      <c r="AD135" s="8">
        <f t="shared" si="35"/>
        <v>620.69779200000005</v>
      </c>
      <c r="AE135" s="8">
        <f t="shared" si="35"/>
        <v>605.18034719999991</v>
      </c>
      <c r="AF135" s="8">
        <f t="shared" si="35"/>
        <v>590.0507652</v>
      </c>
      <c r="AG135" s="8">
        <f t="shared" si="35"/>
        <v>575.29951440000002</v>
      </c>
      <c r="AH135" s="8">
        <f t="shared" si="35"/>
        <v>560.91706320000003</v>
      </c>
      <c r="AI135" s="8">
        <f t="shared" si="35"/>
        <v>546.89424659999997</v>
      </c>
      <c r="AJ135" s="8">
        <f t="shared" si="35"/>
        <v>533.22189960000003</v>
      </c>
      <c r="AK135" s="8">
        <f t="shared" si="35"/>
        <v>519.89122380000003</v>
      </c>
      <c r="AL135" s="8">
        <f t="shared" si="35"/>
        <v>519.89122380000003</v>
      </c>
      <c r="AM135" s="8">
        <f t="shared" si="35"/>
        <v>519.89122380000003</v>
      </c>
      <c r="AN135" s="8">
        <f t="shared" si="35"/>
        <v>519.89122380000003</v>
      </c>
      <c r="AO135" s="8">
        <f t="shared" si="35"/>
        <v>519.89122380000003</v>
      </c>
      <c r="AP135" s="8">
        <f t="shared" si="35"/>
        <v>519.89122380000003</v>
      </c>
      <c r="AQ135" s="8">
        <f t="shared" si="35"/>
        <v>519.89122380000003</v>
      </c>
      <c r="AR135" s="8">
        <f t="shared" si="35"/>
        <v>519.89122380000003</v>
      </c>
      <c r="AS135" s="8">
        <f t="shared" si="35"/>
        <v>519.89122380000003</v>
      </c>
      <c r="AT135" s="8">
        <f t="shared" si="35"/>
        <v>519.89122380000003</v>
      </c>
      <c r="AU135" s="8">
        <f t="shared" si="35"/>
        <v>519.89122380000003</v>
      </c>
      <c r="AV135" s="8">
        <f t="shared" si="35"/>
        <v>519.89122380000003</v>
      </c>
      <c r="AW135" s="8">
        <f t="shared" si="35"/>
        <v>519.89122380000003</v>
      </c>
      <c r="AX135" s="8">
        <f t="shared" si="35"/>
        <v>519.89122380000003</v>
      </c>
      <c r="AY135" s="8">
        <f t="shared" si="35"/>
        <v>519.89122380000003</v>
      </c>
      <c r="AZ135" s="8">
        <f t="shared" si="35"/>
        <v>519.89122380000003</v>
      </c>
      <c r="BA135" s="8">
        <f t="shared" si="35"/>
        <v>519.89122380000003</v>
      </c>
      <c r="BB135" s="8">
        <f t="shared" si="35"/>
        <v>519.89122380000003</v>
      </c>
      <c r="BC135" s="8">
        <f t="shared" si="35"/>
        <v>519.89122380000003</v>
      </c>
      <c r="BD135" s="8">
        <f t="shared" si="35"/>
        <v>519.89122380000003</v>
      </c>
      <c r="BE135" s="8">
        <f t="shared" si="35"/>
        <v>519.89122380000003</v>
      </c>
      <c r="BF135" s="8">
        <f t="shared" si="35"/>
        <v>519.89122380000003</v>
      </c>
      <c r="BG135" s="8">
        <f t="shared" si="35"/>
        <v>519.89122380000003</v>
      </c>
      <c r="BH135" s="8">
        <f t="shared" si="35"/>
        <v>519.89122380000003</v>
      </c>
      <c r="BI135" s="8">
        <f t="shared" si="35"/>
        <v>519.89122380000003</v>
      </c>
      <c r="BJ135" s="8"/>
      <c r="BK135" s="8"/>
      <c r="BL135" s="8"/>
      <c r="BM135" s="8"/>
      <c r="BN135" s="8"/>
      <c r="BO135" s="8"/>
      <c r="BP135" s="8"/>
      <c r="BQ135" s="8"/>
      <c r="BR135" s="8"/>
      <c r="BS135" s="8"/>
      <c r="BT135" s="8"/>
      <c r="BU135" s="8"/>
      <c r="BV135" s="8"/>
      <c r="BW135" s="8"/>
      <c r="BX135" s="8"/>
      <c r="BY135" s="8"/>
      <c r="BZ135" s="8"/>
      <c r="CA135" s="8"/>
      <c r="CB135" s="8"/>
      <c r="CC135" s="8"/>
      <c r="CD135" s="8"/>
      <c r="CE135" s="8"/>
      <c r="CF135" s="8"/>
      <c r="CG135" s="8"/>
      <c r="CH135" s="8"/>
      <c r="CI135" s="8"/>
      <c r="CJ135" s="8"/>
      <c r="CK135" s="8"/>
      <c r="CL135" s="8"/>
      <c r="CM135" s="8"/>
      <c r="CN135" s="8"/>
      <c r="CO135" s="8"/>
      <c r="CP135" s="8"/>
      <c r="CQ135" s="8"/>
      <c r="CR135" s="8"/>
      <c r="CS135" s="8"/>
      <c r="CT135" s="8"/>
      <c r="CU135" s="8"/>
      <c r="CV135" s="8"/>
      <c r="CW135" s="8"/>
      <c r="CX135" s="8"/>
      <c r="CY135" s="8"/>
      <c r="CZ135" s="8"/>
      <c r="DA135" s="8"/>
      <c r="DB135" s="8"/>
      <c r="DC135" s="8"/>
      <c r="DD135" s="8"/>
      <c r="DE135" s="8"/>
      <c r="DF135" s="8"/>
      <c r="DG135" s="8"/>
      <c r="DH135" s="8"/>
      <c r="DI135" s="8"/>
      <c r="DJ135" s="8"/>
      <c r="DK135" s="8"/>
      <c r="DL135" s="8"/>
      <c r="DM135" s="8"/>
      <c r="DN135" s="8"/>
      <c r="DO135" s="8"/>
      <c r="DP135" s="8"/>
      <c r="DQ135" s="8"/>
      <c r="DR135" s="8"/>
      <c r="DS135" s="8"/>
      <c r="DT135" s="8"/>
    </row>
    <row r="136" spans="1:124" s="2" customFormat="1" hidden="1" x14ac:dyDescent="0.35">
      <c r="A136" s="13"/>
      <c r="B136" s="8"/>
    </row>
    <row r="137" spans="1:124" s="48" customFormat="1" x14ac:dyDescent="0.35">
      <c r="A137" s="13" t="s">
        <v>303</v>
      </c>
      <c r="B137" s="2">
        <f t="shared" ref="B137" si="36">+B139*B47</f>
        <v>3.897599999999999E-2</v>
      </c>
      <c r="C137" s="2">
        <f t="shared" ref="C137:BI137" si="37">+C139*C47</f>
        <v>0.22743459156733059</v>
      </c>
      <c r="D137" s="2">
        <f t="shared" si="37"/>
        <v>0.257166803825298</v>
      </c>
      <c r="E137" s="2">
        <f t="shared" si="37"/>
        <v>0.28966760121049751</v>
      </c>
      <c r="F137" s="2">
        <f t="shared" si="37"/>
        <v>0.32488592313100706</v>
      </c>
      <c r="G137" s="2">
        <f t="shared" si="37"/>
        <v>0.36278138300146939</v>
      </c>
      <c r="H137" s="2">
        <f t="shared" si="37"/>
        <v>0.40331832856025435</v>
      </c>
      <c r="I137" s="2">
        <f t="shared" si="37"/>
        <v>0.44646170280251385</v>
      </c>
      <c r="J137" s="2">
        <f t="shared" si="37"/>
        <v>0.4921743291237291</v>
      </c>
      <c r="K137" s="2">
        <f t="shared" si="37"/>
        <v>0.54041562716375713</v>
      </c>
      <c r="L137" s="2">
        <f t="shared" si="37"/>
        <v>0.59114167398296424</v>
      </c>
      <c r="M137" s="2">
        <f t="shared" si="37"/>
        <v>0.64430672589599758</v>
      </c>
      <c r="N137" s="2">
        <f t="shared" si="37"/>
        <v>0.69986648955663422</v>
      </c>
      <c r="O137" s="2">
        <f t="shared" si="37"/>
        <v>0.75778364439628565</v>
      </c>
      <c r="P137" s="2">
        <f t="shared" si="37"/>
        <v>0.81803648199805246</v>
      </c>
      <c r="Q137" s="2">
        <f t="shared" si="37"/>
        <v>0.8806324536747977</v>
      </c>
      <c r="R137" s="2">
        <f t="shared" si="37"/>
        <v>0.94562943860053417</v>
      </c>
      <c r="S137" s="2">
        <f t="shared" si="37"/>
        <v>0.999999999999999</v>
      </c>
      <c r="T137" s="2">
        <f t="shared" si="37"/>
        <v>0.99999999999999944</v>
      </c>
      <c r="U137" s="2">
        <f t="shared" si="37"/>
        <v>0.99999999999999967</v>
      </c>
      <c r="V137" s="2">
        <f t="shared" si="37"/>
        <v>0.999999999999999</v>
      </c>
      <c r="W137" s="2">
        <f t="shared" si="37"/>
        <v>0.99999999999999967</v>
      </c>
      <c r="X137" s="2">
        <f t="shared" si="37"/>
        <v>1</v>
      </c>
      <c r="Y137" s="2">
        <f t="shared" si="37"/>
        <v>1</v>
      </c>
      <c r="Z137" s="2">
        <f t="shared" si="37"/>
        <v>0.99999999999999911</v>
      </c>
      <c r="AA137" s="2">
        <f t="shared" si="37"/>
        <v>1</v>
      </c>
      <c r="AB137" s="2">
        <f t="shared" si="37"/>
        <v>0.99999999999999978</v>
      </c>
      <c r="AC137" s="2">
        <f t="shared" si="37"/>
        <v>0.99999999999999944</v>
      </c>
      <c r="AD137" s="2">
        <f t="shared" si="37"/>
        <v>1</v>
      </c>
      <c r="AE137" s="2">
        <f t="shared" si="37"/>
        <v>1</v>
      </c>
      <c r="AF137" s="2">
        <f t="shared" si="37"/>
        <v>1</v>
      </c>
      <c r="AG137" s="2">
        <f t="shared" si="37"/>
        <v>1</v>
      </c>
      <c r="AH137" s="2">
        <f t="shared" si="37"/>
        <v>1</v>
      </c>
      <c r="AI137" s="2">
        <f t="shared" si="37"/>
        <v>1</v>
      </c>
      <c r="AJ137" s="2">
        <f t="shared" si="37"/>
        <v>1</v>
      </c>
      <c r="AK137" s="2">
        <f t="shared" si="37"/>
        <v>1</v>
      </c>
      <c r="AL137" s="2">
        <f t="shared" si="37"/>
        <v>1</v>
      </c>
      <c r="AM137" s="2">
        <f t="shared" si="37"/>
        <v>1</v>
      </c>
      <c r="AN137" s="2">
        <f t="shared" si="37"/>
        <v>1</v>
      </c>
      <c r="AO137" s="2">
        <f t="shared" si="37"/>
        <v>1</v>
      </c>
      <c r="AP137" s="2">
        <f t="shared" si="37"/>
        <v>1</v>
      </c>
      <c r="AQ137" s="2">
        <f t="shared" si="37"/>
        <v>1</v>
      </c>
      <c r="AR137" s="2">
        <f t="shared" si="37"/>
        <v>1</v>
      </c>
      <c r="AS137" s="2">
        <f t="shared" si="37"/>
        <v>1</v>
      </c>
      <c r="AT137" s="2">
        <f t="shared" si="37"/>
        <v>1</v>
      </c>
      <c r="AU137" s="2">
        <f t="shared" si="37"/>
        <v>1</v>
      </c>
      <c r="AV137" s="2">
        <f t="shared" si="37"/>
        <v>1</v>
      </c>
      <c r="AW137" s="2">
        <f t="shared" si="37"/>
        <v>1</v>
      </c>
      <c r="AX137" s="2">
        <f t="shared" si="37"/>
        <v>1</v>
      </c>
      <c r="AY137" s="2">
        <f t="shared" si="37"/>
        <v>1</v>
      </c>
      <c r="AZ137" s="2">
        <f t="shared" si="37"/>
        <v>1</v>
      </c>
      <c r="BA137" s="2">
        <f t="shared" si="37"/>
        <v>1</v>
      </c>
      <c r="BB137" s="2">
        <f t="shared" si="37"/>
        <v>1</v>
      </c>
      <c r="BC137" s="2">
        <f t="shared" si="37"/>
        <v>1</v>
      </c>
      <c r="BD137" s="2">
        <f t="shared" si="37"/>
        <v>1</v>
      </c>
      <c r="BE137" s="2">
        <f t="shared" si="37"/>
        <v>1</v>
      </c>
      <c r="BF137" s="2">
        <f t="shared" si="37"/>
        <v>1</v>
      </c>
      <c r="BG137" s="2">
        <f t="shared" si="37"/>
        <v>1</v>
      </c>
      <c r="BH137" s="2">
        <f t="shared" si="37"/>
        <v>1</v>
      </c>
      <c r="BI137" s="2">
        <f t="shared" si="37"/>
        <v>1</v>
      </c>
      <c r="BJ137" s="2"/>
      <c r="BK137" s="2"/>
      <c r="BL137" s="2"/>
      <c r="BM137" s="2"/>
      <c r="BN137" s="2"/>
      <c r="BO137" s="2"/>
      <c r="BP137" s="2"/>
      <c r="BQ137" s="2"/>
      <c r="BR137" s="2"/>
      <c r="BS137" s="2"/>
      <c r="BT137" s="2"/>
      <c r="BU137" s="2"/>
      <c r="BV137" s="2"/>
      <c r="BW137" s="2"/>
      <c r="BX137" s="2"/>
      <c r="BY137" s="2"/>
      <c r="BZ137" s="2"/>
      <c r="CA137" s="2"/>
      <c r="CB137" s="2"/>
      <c r="CC137" s="2"/>
      <c r="CD137" s="2"/>
      <c r="CE137" s="2"/>
      <c r="CF137" s="2"/>
      <c r="CG137" s="2"/>
      <c r="CH137" s="2"/>
      <c r="CI137" s="2"/>
      <c r="CJ137" s="2"/>
      <c r="CK137" s="2"/>
      <c r="CL137" s="2"/>
      <c r="CM137" s="2"/>
      <c r="CN137" s="2"/>
      <c r="CO137" s="2"/>
      <c r="CP137" s="2"/>
      <c r="CQ137" s="2"/>
      <c r="CR137" s="2"/>
      <c r="CS137" s="2"/>
      <c r="CT137" s="2"/>
      <c r="CU137" s="2"/>
      <c r="CV137" s="2"/>
      <c r="CW137" s="2"/>
      <c r="CX137" s="2"/>
      <c r="CY137" s="2"/>
      <c r="CZ137" s="2"/>
      <c r="DA137" s="2"/>
      <c r="DB137" s="2"/>
      <c r="DC137" s="2"/>
      <c r="DD137" s="2"/>
      <c r="DE137" s="2"/>
      <c r="DF137" s="2"/>
      <c r="DG137" s="2"/>
      <c r="DH137" s="2"/>
      <c r="DI137" s="2"/>
      <c r="DJ137" s="2"/>
      <c r="DK137" s="2"/>
      <c r="DL137" s="2"/>
      <c r="DM137" s="2"/>
      <c r="DN137" s="2"/>
      <c r="DO137" s="2"/>
      <c r="DP137" s="2"/>
      <c r="DQ137" s="2"/>
      <c r="DR137" s="2"/>
      <c r="DS137" s="2"/>
      <c r="DT137" s="2"/>
    </row>
    <row r="138" spans="1:124" s="48" customFormat="1" ht="0.65" customHeight="1" x14ac:dyDescent="0.35">
      <c r="A138" s="13"/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  <c r="AA138" s="2"/>
      <c r="AB138" s="2"/>
      <c r="AC138" s="2"/>
      <c r="AD138" s="2"/>
      <c r="AE138" s="2"/>
      <c r="AF138" s="2"/>
      <c r="AG138" s="2"/>
      <c r="AH138" s="2"/>
      <c r="AI138" s="2"/>
      <c r="AJ138" s="2"/>
      <c r="AK138" s="2"/>
      <c r="AL138" s="2"/>
      <c r="AM138" s="2"/>
      <c r="AN138" s="2"/>
      <c r="AO138" s="2"/>
      <c r="AP138" s="2"/>
      <c r="AQ138" s="2"/>
      <c r="AR138" s="2"/>
      <c r="AS138" s="2"/>
      <c r="AT138" s="2"/>
      <c r="AU138" s="2"/>
      <c r="AV138" s="2"/>
      <c r="AW138" s="2"/>
      <c r="AX138" s="2"/>
      <c r="AY138" s="2"/>
      <c r="AZ138" s="2"/>
      <c r="BA138" s="2"/>
      <c r="BB138" s="2"/>
      <c r="BC138" s="2"/>
      <c r="BD138" s="2"/>
      <c r="BE138" s="2"/>
      <c r="BF138" s="2"/>
      <c r="BG138" s="2"/>
      <c r="BH138" s="2"/>
      <c r="BI138" s="2"/>
      <c r="BJ138" s="2"/>
      <c r="BK138" s="2"/>
      <c r="BL138" s="2"/>
      <c r="BM138" s="2"/>
      <c r="BN138" s="2"/>
      <c r="BO138" s="2"/>
      <c r="BP138" s="2"/>
      <c r="BQ138" s="2"/>
      <c r="BR138" s="2"/>
      <c r="BS138" s="2"/>
      <c r="BT138" s="2"/>
      <c r="BU138" s="2"/>
      <c r="BV138" s="2"/>
      <c r="BW138" s="2"/>
      <c r="BX138" s="2"/>
      <c r="BY138" s="2"/>
      <c r="BZ138" s="2"/>
      <c r="CA138" s="2"/>
      <c r="CB138" s="2"/>
      <c r="CC138" s="2"/>
      <c r="CD138" s="2"/>
      <c r="CE138" s="2"/>
      <c r="CF138" s="2"/>
      <c r="CG138" s="2"/>
      <c r="CH138" s="2"/>
      <c r="CI138" s="2"/>
      <c r="CJ138" s="2"/>
      <c r="CK138" s="2"/>
      <c r="CL138" s="2"/>
      <c r="CM138" s="2"/>
      <c r="CN138" s="2"/>
      <c r="CO138" s="2"/>
      <c r="CP138" s="2"/>
      <c r="CQ138" s="2"/>
      <c r="CR138" s="2"/>
      <c r="CS138" s="2"/>
      <c r="CT138" s="2"/>
      <c r="CU138" s="2"/>
      <c r="CV138" s="2"/>
      <c r="CW138" s="2"/>
      <c r="CX138" s="2"/>
      <c r="CY138" s="2"/>
      <c r="CZ138" s="2"/>
      <c r="DA138" s="2"/>
      <c r="DB138" s="2"/>
      <c r="DC138" s="2"/>
      <c r="DD138" s="2"/>
      <c r="DE138" s="2"/>
      <c r="DF138" s="2"/>
      <c r="DG138" s="2"/>
      <c r="DH138" s="2"/>
      <c r="DI138" s="2"/>
      <c r="DJ138" s="2"/>
      <c r="DK138" s="2"/>
      <c r="DL138" s="2"/>
      <c r="DM138" s="2"/>
      <c r="DN138" s="2"/>
      <c r="DO138" s="2"/>
      <c r="DP138" s="2"/>
      <c r="DQ138" s="2"/>
      <c r="DR138" s="2"/>
      <c r="DS138" s="2"/>
      <c r="DT138" s="2"/>
    </row>
    <row r="139" spans="1:124" s="48" customFormat="1" x14ac:dyDescent="0.35">
      <c r="A139" s="13" t="s">
        <v>304</v>
      </c>
      <c r="B139" s="2">
        <f>+MIN(((B134)/(B$34))^(1/($B$39-1)),Parameters!$B$42)</f>
        <v>3.897599999999999E-2</v>
      </c>
      <c r="C139" s="2">
        <f>+MIN(((C134)/(C$34))^(1/($B$39-1)),Parameters!$B$42)</f>
        <v>0.22743459156733059</v>
      </c>
      <c r="D139" s="2">
        <f>+MIN(((D134)/(D$34))^(1/($B$39-1)),Parameters!$B$42)</f>
        <v>0.257166803825298</v>
      </c>
      <c r="E139" s="2">
        <f>+MIN(((E134)/(E$34))^(1/($B$39-1)),Parameters!$B$42)</f>
        <v>0.28966760121049751</v>
      </c>
      <c r="F139" s="2">
        <f>+MIN(((F134)/(F$34))^(1/($B$39-1)),Parameters!$B$42)</f>
        <v>0.32488592313100706</v>
      </c>
      <c r="G139" s="2">
        <f>+MIN(((G134)/(G$34))^(1/($B$39-1)),Parameters!$B$42)</f>
        <v>0.36278138300146939</v>
      </c>
      <c r="H139" s="2">
        <f>+MIN(((H134)/(H$34))^(1/($B$39-1)),Parameters!$B$42)</f>
        <v>0.40331832856025435</v>
      </c>
      <c r="I139" s="2">
        <f>+MIN(((I134)/(I$34))^(1/($B$39-1)),Parameters!$B$42)</f>
        <v>0.44646170280251385</v>
      </c>
      <c r="J139" s="2">
        <f>+MIN(((J134)/(J$34))^(1/($B$39-1)),Parameters!$B$42)</f>
        <v>0.4921743291237291</v>
      </c>
      <c r="K139" s="2">
        <f>+MIN(((K134)/(K$34))^(1/($B$39-1)),Parameters!$B$42)</f>
        <v>0.54041562716375713</v>
      </c>
      <c r="L139" s="2">
        <f>+MIN(((L134)/(L$34))^(1/($B$39-1)),Parameters!$B$42)</f>
        <v>0.59114167398296424</v>
      </c>
      <c r="M139" s="2">
        <f>+MIN(((M134)/(M$34))^(1/($B$39-1)),Parameters!$B$42)</f>
        <v>0.64430672589599758</v>
      </c>
      <c r="N139" s="2">
        <f>+MIN(((N134)/(N$34))^(1/($B$39-1)),Parameters!$B$42)</f>
        <v>0.69986648955663422</v>
      </c>
      <c r="O139" s="2">
        <f>+MIN(((O134)/(O$34))^(1/($B$39-1)),Parameters!$B$42)</f>
        <v>0.75778364439628565</v>
      </c>
      <c r="P139" s="2">
        <f>+MIN(((P134)/(P$34))^(1/($B$39-1)),Parameters!$B$42)</f>
        <v>0.81803648199805246</v>
      </c>
      <c r="Q139" s="2">
        <f>+MIN(((Q134)/(Q$34))^(1/($B$39-1)),Parameters!$B$42)</f>
        <v>0.8806324536747977</v>
      </c>
      <c r="R139" s="2">
        <f>+MIN(((R134)/(R$34))^(1/($B$39-1)),Parameters!$B$42)</f>
        <v>0.94562943860053417</v>
      </c>
      <c r="S139" s="2">
        <f>+MIN(((S134)/(S$34))^(1/($B$39-1)),Parameters!$B$42)</f>
        <v>0.999999999999999</v>
      </c>
      <c r="T139" s="2">
        <f>+MIN(((T134)/(T$34))^(1/($B$39-1)),Parameters!$B$42)</f>
        <v>0.99999999999999944</v>
      </c>
      <c r="U139" s="2">
        <f>+MIN(((U134)/(U$34))^(1/($B$39-1)),Parameters!$B$42)</f>
        <v>0.99999999999999967</v>
      </c>
      <c r="V139" s="2">
        <f>+MIN(((V134)/(V$34))^(1/($B$39-1)),Parameters!$B$42)</f>
        <v>0.999999999999999</v>
      </c>
      <c r="W139" s="2">
        <f>+MIN(((W134)/(W$34))^(1/($B$39-1)),Parameters!$B$42)</f>
        <v>0.99999999999999967</v>
      </c>
      <c r="X139" s="2">
        <f>+MIN(((X134)/(X$34))^(1/($B$39-1)),Parameters!$B$42)</f>
        <v>1</v>
      </c>
      <c r="Y139" s="2">
        <f>+MIN(((Y134)/(Y$34))^(1/($B$39-1)),Parameters!$B$42)</f>
        <v>1</v>
      </c>
      <c r="Z139" s="2">
        <f>+MIN(((Z134)/(Z$34))^(1/($B$39-1)),Parameters!$B$42)</f>
        <v>0.99999999999999911</v>
      </c>
      <c r="AA139" s="2">
        <f>+MIN(((AA134)/(AA$34))^(1/($B$39-1)),Parameters!$B$42)</f>
        <v>1</v>
      </c>
      <c r="AB139" s="2">
        <f>+MIN(((AB134)/(AB$34))^(1/($B$39-1)),Parameters!$B$42)</f>
        <v>0.99999999999999978</v>
      </c>
      <c r="AC139" s="2">
        <f>+MIN(((AC134)/(AC$34))^(1/($B$39-1)),Parameters!$B$42)</f>
        <v>0.99999999999999944</v>
      </c>
      <c r="AD139" s="2">
        <f>+MIN(((AD134)/(AD$34))^(1/($B$39-1)),Parameters!$B$42)</f>
        <v>1</v>
      </c>
      <c r="AE139" s="2">
        <f>+MIN(((AE134)/(AE$34))^(1/($B$39-1)),Parameters!$B$42)</f>
        <v>1</v>
      </c>
      <c r="AF139" s="2">
        <f>+MIN(((AF134)/(AF$34))^(1/($B$39-1)),Parameters!$B$42)</f>
        <v>1</v>
      </c>
      <c r="AG139" s="2">
        <f>+MIN(((AG134)/(AG$34))^(1/($B$39-1)),Parameters!$B$42)</f>
        <v>1</v>
      </c>
      <c r="AH139" s="2">
        <f>+MIN(((AH134)/(AH$34))^(1/($B$39-1)),Parameters!$B$42)</f>
        <v>1</v>
      </c>
      <c r="AI139" s="2">
        <f>+MIN(((AI134)/(AI$34))^(1/($B$39-1)),Parameters!$B$42)</f>
        <v>1</v>
      </c>
      <c r="AJ139" s="2">
        <f>+MIN(((AJ134)/(AJ$34))^(1/($B$39-1)),Parameters!$B$42)</f>
        <v>1</v>
      </c>
      <c r="AK139" s="2">
        <f>+MIN(((AK134)/(AK$34))^(1/($B$39-1)),Parameters!$B$42)</f>
        <v>1</v>
      </c>
      <c r="AL139" s="2">
        <f>+MIN(((AL134)/(AL$34))^(1/($B$39-1)),Parameters!$B$42)</f>
        <v>1</v>
      </c>
      <c r="AM139" s="2">
        <f>+MIN(((AM134)/(AM$34))^(1/($B$39-1)),Parameters!$B$42)</f>
        <v>1</v>
      </c>
      <c r="AN139" s="2">
        <f>+MIN(((AN134)/(AN$34))^(1/($B$39-1)),Parameters!$B$42)</f>
        <v>1</v>
      </c>
      <c r="AO139" s="2">
        <f>+MIN(((AO134)/(AO$34))^(1/($B$39-1)),Parameters!$B$42)</f>
        <v>1</v>
      </c>
      <c r="AP139" s="2">
        <f>+MIN(((AP134)/(AP$34))^(1/($B$39-1)),Parameters!$B$42)</f>
        <v>1</v>
      </c>
      <c r="AQ139" s="2">
        <f>+MIN(((AQ134)/(AQ$34))^(1/($B$39-1)),Parameters!$B$42)</f>
        <v>1</v>
      </c>
      <c r="AR139" s="2">
        <f>+MIN(((AR134)/(AR$34))^(1/($B$39-1)),Parameters!$B$42)</f>
        <v>1</v>
      </c>
      <c r="AS139" s="2">
        <f>+MIN(((AS134)/(AS$34))^(1/($B$39-1)),Parameters!$B$42)</f>
        <v>1</v>
      </c>
      <c r="AT139" s="2">
        <f>+MIN(((AT134)/(AT$34))^(1/($B$39-1)),Parameters!$B$42)</f>
        <v>1</v>
      </c>
      <c r="AU139" s="2">
        <f>+MIN(((AU134)/(AU$34))^(1/($B$39-1)),Parameters!$B$42)</f>
        <v>1</v>
      </c>
      <c r="AV139" s="2">
        <f>+MIN(((AV134)/(AV$34))^(1/($B$39-1)),Parameters!$B$42)</f>
        <v>1</v>
      </c>
      <c r="AW139" s="2">
        <f>+MIN(((AW134)/(AW$34))^(1/($B$39-1)),Parameters!$B$42)</f>
        <v>1</v>
      </c>
      <c r="AX139" s="2">
        <f>+MIN(((AX134)/(AX$34))^(1/($B$39-1)),Parameters!$B$42)</f>
        <v>1</v>
      </c>
      <c r="AY139" s="2">
        <f>+MIN(((AY134)/(AY$34))^(1/($B$39-1)),Parameters!$B$42)</f>
        <v>1</v>
      </c>
      <c r="AZ139" s="2">
        <f>+MIN(((AZ134)/(AZ$34))^(1/($B$39-1)),Parameters!$B$42)</f>
        <v>1</v>
      </c>
      <c r="BA139" s="2">
        <f>+MIN(((BA134)/(BA$34))^(1/($B$39-1)),Parameters!$B$42)</f>
        <v>1</v>
      </c>
      <c r="BB139" s="2">
        <f>+MIN(((BB134)/(BB$34))^(1/($B$39-1)),Parameters!$B$42)</f>
        <v>1</v>
      </c>
      <c r="BC139" s="2">
        <f>+MIN(((BC134)/(BC$34))^(1/($B$39-1)),Parameters!$B$42)</f>
        <v>1</v>
      </c>
      <c r="BD139" s="2">
        <f>+MIN(((BD134)/(BD$34))^(1/($B$39-1)),Parameters!$B$42)</f>
        <v>1</v>
      </c>
      <c r="BE139" s="2">
        <f>+MIN(((BE134)/(BE$34))^(1/($B$39-1)),Parameters!$B$42)</f>
        <v>1</v>
      </c>
      <c r="BF139" s="2">
        <f>+MIN(((BF134)/(BF$34))^(1/($B$39-1)),Parameters!$B$42)</f>
        <v>1</v>
      </c>
      <c r="BG139" s="2">
        <f>+MIN(((BG134)/(BG$34))^(1/($B$39-1)),Parameters!$B$42)</f>
        <v>1</v>
      </c>
      <c r="BH139" s="2">
        <f>+MIN(((BH134)/(BH$34))^(1/($B$39-1)),Parameters!$B$42)</f>
        <v>1</v>
      </c>
      <c r="BI139" s="2">
        <f>+MIN(((BI134)/(BI$34))^(1/($B$39-1)),Parameters!$B$42)</f>
        <v>1</v>
      </c>
      <c r="BJ139" s="2"/>
      <c r="BK139" s="2"/>
      <c r="BL139" s="2"/>
      <c r="BM139" s="2"/>
      <c r="BN139" s="2"/>
      <c r="BO139" s="2"/>
      <c r="BP139" s="2"/>
      <c r="BQ139" s="2"/>
      <c r="BR139" s="2"/>
      <c r="BS139" s="2"/>
      <c r="BT139" s="2"/>
      <c r="BU139" s="2"/>
      <c r="BV139" s="2"/>
      <c r="BW139" s="2"/>
      <c r="BX139" s="2"/>
      <c r="BY139" s="2"/>
      <c r="BZ139" s="2"/>
      <c r="CA139" s="2"/>
      <c r="CB139" s="2"/>
      <c r="CC139" s="2"/>
      <c r="CD139" s="2"/>
      <c r="CE139" s="2"/>
      <c r="CF139" s="2"/>
      <c r="CG139" s="2"/>
      <c r="CH139" s="2"/>
      <c r="CI139" s="2"/>
      <c r="CJ139" s="2"/>
      <c r="CK139" s="2"/>
      <c r="CL139" s="2"/>
      <c r="CM139" s="2"/>
      <c r="CN139" s="2"/>
      <c r="CO139" s="2"/>
      <c r="CP139" s="2"/>
      <c r="CQ139" s="2"/>
      <c r="CR139" s="2"/>
      <c r="CS139" s="2"/>
      <c r="CT139" s="2"/>
      <c r="CU139" s="2"/>
      <c r="CV139" s="2"/>
      <c r="CW139" s="2"/>
      <c r="CX139" s="2"/>
      <c r="CY139" s="2"/>
      <c r="CZ139" s="2"/>
      <c r="DA139" s="2"/>
      <c r="DB139" s="2"/>
      <c r="DC139" s="2"/>
      <c r="DD139" s="2"/>
      <c r="DE139" s="2"/>
      <c r="DF139" s="2"/>
      <c r="DG139" s="2"/>
      <c r="DH139" s="2"/>
      <c r="DI139" s="2"/>
      <c r="DJ139" s="2"/>
      <c r="DK139" s="2"/>
      <c r="DL139" s="2"/>
      <c r="DM139" s="2"/>
      <c r="DN139" s="2"/>
      <c r="DO139" s="2"/>
      <c r="DP139" s="2"/>
      <c r="DQ139" s="2"/>
      <c r="DR139" s="2"/>
      <c r="DS139" s="2"/>
      <c r="DT139" s="2"/>
    </row>
    <row r="140" spans="1:124" s="48" customFormat="1" ht="28.25" customHeight="1" x14ac:dyDescent="0.35">
      <c r="A140" s="13" t="s">
        <v>306</v>
      </c>
      <c r="B140" s="2">
        <v>1</v>
      </c>
      <c r="C140" s="2">
        <f t="shared" ref="C140:I140" si="38">+C134*C47</f>
        <v>23.3294657167454</v>
      </c>
      <c r="D140" s="2">
        <f t="shared" si="38"/>
        <v>28.376217685335899</v>
      </c>
      <c r="E140" s="2">
        <f t="shared" si="38"/>
        <v>34.276159164522397</v>
      </c>
      <c r="F140" s="2">
        <f t="shared" si="38"/>
        <v>41.085872606060299</v>
      </c>
      <c r="G140" s="2">
        <f t="shared" si="38"/>
        <v>48.858767440569501</v>
      </c>
      <c r="H140" s="2">
        <f t="shared" si="38"/>
        <v>57.643781384898702</v>
      </c>
      <c r="I140" s="2">
        <f t="shared" si="38"/>
        <v>67.484235581800306</v>
      </c>
      <c r="J140" s="2">
        <f>+J134*J47</f>
        <v>78.416868019798002</v>
      </c>
      <c r="K140" s="2">
        <f t="shared" ref="K140:BI140" si="39">+K134*K47</f>
        <v>90.471169015693903</v>
      </c>
      <c r="L140" s="2">
        <f t="shared" si="39"/>
        <v>103.669126274219</v>
      </c>
      <c r="M140" s="2">
        <f t="shared" si="39"/>
        <v>118.025544361252</v>
      </c>
      <c r="N140" s="2">
        <f t="shared" si="39"/>
        <v>133.54916900153901</v>
      </c>
      <c r="O140" s="2">
        <f t="shared" si="39"/>
        <v>150.24494050843899</v>
      </c>
      <c r="P140" s="2">
        <f t="shared" si="39"/>
        <v>168.11786751534601</v>
      </c>
      <c r="Q140" s="2">
        <f t="shared" si="39"/>
        <v>187.17942699710599</v>
      </c>
      <c r="R140" s="2">
        <f t="shared" si="39"/>
        <v>207.45794169570399</v>
      </c>
      <c r="S140" s="2">
        <f t="shared" si="39"/>
        <v>223.68502448968599</v>
      </c>
      <c r="T140" s="2">
        <f t="shared" si="39"/>
        <v>218.09289887744399</v>
      </c>
      <c r="U140" s="2">
        <f t="shared" si="39"/>
        <v>212.640576405508</v>
      </c>
      <c r="V140" s="2">
        <f t="shared" si="39"/>
        <v>207.32456199537</v>
      </c>
      <c r="W140" s="2">
        <f t="shared" si="39"/>
        <v>202.14144794548599</v>
      </c>
      <c r="X140" s="2">
        <f t="shared" si="39"/>
        <v>197.08791174684899</v>
      </c>
      <c r="Y140" s="2">
        <f t="shared" si="39"/>
        <v>192.16071395317775</v>
      </c>
      <c r="Z140" s="2">
        <f t="shared" si="39"/>
        <v>187.356696104348</v>
      </c>
      <c r="AA140" s="2">
        <f t="shared" si="39"/>
        <v>182.67277870173959</v>
      </c>
      <c r="AB140" s="2">
        <f t="shared" si="39"/>
        <v>178.10595923419601</v>
      </c>
      <c r="AC140" s="2">
        <f t="shared" si="39"/>
        <v>173.653310253341</v>
      </c>
      <c r="AD140" s="2">
        <f t="shared" si="39"/>
        <v>169.31197749700763</v>
      </c>
      <c r="AE140" s="2">
        <f t="shared" si="39"/>
        <v>165.07917805958243</v>
      </c>
      <c r="AF140" s="2">
        <f t="shared" si="39"/>
        <v>160.95219860809286</v>
      </c>
      <c r="AG140" s="2">
        <f t="shared" si="39"/>
        <v>156.92839364289054</v>
      </c>
      <c r="AH140" s="2">
        <f t="shared" si="39"/>
        <v>153.00518380181828</v>
      </c>
      <c r="AI140" s="2">
        <f t="shared" si="39"/>
        <v>149.18005420677281</v>
      </c>
      <c r="AJ140" s="2">
        <f t="shared" si="39"/>
        <v>145.45055285160348</v>
      </c>
      <c r="AK140" s="2">
        <f t="shared" si="39"/>
        <v>141.81428903031338</v>
      </c>
      <c r="AL140" s="2">
        <f t="shared" si="39"/>
        <v>138.26893180455554</v>
      </c>
      <c r="AM140" s="2">
        <f t="shared" si="39"/>
        <v>134.81220850944163</v>
      </c>
      <c r="AN140" s="2">
        <f t="shared" si="39"/>
        <v>131.44190329670559</v>
      </c>
      <c r="AO140" s="2">
        <f t="shared" si="39"/>
        <v>128.15585571428795</v>
      </c>
      <c r="AP140" s="2">
        <f t="shared" si="39"/>
        <v>124.95195932143075</v>
      </c>
      <c r="AQ140" s="2">
        <f t="shared" si="39"/>
        <v>121.82816033839498</v>
      </c>
      <c r="AR140" s="2">
        <f t="shared" si="39"/>
        <v>118.7824563299351</v>
      </c>
      <c r="AS140" s="2">
        <f t="shared" si="39"/>
        <v>115.81289492168672</v>
      </c>
      <c r="AT140" s="2">
        <f t="shared" si="39"/>
        <v>112.91757254864454</v>
      </c>
      <c r="AU140" s="2">
        <f t="shared" si="39"/>
        <v>110.09463323492842</v>
      </c>
      <c r="AV140" s="2">
        <f t="shared" si="39"/>
        <v>107.34226740405521</v>
      </c>
      <c r="AW140" s="2">
        <f t="shared" si="39"/>
        <v>104.65871071895383</v>
      </c>
      <c r="AX140" s="2">
        <f t="shared" si="39"/>
        <v>102.04224295097998</v>
      </c>
      <c r="AY140" s="2">
        <f t="shared" si="39"/>
        <v>99.491186877205479</v>
      </c>
      <c r="AZ140" s="2">
        <f t="shared" si="39"/>
        <v>97.00390720527534</v>
      </c>
      <c r="BA140" s="2">
        <f t="shared" si="39"/>
        <v>94.578809525143456</v>
      </c>
      <c r="BB140" s="2">
        <f t="shared" si="39"/>
        <v>92.214339287014866</v>
      </c>
      <c r="BC140" s="2">
        <f t="shared" si="39"/>
        <v>89.908980804839487</v>
      </c>
      <c r="BD140" s="2">
        <f t="shared" si="39"/>
        <v>87.661256284718505</v>
      </c>
      <c r="BE140" s="2">
        <f t="shared" si="39"/>
        <v>85.469724877600541</v>
      </c>
      <c r="BF140" s="2">
        <f t="shared" si="39"/>
        <v>83.332981755660526</v>
      </c>
      <c r="BG140" s="2">
        <f t="shared" si="39"/>
        <v>81.249657211769005</v>
      </c>
      <c r="BH140" s="2">
        <f t="shared" si="39"/>
        <v>79.218415781474775</v>
      </c>
      <c r="BI140" s="2">
        <f t="shared" si="39"/>
        <v>77.237955386937898</v>
      </c>
      <c r="BJ140" s="2"/>
      <c r="BK140" s="2"/>
      <c r="BL140" s="2"/>
      <c r="BM140" s="2"/>
      <c r="BN140" s="2"/>
      <c r="BO140" s="2"/>
      <c r="BP140" s="2"/>
      <c r="BQ140" s="2"/>
      <c r="BR140" s="2"/>
      <c r="BS140" s="2"/>
      <c r="BT140" s="2"/>
      <c r="BU140" s="2"/>
      <c r="BV140" s="2"/>
      <c r="BW140" s="2"/>
      <c r="BX140" s="2"/>
      <c r="BY140" s="2"/>
      <c r="BZ140" s="2"/>
      <c r="CA140" s="2"/>
      <c r="CB140" s="2"/>
      <c r="CC140" s="2"/>
      <c r="CD140" s="2"/>
      <c r="CE140" s="2"/>
      <c r="CF140" s="2"/>
      <c r="CG140" s="2"/>
      <c r="CH140" s="2"/>
      <c r="CI140" s="2"/>
      <c r="CJ140" s="2"/>
      <c r="CK140" s="2"/>
      <c r="CL140" s="2"/>
      <c r="CM140" s="2"/>
      <c r="CN140" s="2"/>
      <c r="CO140" s="2"/>
      <c r="CP140" s="2"/>
      <c r="CQ140" s="2"/>
      <c r="CR140" s="2"/>
      <c r="CS140" s="2"/>
      <c r="CT140" s="2"/>
      <c r="CU140" s="2"/>
      <c r="CV140" s="2"/>
      <c r="CW140" s="2"/>
      <c r="CX140" s="2"/>
      <c r="CY140" s="2"/>
      <c r="CZ140" s="2"/>
      <c r="DA140" s="2"/>
      <c r="DB140" s="2"/>
      <c r="DC140" s="2"/>
      <c r="DD140" s="2"/>
      <c r="DE140" s="2"/>
      <c r="DF140" s="2"/>
      <c r="DG140" s="2"/>
      <c r="DH140" s="2"/>
      <c r="DI140" s="2"/>
      <c r="DJ140" s="2"/>
      <c r="DK140" s="2"/>
      <c r="DL140" s="2"/>
      <c r="DM140" s="2"/>
      <c r="DN140" s="2"/>
      <c r="DO140" s="2"/>
      <c r="DP140" s="2"/>
      <c r="DQ140" s="2"/>
      <c r="DR140" s="2"/>
      <c r="DS140" s="2"/>
      <c r="DT140" s="2"/>
    </row>
    <row r="141" spans="1:124" ht="21" hidden="1" customHeight="1" x14ac:dyDescent="0.35">
      <c r="A141" s="50"/>
    </row>
    <row r="142" spans="1:124" s="162" customFormat="1" ht="31.25" customHeight="1" x14ac:dyDescent="0.35">
      <c r="A142" s="160" t="s">
        <v>316</v>
      </c>
      <c r="B142" s="161">
        <f>+C158</f>
        <v>5.2036810359082475E-2</v>
      </c>
      <c r="C142" s="161">
        <f t="shared" ref="C142:BH142" si="40">+D158</f>
        <v>5.1303743635947585E-2</v>
      </c>
      <c r="D142" s="161">
        <f t="shared" si="40"/>
        <v>5.0159000719646407E-2</v>
      </c>
      <c r="E142" s="161">
        <f t="shared" si="40"/>
        <v>4.8784065716894309E-2</v>
      </c>
      <c r="F142" s="161">
        <f t="shared" si="40"/>
        <v>4.7290939116163777E-2</v>
      </c>
      <c r="G142" s="161">
        <f t="shared" si="40"/>
        <v>4.5748512098864991E-2</v>
      </c>
      <c r="H142" s="161">
        <f t="shared" si="40"/>
        <v>4.419931318830006E-2</v>
      </c>
      <c r="I142" s="161">
        <f t="shared" si="40"/>
        <v>4.2669970281504321E-2</v>
      </c>
      <c r="J142" s="161">
        <f t="shared" si="40"/>
        <v>4.1177729974886557E-2</v>
      </c>
      <c r="K142" s="161">
        <f t="shared" si="40"/>
        <v>3.9734574186234939E-2</v>
      </c>
      <c r="L142" s="161">
        <f t="shared" si="40"/>
        <v>3.8349961589579262E-2</v>
      </c>
      <c r="M142" s="161">
        <f t="shared" si="40"/>
        <v>3.7032875934838616E-2</v>
      </c>
      <c r="N142" s="161">
        <f t="shared" si="40"/>
        <v>3.5793708309022287E-2</v>
      </c>
      <c r="O142" s="161">
        <f t="shared" si="40"/>
        <v>3.464646209925859E-2</v>
      </c>
      <c r="P142" s="161">
        <f t="shared" si="40"/>
        <v>3.3611822567197081E-2</v>
      </c>
      <c r="Q142" s="161">
        <f t="shared" si="40"/>
        <v>3.2721937944806045E-2</v>
      </c>
      <c r="R142" s="161">
        <f t="shared" si="40"/>
        <v>3.2027453015933682E-2</v>
      </c>
      <c r="S142" s="161">
        <f t="shared" si="40"/>
        <v>3.1496984257903593E-2</v>
      </c>
      <c r="T142" s="161">
        <f t="shared" si="40"/>
        <v>3.086016380303569E-2</v>
      </c>
      <c r="U142" s="161">
        <f t="shared" si="40"/>
        <v>3.0157889542195893E-2</v>
      </c>
      <c r="V142" s="161">
        <f t="shared" si="40"/>
        <v>2.9417214346832754E-2</v>
      </c>
      <c r="W142" s="161">
        <f t="shared" si="40"/>
        <v>2.8656246085194681E-2</v>
      </c>
      <c r="X142" s="161">
        <f t="shared" si="40"/>
        <v>2.7887284737629248E-2</v>
      </c>
      <c r="Y142" s="161">
        <f t="shared" si="40"/>
        <v>2.7118797268279149E-2</v>
      </c>
      <c r="Z142" s="161">
        <f t="shared" si="40"/>
        <v>2.6356688102286974E-2</v>
      </c>
      <c r="AA142" s="161">
        <f t="shared" si="40"/>
        <v>2.5605111683684623E-2</v>
      </c>
      <c r="AB142" s="161">
        <f t="shared" si="40"/>
        <v>2.3150595021487419E-2</v>
      </c>
      <c r="AC142" s="161">
        <f t="shared" si="40"/>
        <v>2.7831883601744378E-2</v>
      </c>
      <c r="AD142" s="161">
        <f t="shared" si="40"/>
        <v>2.321074501287157E-2</v>
      </c>
      <c r="AE142" s="161">
        <f t="shared" si="40"/>
        <v>2.2562762875984355E-2</v>
      </c>
      <c r="AF142" s="161">
        <f t="shared" si="40"/>
        <v>2.192100588594692E-2</v>
      </c>
      <c r="AG142" s="161">
        <f t="shared" si="40"/>
        <v>2.1289774055678778E-2</v>
      </c>
      <c r="AH142" s="161">
        <f t="shared" si="40"/>
        <v>2.0671868683152628E-2</v>
      </c>
      <c r="AI142" s="161">
        <f t="shared" si="40"/>
        <v>2.0069052775754326E-2</v>
      </c>
      <c r="AJ142" s="161">
        <f t="shared" si="40"/>
        <v>1.9482370095377233E-2</v>
      </c>
      <c r="AK142" s="161">
        <f t="shared" si="40"/>
        <v>1.8912366612753306E-2</v>
      </c>
      <c r="AL142" s="161">
        <f t="shared" si="40"/>
        <v>1.8359244587888846E-2</v>
      </c>
      <c r="AM142" s="161">
        <f t="shared" si="40"/>
        <v>1.7822970069088839E-2</v>
      </c>
      <c r="AN142" s="161">
        <f t="shared" si="40"/>
        <v>1.730334810824119E-2</v>
      </c>
      <c r="AO142" s="161">
        <f t="shared" si="40"/>
        <v>1.6800075532179326E-2</v>
      </c>
      <c r="AP142" s="161">
        <f t="shared" si="40"/>
        <v>1.6312778054997423E-2</v>
      </c>
      <c r="AQ142" s="161">
        <f t="shared" si="40"/>
        <v>1.5841036422473254E-2</v>
      </c>
      <c r="AR142" s="161">
        <f t="shared" si="40"/>
        <v>1.5384404842959887E-2</v>
      </c>
      <c r="AS142" s="161">
        <f t="shared" si="40"/>
        <v>1.4942423970954355E-2</v>
      </c>
      <c r="AT142" s="161">
        <f t="shared" si="40"/>
        <v>1.4514630027997688E-2</v>
      </c>
      <c r="AU142" s="161">
        <f t="shared" si="40"/>
        <v>1.4100561173934878E-2</v>
      </c>
      <c r="AV142" s="161">
        <f t="shared" si="40"/>
        <v>1.3699761913872788E-2</v>
      </c>
      <c r="AW142" s="161">
        <f t="shared" si="40"/>
        <v>1.3311786097655043E-2</v>
      </c>
      <c r="AX142" s="161">
        <f t="shared" si="40"/>
        <v>1.2936198908490848E-2</v>
      </c>
      <c r="AY142" s="161">
        <f t="shared" si="40"/>
        <v>1.2572578124689704E-2</v>
      </c>
      <c r="AZ142" s="161">
        <f t="shared" si="40"/>
        <v>1.2220514858672926E-2</v>
      </c>
      <c r="BA142" s="161">
        <f t="shared" si="40"/>
        <v>1.1879613920782628E-2</v>
      </c>
      <c r="BB142" s="161">
        <f t="shared" si="40"/>
        <v>1.154949391488147E-2</v>
      </c>
      <c r="BC142" s="161">
        <f t="shared" si="40"/>
        <v>1.1229787143659076E-2</v>
      </c>
      <c r="BD142" s="161">
        <f t="shared" si="40"/>
        <v>1.0920139380565574E-2</v>
      </c>
      <c r="BE142" s="161">
        <f t="shared" si="40"/>
        <v>1.0620209550038728E-2</v>
      </c>
      <c r="BF142" s="161">
        <f t="shared" si="40"/>
        <v>1.032966934659596E-2</v>
      </c>
      <c r="BG142" s="161">
        <f t="shared" si="40"/>
        <v>1.0048202815216678E-2</v>
      </c>
      <c r="BH142" s="161">
        <f t="shared" si="40"/>
        <v>9.7755059094339902E-3</v>
      </c>
      <c r="BI142" s="161"/>
    </row>
    <row r="143" spans="1:124" ht="21" hidden="1" customHeight="1" x14ac:dyDescent="0.35">
      <c r="A143" s="50"/>
    </row>
    <row r="144" spans="1:124" ht="21" hidden="1" customHeight="1" x14ac:dyDescent="0.35">
      <c r="A144" s="50"/>
    </row>
    <row r="145" spans="1:124" ht="21" hidden="1" customHeight="1" x14ac:dyDescent="0.35">
      <c r="A145" s="50"/>
    </row>
    <row r="146" spans="1:124" ht="21" hidden="1" customHeight="1" x14ac:dyDescent="0.35">
      <c r="A146" s="50"/>
    </row>
    <row r="147" spans="1:124" ht="21" hidden="1" customHeight="1" x14ac:dyDescent="0.35">
      <c r="A147" s="50"/>
    </row>
    <row r="148" spans="1:124" ht="21" hidden="1" customHeight="1" x14ac:dyDescent="0.35">
      <c r="A148" s="50"/>
    </row>
    <row r="149" spans="1:124" ht="21" hidden="1" customHeight="1" x14ac:dyDescent="0.35">
      <c r="A149" s="23"/>
      <c r="B149" s="3"/>
    </row>
    <row r="150" spans="1:124" ht="20" thickBot="1" x14ac:dyDescent="0.4">
      <c r="A150" s="95" t="s">
        <v>339</v>
      </c>
      <c r="B150" s="3"/>
    </row>
    <row r="151" spans="1:124" ht="15" thickTop="1" x14ac:dyDescent="0.35">
      <c r="A151" s="15" t="s">
        <v>237</v>
      </c>
      <c r="B151" s="3"/>
    </row>
    <row r="152" spans="1:124" x14ac:dyDescent="0.35">
      <c r="A152" s="15" t="s">
        <v>238</v>
      </c>
      <c r="B152" s="3"/>
      <c r="C152" s="3">
        <f t="shared" ref="C152:BI152" si="41">+(C53/B53)^0.2</f>
        <v>1.0116028097333745</v>
      </c>
      <c r="D152" s="3">
        <f t="shared" si="41"/>
        <v>1.0100345466701126</v>
      </c>
      <c r="E152" s="3">
        <f t="shared" si="41"/>
        <v>1.0086791622039537</v>
      </c>
      <c r="F152" s="3">
        <f t="shared" si="41"/>
        <v>1.0075075318291871</v>
      </c>
      <c r="G152" s="3">
        <f t="shared" si="41"/>
        <v>1.0064945727522834</v>
      </c>
      <c r="H152" s="3">
        <f t="shared" si="41"/>
        <v>1.0056186687743522</v>
      </c>
      <c r="I152" s="3">
        <f t="shared" si="41"/>
        <v>1.0048611805233922</v>
      </c>
      <c r="J152" s="3">
        <f t="shared" si="41"/>
        <v>1.0042060275191533</v>
      </c>
      <c r="K152" s="3">
        <f t="shared" si="41"/>
        <v>1.0036393308936822</v>
      </c>
      <c r="L152" s="3">
        <f t="shared" si="41"/>
        <v>1.0031491074812331</v>
      </c>
      <c r="M152" s="3">
        <f t="shared" si="41"/>
        <v>1.0027250075278795</v>
      </c>
      <c r="N152" s="3">
        <f t="shared" si="41"/>
        <v>1.0023580895273503</v>
      </c>
      <c r="O152" s="3">
        <f t="shared" si="41"/>
        <v>1.00204062672215</v>
      </c>
      <c r="P152" s="3">
        <f t="shared" si="41"/>
        <v>1.0017659406620689</v>
      </c>
      <c r="Q152" s="3">
        <f t="shared" si="41"/>
        <v>1.0015282579203173</v>
      </c>
      <c r="R152" s="3">
        <f t="shared" si="41"/>
        <v>1.0013225866579545</v>
      </c>
      <c r="S152" s="3">
        <f t="shared" si="41"/>
        <v>1.0011446102215715</v>
      </c>
      <c r="T152" s="3">
        <f t="shared" si="41"/>
        <v>1.0009905953745444</v>
      </c>
      <c r="U152" s="3">
        <f t="shared" si="41"/>
        <v>1.0008573131123586</v>
      </c>
      <c r="V152" s="3">
        <f t="shared" si="41"/>
        <v>1.0007419703086711</v>
      </c>
      <c r="W152" s="3">
        <f t="shared" si="41"/>
        <v>1.0006421506899126</v>
      </c>
      <c r="X152" s="3">
        <f t="shared" si="41"/>
        <v>1.0005557638497422</v>
      </c>
      <c r="Y152" s="3">
        <f t="shared" si="41"/>
        <v>1.0004810011965555</v>
      </c>
      <c r="Z152" s="3">
        <f t="shared" si="41"/>
        <v>1.00041629788252</v>
      </c>
      <c r="AA152" s="3">
        <f t="shared" si="41"/>
        <v>1.0003602998953873</v>
      </c>
      <c r="AB152" s="3">
        <f t="shared" si="41"/>
        <v>1.0003118356080356</v>
      </c>
      <c r="AC152" s="3">
        <f t="shared" si="41"/>
        <v>1.0002698911782073</v>
      </c>
      <c r="AD152" s="3">
        <f t="shared" si="41"/>
        <v>1.0002335892746335</v>
      </c>
      <c r="AE152" s="3">
        <f t="shared" si="41"/>
        <v>1.00020217067768</v>
      </c>
      <c r="AF152" s="3">
        <f t="shared" si="41"/>
        <v>1.0001749783645633</v>
      </c>
      <c r="AG152" s="3">
        <f t="shared" si="41"/>
        <v>1.0001514437424595</v>
      </c>
      <c r="AH152" s="3">
        <f t="shared" si="41"/>
        <v>1.0001310747387555</v>
      </c>
      <c r="AI152" s="3">
        <f t="shared" si="41"/>
        <v>1.0001134454972587</v>
      </c>
      <c r="AJ152" s="3">
        <f t="shared" si="41"/>
        <v>1.0000981874633217</v>
      </c>
      <c r="AK152" s="3">
        <f t="shared" si="41"/>
        <v>1.0000849816702952</v>
      </c>
      <c r="AL152" s="3">
        <f t="shared" si="41"/>
        <v>1.0000735520651485</v>
      </c>
      <c r="AM152" s="3">
        <f t="shared" si="41"/>
        <v>1.0000636597330521</v>
      </c>
      <c r="AN152" s="3">
        <f t="shared" si="41"/>
        <v>1.0000550978996956</v>
      </c>
      <c r="AO152" s="3">
        <f t="shared" si="41"/>
        <v>1.0000476876064832</v>
      </c>
      <c r="AP152" s="3">
        <f t="shared" si="41"/>
        <v>1.0000412739679339</v>
      </c>
      <c r="AQ152" s="3">
        <f t="shared" si="41"/>
        <v>1.0000357229328398</v>
      </c>
      <c r="AR152" s="3">
        <f t="shared" si="41"/>
        <v>1.000030918481331</v>
      </c>
      <c r="AS152" s="3">
        <f t="shared" si="41"/>
        <v>1.0000267601991399</v>
      </c>
      <c r="AT152" s="3">
        <f t="shared" si="41"/>
        <v>1.0000231611782795</v>
      </c>
      <c r="AU152" s="3">
        <f t="shared" si="41"/>
        <v>1.0000200462001916</v>
      </c>
      <c r="AV152" s="3">
        <f t="shared" si="41"/>
        <v>1.0000173501633398</v>
      </c>
      <c r="AW152" s="3">
        <f t="shared" si="41"/>
        <v>1.0000150167223523</v>
      </c>
      <c r="AX152" s="3">
        <f t="shared" si="41"/>
        <v>1.0000129971102385</v>
      </c>
      <c r="AY152" s="3">
        <f t="shared" si="41"/>
        <v>1.0000112491190509</v>
      </c>
      <c r="AZ152" s="3">
        <f t="shared" si="41"/>
        <v>1.000009736217665</v>
      </c>
      <c r="BA152" s="3">
        <f t="shared" si="41"/>
        <v>1.0000084267882341</v>
      </c>
      <c r="BB152" s="3">
        <f t="shared" si="41"/>
        <v>1.0000072934653517</v>
      </c>
      <c r="BC152" s="3">
        <f t="shared" si="41"/>
        <v>1.0000063125641003</v>
      </c>
      <c r="BD152" s="3">
        <f t="shared" si="41"/>
        <v>1.0000054635850353</v>
      </c>
      <c r="BE152" s="3">
        <f t="shared" si="41"/>
        <v>1.0000047287857465</v>
      </c>
      <c r="BF152" s="3">
        <f t="shared" si="41"/>
        <v>1.0000040928100502</v>
      </c>
      <c r="BG152" s="3">
        <f t="shared" si="41"/>
        <v>1.0000035423670515</v>
      </c>
      <c r="BH152" s="3">
        <f t="shared" si="41"/>
        <v>1.0000030659533765</v>
      </c>
      <c r="BI152" s="3">
        <f t="shared" si="41"/>
        <v>1.0000026536127598</v>
      </c>
    </row>
    <row r="153" spans="1:124" x14ac:dyDescent="0.35">
      <c r="A153" s="15" t="s">
        <v>239</v>
      </c>
      <c r="B153" s="3"/>
      <c r="C153" s="3">
        <f t="shared" ref="C153:BI153" si="42">+(B18/C18)^0.2</f>
        <v>1.0009999999999999</v>
      </c>
      <c r="D153" s="3">
        <f t="shared" si="42"/>
        <v>1.0009999999999999</v>
      </c>
      <c r="E153" s="3">
        <f t="shared" si="42"/>
        <v>1.0009999999999999</v>
      </c>
      <c r="F153" s="3">
        <f t="shared" si="42"/>
        <v>1.0009999999999999</v>
      </c>
      <c r="G153" s="3">
        <f t="shared" si="42"/>
        <v>1.0009999999999999</v>
      </c>
      <c r="H153" s="3">
        <f t="shared" si="42"/>
        <v>1.0009999999999999</v>
      </c>
      <c r="I153" s="3">
        <f t="shared" si="42"/>
        <v>1.0009999999999999</v>
      </c>
      <c r="J153" s="3">
        <f t="shared" si="42"/>
        <v>1.0009999999999999</v>
      </c>
      <c r="K153" s="3">
        <f t="shared" si="42"/>
        <v>1.0009999999999999</v>
      </c>
      <c r="L153" s="3">
        <f t="shared" si="42"/>
        <v>1.0009999999999999</v>
      </c>
      <c r="M153" s="3">
        <f t="shared" si="42"/>
        <v>1.0009999999999999</v>
      </c>
      <c r="N153" s="3">
        <f t="shared" si="42"/>
        <v>1.0009999999999999</v>
      </c>
      <c r="O153" s="3">
        <f t="shared" si="42"/>
        <v>1.0009999999999999</v>
      </c>
      <c r="P153" s="3">
        <f t="shared" si="42"/>
        <v>1.0009999999999999</v>
      </c>
      <c r="Q153" s="3">
        <f t="shared" si="42"/>
        <v>1.0009999999999999</v>
      </c>
      <c r="R153" s="3">
        <f t="shared" si="42"/>
        <v>1.0009999999999999</v>
      </c>
      <c r="S153" s="3">
        <f t="shared" si="42"/>
        <v>1.0009999999999999</v>
      </c>
      <c r="T153" s="3">
        <f t="shared" si="42"/>
        <v>1.0009999999999999</v>
      </c>
      <c r="U153" s="3">
        <f t="shared" si="42"/>
        <v>1.0009999999999999</v>
      </c>
      <c r="V153" s="3">
        <f t="shared" si="42"/>
        <v>1.0009999999999999</v>
      </c>
      <c r="W153" s="3">
        <f t="shared" si="42"/>
        <v>1.0009999999999999</v>
      </c>
      <c r="X153" s="3">
        <f t="shared" si="42"/>
        <v>1.0009999999999999</v>
      </c>
      <c r="Y153" s="3">
        <f t="shared" si="42"/>
        <v>1.0009999999999999</v>
      </c>
      <c r="Z153" s="3">
        <f t="shared" si="42"/>
        <v>1.0009999999999999</v>
      </c>
      <c r="AA153" s="3">
        <f t="shared" si="42"/>
        <v>1.0009999999999999</v>
      </c>
      <c r="AB153" s="3">
        <f t="shared" si="42"/>
        <v>1.0009999999999999</v>
      </c>
      <c r="AC153" s="3">
        <f t="shared" si="42"/>
        <v>1.0009999999999999</v>
      </c>
      <c r="AD153" s="3">
        <f t="shared" si="42"/>
        <v>1.0009999999999999</v>
      </c>
      <c r="AE153" s="3">
        <f t="shared" si="42"/>
        <v>1.0009999999999999</v>
      </c>
      <c r="AF153" s="3">
        <f t="shared" si="42"/>
        <v>1.0009999999999999</v>
      </c>
      <c r="AG153" s="3">
        <f t="shared" si="42"/>
        <v>1.0009999999999999</v>
      </c>
      <c r="AH153" s="3">
        <f t="shared" si="42"/>
        <v>1.0009999999999999</v>
      </c>
      <c r="AI153" s="3">
        <f t="shared" si="42"/>
        <v>1.0009999999999999</v>
      </c>
      <c r="AJ153" s="3">
        <f t="shared" si="42"/>
        <v>1.0009999999999999</v>
      </c>
      <c r="AK153" s="3">
        <f t="shared" si="42"/>
        <v>1.0009999999999999</v>
      </c>
      <c r="AL153" s="3">
        <f t="shared" si="42"/>
        <v>1.0009999999999999</v>
      </c>
      <c r="AM153" s="3">
        <f t="shared" si="42"/>
        <v>1.0009999999999999</v>
      </c>
      <c r="AN153" s="3">
        <f t="shared" si="42"/>
        <v>1.0009999999999999</v>
      </c>
      <c r="AO153" s="3">
        <f t="shared" si="42"/>
        <v>1.0009999999999999</v>
      </c>
      <c r="AP153" s="3">
        <f t="shared" si="42"/>
        <v>1.0009999999999999</v>
      </c>
      <c r="AQ153" s="3">
        <f t="shared" si="42"/>
        <v>1.0009999999999999</v>
      </c>
      <c r="AR153" s="3">
        <f t="shared" si="42"/>
        <v>1.0009999999999999</v>
      </c>
      <c r="AS153" s="3">
        <f t="shared" si="42"/>
        <v>1.0009999999999999</v>
      </c>
      <c r="AT153" s="3">
        <f t="shared" si="42"/>
        <v>1.0009999999999999</v>
      </c>
      <c r="AU153" s="3">
        <f t="shared" si="42"/>
        <v>1.0009999999999999</v>
      </c>
      <c r="AV153" s="3">
        <f t="shared" si="42"/>
        <v>1.0009999999999999</v>
      </c>
      <c r="AW153" s="3">
        <f t="shared" si="42"/>
        <v>1.0009999999999999</v>
      </c>
      <c r="AX153" s="3">
        <f t="shared" si="42"/>
        <v>1.0009999999999999</v>
      </c>
      <c r="AY153" s="3">
        <f t="shared" si="42"/>
        <v>1.0009999999999999</v>
      </c>
      <c r="AZ153" s="3">
        <f t="shared" si="42"/>
        <v>1.0009999999999999</v>
      </c>
      <c r="BA153" s="3">
        <f t="shared" si="42"/>
        <v>1.0009999999999999</v>
      </c>
      <c r="BB153" s="3">
        <f t="shared" si="42"/>
        <v>1.0009999999999999</v>
      </c>
      <c r="BC153" s="3">
        <f t="shared" si="42"/>
        <v>1.0009999999999999</v>
      </c>
      <c r="BD153" s="3">
        <f t="shared" si="42"/>
        <v>1.0009999999999999</v>
      </c>
      <c r="BE153" s="3">
        <f t="shared" si="42"/>
        <v>1.0009999999999999</v>
      </c>
      <c r="BF153" s="3">
        <f t="shared" si="42"/>
        <v>1.0009999999999999</v>
      </c>
      <c r="BG153" s="3">
        <f t="shared" si="42"/>
        <v>1.0009999999999999</v>
      </c>
      <c r="BH153" s="3">
        <f t="shared" si="42"/>
        <v>1.0009999999999999</v>
      </c>
      <c r="BI153" s="3">
        <f t="shared" si="42"/>
        <v>1.0009999999999999</v>
      </c>
    </row>
    <row r="154" spans="1:124" x14ac:dyDescent="0.35">
      <c r="A154" s="15" t="s">
        <v>240</v>
      </c>
      <c r="B154" s="3"/>
      <c r="C154" s="3">
        <f t="shared" ref="C154:BI154" si="43">+((C127/B127)^($B$19))^0.2</f>
        <v>1.050985824534548</v>
      </c>
      <c r="D154" s="3">
        <f t="shared" si="43"/>
        <v>1.0502534901458018</v>
      </c>
      <c r="E154" s="3">
        <f t="shared" si="43"/>
        <v>1.0491098908288177</v>
      </c>
      <c r="F154" s="3">
        <f t="shared" si="43"/>
        <v>1.0477363293875068</v>
      </c>
      <c r="G154" s="3">
        <f t="shared" si="43"/>
        <v>1.0462446944217421</v>
      </c>
      <c r="H154" s="3">
        <f t="shared" si="43"/>
        <v>1.0447038082905746</v>
      </c>
      <c r="I154" s="3">
        <f t="shared" si="43"/>
        <v>1.0431561570312688</v>
      </c>
      <c r="J154" s="3">
        <f t="shared" si="43"/>
        <v>1.0416283419395649</v>
      </c>
      <c r="K154" s="3">
        <f t="shared" si="43"/>
        <v>1.0401375923825043</v>
      </c>
      <c r="L154" s="3">
        <f t="shared" si="43"/>
        <v>1.0386958783079272</v>
      </c>
      <c r="M154" s="3">
        <f t="shared" si="43"/>
        <v>1.0373126489406388</v>
      </c>
      <c r="N154" s="3">
        <f t="shared" si="43"/>
        <v>1.035996879055783</v>
      </c>
      <c r="O154" s="3">
        <f t="shared" si="43"/>
        <v>1.0347589493596627</v>
      </c>
      <c r="P154" s="3">
        <f t="shared" si="43"/>
        <v>1.0336128492500087</v>
      </c>
      <c r="Q154" s="3">
        <f t="shared" si="43"/>
        <v>1.0325792433238734</v>
      </c>
      <c r="R154" s="3">
        <f t="shared" si="43"/>
        <v>1.031690247697109</v>
      </c>
      <c r="S154" s="3">
        <f t="shared" si="43"/>
        <v>1.0309964565593743</v>
      </c>
      <c r="T154" s="3">
        <f t="shared" si="43"/>
        <v>1.0304665177401635</v>
      </c>
      <c r="U154" s="3">
        <f t="shared" si="43"/>
        <v>1.0298303334695662</v>
      </c>
      <c r="V154" s="3">
        <f t="shared" si="43"/>
        <v>1.0291287607814146</v>
      </c>
      <c r="W154" s="3">
        <f t="shared" si="43"/>
        <v>1.0283888255213116</v>
      </c>
      <c r="X154" s="3">
        <f t="shared" si="43"/>
        <v>1.0276286174677272</v>
      </c>
      <c r="Y154" s="3">
        <f t="shared" si="43"/>
        <v>1.0268604243133161</v>
      </c>
      <c r="Z154" s="3">
        <f t="shared" si="43"/>
        <v>1.0260927045637156</v>
      </c>
      <c r="AA154" s="3">
        <f t="shared" si="43"/>
        <v>1.0253313567455415</v>
      </c>
      <c r="AB154" s="3">
        <f t="shared" si="43"/>
        <v>1.0245805311525322</v>
      </c>
      <c r="AC154" s="3">
        <f t="shared" si="43"/>
        <v>1.0221284665549326</v>
      </c>
      <c r="AD154" s="3">
        <f t="shared" si="43"/>
        <v>1.0268050785232212</v>
      </c>
      <c r="AE154" s="3">
        <f t="shared" si="43"/>
        <v>1.0221885564564153</v>
      </c>
      <c r="AF154" s="3">
        <f t="shared" si="43"/>
        <v>1.02154122165433</v>
      </c>
      <c r="AG154" s="3">
        <f t="shared" si="43"/>
        <v>1.0209001057801668</v>
      </c>
      <c r="AH154" s="3">
        <f t="shared" si="43"/>
        <v>1.0202695045511279</v>
      </c>
      <c r="AI154" s="3">
        <f t="shared" si="43"/>
        <v>1.0196522164666861</v>
      </c>
      <c r="AJ154" s="3">
        <f t="shared" si="43"/>
        <v>1.0190500027729814</v>
      </c>
      <c r="AK154" s="3">
        <f t="shared" si="43"/>
        <v>1.0184639061891883</v>
      </c>
      <c r="AL154" s="3">
        <f t="shared" si="43"/>
        <v>1.0178944721406129</v>
      </c>
      <c r="AM154" s="3">
        <f t="shared" si="43"/>
        <v>1.0173419026852037</v>
      </c>
      <c r="AN154" s="3">
        <f t="shared" si="43"/>
        <v>1.0168061639051837</v>
      </c>
      <c r="AO154" s="3">
        <f t="shared" si="43"/>
        <v>1.0162870610471941</v>
      </c>
      <c r="AP154" s="3">
        <f t="shared" si="43"/>
        <v>1.0157842912409385</v>
      </c>
      <c r="AQ154" s="3">
        <f t="shared" si="43"/>
        <v>1.015297480574423</v>
      </c>
      <c r="AR154" s="3">
        <f t="shared" si="43"/>
        <v>1.0148262102122612</v>
      </c>
      <c r="AS154" s="3">
        <f t="shared" si="43"/>
        <v>1.0143700348081519</v>
      </c>
      <c r="AT154" s="3">
        <f t="shared" si="43"/>
        <v>1.013928495475479</v>
      </c>
      <c r="AU154" s="3">
        <f t="shared" si="43"/>
        <v>1.0135011288990987</v>
      </c>
      <c r="AV154" s="3">
        <f t="shared" si="43"/>
        <v>1.0130874737002347</v>
      </c>
      <c r="AW154" s="3">
        <f t="shared" si="43"/>
        <v>1.012687074839034</v>
      </c>
      <c r="AX154" s="3">
        <f t="shared" si="43"/>
        <v>1.0122994866110442</v>
      </c>
      <c r="AY154" s="3">
        <f t="shared" si="43"/>
        <v>1.011924274633857</v>
      </c>
      <c r="AZ154" s="3">
        <f t="shared" si="43"/>
        <v>1.0115610171075822</v>
      </c>
      <c r="BA154" s="3">
        <f t="shared" si="43"/>
        <v>1.0112093055531199</v>
      </c>
      <c r="BB154" s="3">
        <f t="shared" si="43"/>
        <v>1.0108687451756071</v>
      </c>
      <c r="BC154" s="3">
        <f t="shared" si="43"/>
        <v>1.0105389549599217</v>
      </c>
      <c r="BD154" s="3">
        <f t="shared" si="43"/>
        <v>1.010219567576083</v>
      </c>
      <c r="BE154" s="3">
        <f t="shared" si="43"/>
        <v>1.0099102291514144</v>
      </c>
      <c r="BF154" s="3">
        <f t="shared" si="43"/>
        <v>1.0096105989510877</v>
      </c>
      <c r="BG154" s="3">
        <f t="shared" si="43"/>
        <v>1.0093203489975984</v>
      </c>
      <c r="BH154" s="3">
        <f t="shared" si="43"/>
        <v>1.0090391636515652</v>
      </c>
      <c r="BI154" s="3">
        <f t="shared" si="43"/>
        <v>1.0087667391702639</v>
      </c>
    </row>
    <row r="155" spans="1:124" x14ac:dyDescent="0.35">
      <c r="A155" s="15" t="s">
        <v>241</v>
      </c>
      <c r="B155" s="3"/>
      <c r="C155" s="3">
        <f>+C154*C153</f>
        <v>1.0520368103590825</v>
      </c>
      <c r="D155" s="3">
        <f t="shared" ref="D155:BI155" si="44">+D154*D153</f>
        <v>1.0513037436359476</v>
      </c>
      <c r="E155" s="3">
        <f t="shared" si="44"/>
        <v>1.0501590007196464</v>
      </c>
      <c r="F155" s="3">
        <f t="shared" si="44"/>
        <v>1.0487840657168943</v>
      </c>
      <c r="G155" s="3">
        <f t="shared" si="44"/>
        <v>1.0472909391161638</v>
      </c>
      <c r="H155" s="3">
        <f t="shared" si="44"/>
        <v>1.045748512098865</v>
      </c>
      <c r="I155" s="3">
        <f t="shared" si="44"/>
        <v>1.0441993131883001</v>
      </c>
      <c r="J155" s="3">
        <f t="shared" si="44"/>
        <v>1.0426699702815043</v>
      </c>
      <c r="K155" s="3">
        <f t="shared" si="44"/>
        <v>1.0411777299748866</v>
      </c>
      <c r="L155" s="3">
        <f t="shared" si="44"/>
        <v>1.0397345741862349</v>
      </c>
      <c r="M155" s="3">
        <f t="shared" si="44"/>
        <v>1.0383499615895793</v>
      </c>
      <c r="N155" s="3">
        <f t="shared" si="44"/>
        <v>1.0370328759348386</v>
      </c>
      <c r="O155" s="3">
        <f t="shared" si="44"/>
        <v>1.0357937083090223</v>
      </c>
      <c r="P155" s="3">
        <f t="shared" si="44"/>
        <v>1.0346464620992586</v>
      </c>
      <c r="Q155" s="3">
        <f t="shared" si="44"/>
        <v>1.0336118225671971</v>
      </c>
      <c r="R155" s="3">
        <f t="shared" si="44"/>
        <v>1.032721937944806</v>
      </c>
      <c r="S155" s="3">
        <f t="shared" si="44"/>
        <v>1.0320274530159337</v>
      </c>
      <c r="T155" s="3">
        <f t="shared" si="44"/>
        <v>1.0314969842579036</v>
      </c>
      <c r="U155" s="3">
        <f t="shared" si="44"/>
        <v>1.0308601638030357</v>
      </c>
      <c r="V155" s="3">
        <f t="shared" si="44"/>
        <v>1.0301578895421959</v>
      </c>
      <c r="W155" s="3">
        <f t="shared" si="44"/>
        <v>1.0294172143468328</v>
      </c>
      <c r="X155" s="3">
        <f t="shared" si="44"/>
        <v>1.0286562460851947</v>
      </c>
      <c r="Y155" s="3">
        <f t="shared" si="44"/>
        <v>1.0278872847376292</v>
      </c>
      <c r="Z155" s="3">
        <f t="shared" si="44"/>
        <v>1.0271187972682791</v>
      </c>
      <c r="AA155" s="3">
        <f t="shared" si="44"/>
        <v>1.026356688102287</v>
      </c>
      <c r="AB155" s="3">
        <f t="shared" si="44"/>
        <v>1.0256051116836846</v>
      </c>
      <c r="AC155" s="3">
        <f t="shared" si="44"/>
        <v>1.0231505950214874</v>
      </c>
      <c r="AD155" s="3">
        <f t="shared" si="44"/>
        <v>1.0278318836017444</v>
      </c>
      <c r="AE155" s="3">
        <f t="shared" si="44"/>
        <v>1.0232107450128716</v>
      </c>
      <c r="AF155" s="3">
        <f t="shared" si="44"/>
        <v>1.0225627628759844</v>
      </c>
      <c r="AG155" s="3">
        <f t="shared" si="44"/>
        <v>1.0219210058859469</v>
      </c>
      <c r="AH155" s="3">
        <f t="shared" si="44"/>
        <v>1.0212897740556788</v>
      </c>
      <c r="AI155" s="3">
        <f t="shared" si="44"/>
        <v>1.0206718686831526</v>
      </c>
      <c r="AJ155" s="3">
        <f t="shared" si="44"/>
        <v>1.0200690527757543</v>
      </c>
      <c r="AK155" s="3">
        <f t="shared" si="44"/>
        <v>1.0194823700953772</v>
      </c>
      <c r="AL155" s="3">
        <f t="shared" si="44"/>
        <v>1.0189123666127533</v>
      </c>
      <c r="AM155" s="3">
        <f t="shared" si="44"/>
        <v>1.0183592445878888</v>
      </c>
      <c r="AN155" s="3">
        <f t="shared" si="44"/>
        <v>1.0178229700690888</v>
      </c>
      <c r="AO155" s="3">
        <f t="shared" si="44"/>
        <v>1.0173033481082412</v>
      </c>
      <c r="AP155" s="3">
        <f t="shared" si="44"/>
        <v>1.0168000755321793</v>
      </c>
      <c r="AQ155" s="3">
        <f t="shared" si="44"/>
        <v>1.0163127780549974</v>
      </c>
      <c r="AR155" s="3">
        <f t="shared" si="44"/>
        <v>1.0158410364224733</v>
      </c>
      <c r="AS155" s="3">
        <f t="shared" si="44"/>
        <v>1.0153844048429599</v>
      </c>
      <c r="AT155" s="3">
        <f t="shared" si="44"/>
        <v>1.0149424239709544</v>
      </c>
      <c r="AU155" s="3">
        <f t="shared" si="44"/>
        <v>1.0145146300279977</v>
      </c>
      <c r="AV155" s="3">
        <f t="shared" si="44"/>
        <v>1.0141005611739349</v>
      </c>
      <c r="AW155" s="3">
        <f t="shared" si="44"/>
        <v>1.0136997619138728</v>
      </c>
      <c r="AX155" s="3">
        <f t="shared" si="44"/>
        <v>1.013311786097655</v>
      </c>
      <c r="AY155" s="3">
        <f t="shared" si="44"/>
        <v>1.0129361989084908</v>
      </c>
      <c r="AZ155" s="3">
        <f t="shared" si="44"/>
        <v>1.0125725781246897</v>
      </c>
      <c r="BA155" s="3">
        <f t="shared" si="44"/>
        <v>1.0122205148586729</v>
      </c>
      <c r="BB155" s="3">
        <f t="shared" si="44"/>
        <v>1.0118796139207826</v>
      </c>
      <c r="BC155" s="3">
        <f t="shared" si="44"/>
        <v>1.0115494939148815</v>
      </c>
      <c r="BD155" s="3">
        <f t="shared" si="44"/>
        <v>1.0112297871436591</v>
      </c>
      <c r="BE155" s="3">
        <f t="shared" si="44"/>
        <v>1.0109201393805656</v>
      </c>
      <c r="BF155" s="3">
        <f t="shared" si="44"/>
        <v>1.0106202095500387</v>
      </c>
      <c r="BG155" s="3">
        <f t="shared" si="44"/>
        <v>1.010329669346596</v>
      </c>
      <c r="BH155" s="3">
        <f t="shared" si="44"/>
        <v>1.0100482028152167</v>
      </c>
      <c r="BI155" s="3">
        <f t="shared" si="44"/>
        <v>1.009775505909434</v>
      </c>
    </row>
    <row r="156" spans="1:124" x14ac:dyDescent="0.35">
      <c r="A156" s="15" t="s">
        <v>4</v>
      </c>
      <c r="B156" s="3"/>
      <c r="C156" s="3">
        <f>+C155-1</f>
        <v>5.2036810359082475E-2</v>
      </c>
      <c r="D156" s="3">
        <f t="shared" ref="D156:BI156" si="45">+D155-1</f>
        <v>5.1303743635947585E-2</v>
      </c>
      <c r="E156" s="3">
        <f t="shared" si="45"/>
        <v>5.0159000719646407E-2</v>
      </c>
      <c r="F156" s="3">
        <f t="shared" si="45"/>
        <v>4.8784065716894309E-2</v>
      </c>
      <c r="G156" s="3">
        <f t="shared" si="45"/>
        <v>4.7290939116163777E-2</v>
      </c>
      <c r="H156" s="3">
        <f t="shared" si="45"/>
        <v>4.5748512098864991E-2</v>
      </c>
      <c r="I156" s="3">
        <f t="shared" si="45"/>
        <v>4.419931318830006E-2</v>
      </c>
      <c r="J156" s="3">
        <f t="shared" si="45"/>
        <v>4.2669970281504321E-2</v>
      </c>
      <c r="K156" s="3">
        <f t="shared" si="45"/>
        <v>4.1177729974886557E-2</v>
      </c>
      <c r="L156" s="3">
        <f t="shared" si="45"/>
        <v>3.9734574186234939E-2</v>
      </c>
      <c r="M156" s="3">
        <f t="shared" si="45"/>
        <v>3.8349961589579262E-2</v>
      </c>
      <c r="N156" s="3">
        <f t="shared" si="45"/>
        <v>3.7032875934838616E-2</v>
      </c>
      <c r="O156" s="3">
        <f t="shared" si="45"/>
        <v>3.5793708309022287E-2</v>
      </c>
      <c r="P156" s="3">
        <f t="shared" si="45"/>
        <v>3.464646209925859E-2</v>
      </c>
      <c r="Q156" s="3">
        <f t="shared" si="45"/>
        <v>3.3611822567197081E-2</v>
      </c>
      <c r="R156" s="3">
        <f t="shared" si="45"/>
        <v>3.2721937944806045E-2</v>
      </c>
      <c r="S156" s="3">
        <f t="shared" si="45"/>
        <v>3.2027453015933682E-2</v>
      </c>
      <c r="T156" s="3">
        <f t="shared" si="45"/>
        <v>3.1496984257903593E-2</v>
      </c>
      <c r="U156" s="3">
        <f t="shared" si="45"/>
        <v>3.086016380303569E-2</v>
      </c>
      <c r="V156" s="3">
        <f t="shared" si="45"/>
        <v>3.0157889542195893E-2</v>
      </c>
      <c r="W156" s="3">
        <f t="shared" si="45"/>
        <v>2.9417214346832754E-2</v>
      </c>
      <c r="X156" s="3">
        <f t="shared" si="45"/>
        <v>2.8656246085194681E-2</v>
      </c>
      <c r="Y156" s="3">
        <f t="shared" si="45"/>
        <v>2.7887284737629248E-2</v>
      </c>
      <c r="Z156" s="3">
        <f t="shared" si="45"/>
        <v>2.7118797268279149E-2</v>
      </c>
      <c r="AA156" s="3">
        <f t="shared" si="45"/>
        <v>2.6356688102286974E-2</v>
      </c>
      <c r="AB156" s="3">
        <f t="shared" si="45"/>
        <v>2.5605111683684623E-2</v>
      </c>
      <c r="AC156" s="3">
        <f t="shared" si="45"/>
        <v>2.3150595021487419E-2</v>
      </c>
      <c r="AD156" s="3">
        <f t="shared" si="45"/>
        <v>2.7831883601744378E-2</v>
      </c>
      <c r="AE156" s="3">
        <f t="shared" si="45"/>
        <v>2.321074501287157E-2</v>
      </c>
      <c r="AF156" s="3">
        <f t="shared" si="45"/>
        <v>2.2562762875984355E-2</v>
      </c>
      <c r="AG156" s="3">
        <f t="shared" si="45"/>
        <v>2.192100588594692E-2</v>
      </c>
      <c r="AH156" s="3">
        <f t="shared" si="45"/>
        <v>2.1289774055678778E-2</v>
      </c>
      <c r="AI156" s="3">
        <f t="shared" si="45"/>
        <v>2.0671868683152628E-2</v>
      </c>
      <c r="AJ156" s="3">
        <f t="shared" si="45"/>
        <v>2.0069052775754326E-2</v>
      </c>
      <c r="AK156" s="3">
        <f t="shared" si="45"/>
        <v>1.9482370095377233E-2</v>
      </c>
      <c r="AL156" s="3">
        <f t="shared" si="45"/>
        <v>1.8912366612753306E-2</v>
      </c>
      <c r="AM156" s="3">
        <f t="shared" si="45"/>
        <v>1.8359244587888846E-2</v>
      </c>
      <c r="AN156" s="3">
        <f t="shared" si="45"/>
        <v>1.7822970069088839E-2</v>
      </c>
      <c r="AO156" s="3">
        <f t="shared" si="45"/>
        <v>1.730334810824119E-2</v>
      </c>
      <c r="AP156" s="3">
        <f t="shared" si="45"/>
        <v>1.6800075532179326E-2</v>
      </c>
      <c r="AQ156" s="3">
        <f t="shared" si="45"/>
        <v>1.6312778054997423E-2</v>
      </c>
      <c r="AR156" s="3">
        <f t="shared" si="45"/>
        <v>1.5841036422473254E-2</v>
      </c>
      <c r="AS156" s="3">
        <f t="shared" si="45"/>
        <v>1.5384404842959887E-2</v>
      </c>
      <c r="AT156" s="3">
        <f t="shared" si="45"/>
        <v>1.4942423970954355E-2</v>
      </c>
      <c r="AU156" s="3">
        <f t="shared" si="45"/>
        <v>1.4514630027997688E-2</v>
      </c>
      <c r="AV156" s="3">
        <f t="shared" si="45"/>
        <v>1.4100561173934878E-2</v>
      </c>
      <c r="AW156" s="3">
        <f t="shared" si="45"/>
        <v>1.3699761913872788E-2</v>
      </c>
      <c r="AX156" s="3">
        <f t="shared" si="45"/>
        <v>1.3311786097655043E-2</v>
      </c>
      <c r="AY156" s="3">
        <f t="shared" si="45"/>
        <v>1.2936198908490848E-2</v>
      </c>
      <c r="AZ156" s="3">
        <f t="shared" si="45"/>
        <v>1.2572578124689704E-2</v>
      </c>
      <c r="BA156" s="3">
        <f t="shared" si="45"/>
        <v>1.2220514858672926E-2</v>
      </c>
      <c r="BB156" s="3">
        <f t="shared" si="45"/>
        <v>1.1879613920782628E-2</v>
      </c>
      <c r="BC156" s="3">
        <f t="shared" si="45"/>
        <v>1.154949391488147E-2</v>
      </c>
      <c r="BD156" s="3">
        <f t="shared" si="45"/>
        <v>1.1229787143659076E-2</v>
      </c>
      <c r="BE156" s="3">
        <f t="shared" si="45"/>
        <v>1.0920139380565574E-2</v>
      </c>
      <c r="BF156" s="3">
        <f t="shared" si="45"/>
        <v>1.0620209550038728E-2</v>
      </c>
      <c r="BG156" s="3">
        <f t="shared" si="45"/>
        <v>1.032966934659596E-2</v>
      </c>
      <c r="BH156" s="3">
        <f t="shared" si="45"/>
        <v>1.0048202815216678E-2</v>
      </c>
      <c r="BI156" s="3">
        <f t="shared" si="45"/>
        <v>9.7755059094339902E-3</v>
      </c>
    </row>
    <row r="157" spans="1:124" x14ac:dyDescent="0.35">
      <c r="A157" s="15" t="s">
        <v>242</v>
      </c>
      <c r="B157" s="3"/>
      <c r="C157" s="3">
        <f t="shared" ref="C157:BI157" si="46">+C152*C154*(1+B16)-1</f>
        <v>6.4243393302185092E-2</v>
      </c>
      <c r="D157" s="3">
        <f t="shared" si="46"/>
        <v>6.0792307808118506E-2</v>
      </c>
      <c r="E157" s="3">
        <f t="shared" si="46"/>
        <v>5.8215285741093137E-2</v>
      </c>
      <c r="F157" s="3">
        <f t="shared" si="46"/>
        <v>5.5602243228979109E-2</v>
      </c>
      <c r="G157" s="3">
        <f t="shared" si="46"/>
        <v>5.3039606706354547E-2</v>
      </c>
      <c r="H157" s="3">
        <f t="shared" si="46"/>
        <v>5.0573652956663828E-2</v>
      </c>
      <c r="I157" s="3">
        <f t="shared" si="46"/>
        <v>4.8227127424685934E-2</v>
      </c>
      <c r="J157" s="3">
        <f t="shared" si="46"/>
        <v>4.6009459410492726E-2</v>
      </c>
      <c r="K157" s="3">
        <f t="shared" si="46"/>
        <v>4.3922997256142127E-2</v>
      </c>
      <c r="L157" s="3">
        <f t="shared" si="46"/>
        <v>4.1966843269032772E-2</v>
      </c>
      <c r="M157" s="3">
        <f t="shared" si="46"/>
        <v>4.0139333717766679E-2</v>
      </c>
      <c r="N157" s="3">
        <f t="shared" si="46"/>
        <v>3.8439852446652045E-2</v>
      </c>
      <c r="O157" s="3">
        <f t="shared" si="46"/>
        <v>3.6870506122709923E-2</v>
      </c>
      <c r="P157" s="3">
        <f t="shared" si="46"/>
        <v>3.5438148209336218E-2</v>
      </c>
      <c r="Q157" s="3">
        <f t="shared" si="46"/>
        <v>3.4157290730838286E-2</v>
      </c>
      <c r="R157" s="3">
        <f t="shared" si="46"/>
        <v>3.3054747453854949E-2</v>
      </c>
      <c r="S157" s="3">
        <f t="shared" si="46"/>
        <v>3.2176545641956267E-2</v>
      </c>
      <c r="T157" s="3">
        <f t="shared" si="46"/>
        <v>3.1487293106259751E-2</v>
      </c>
      <c r="U157" s="3">
        <f t="shared" si="46"/>
        <v>3.0713220517954332E-2</v>
      </c>
      <c r="V157" s="3">
        <f t="shared" si="46"/>
        <v>2.9892343765713925E-2</v>
      </c>
      <c r="W157" s="3">
        <f t="shared" si="46"/>
        <v>2.9049206115118409E-2</v>
      </c>
      <c r="X157" s="3">
        <f t="shared" si="46"/>
        <v>2.8199736304276302E-2</v>
      </c>
      <c r="Y157" s="3">
        <f t="shared" si="46"/>
        <v>2.7354345406106262E-2</v>
      </c>
      <c r="Z157" s="3">
        <f t="shared" si="46"/>
        <v>2.6519864783894675E-2</v>
      </c>
      <c r="AA157" s="3">
        <f t="shared" si="46"/>
        <v>2.5700783526114268E-2</v>
      </c>
      <c r="AB157" s="3">
        <f t="shared" si="46"/>
        <v>2.4900031845445536E-2</v>
      </c>
      <c r="AC157" s="3">
        <f t="shared" si="46"/>
        <v>2.2404330011050355E-2</v>
      </c>
      <c r="AD157" s="3">
        <f t="shared" si="46"/>
        <v>2.7044929176703425E-2</v>
      </c>
      <c r="AE157" s="3">
        <f t="shared" si="46"/>
        <v>2.2395213009590798E-2</v>
      </c>
      <c r="AF157" s="3">
        <f t="shared" si="46"/>
        <v>2.1719969266629002E-2</v>
      </c>
      <c r="AG157" s="3">
        <f t="shared" si="46"/>
        <v>2.1054714712863465E-2</v>
      </c>
      <c r="AH157" s="3">
        <f t="shared" si="46"/>
        <v>2.0403236109897138E-2</v>
      </c>
      <c r="AI157" s="3">
        <f t="shared" si="46"/>
        <v>1.9767891419414152E-2</v>
      </c>
      <c r="AJ157" s="3">
        <f t="shared" si="46"/>
        <v>1.9150060707751715E-2</v>
      </c>
      <c r="AK157" s="3">
        <f t="shared" si="46"/>
        <v>1.855045695307167E-2</v>
      </c>
      <c r="AL157" s="3">
        <f t="shared" si="46"/>
        <v>1.7969340381142063E-2</v>
      </c>
      <c r="AM157" s="3">
        <f t="shared" si="46"/>
        <v>1.7406666399151449E-2</v>
      </c>
      <c r="AN157" s="3">
        <f t="shared" si="46"/>
        <v>1.6862187789212557E-2</v>
      </c>
      <c r="AO157" s="3">
        <f t="shared" si="46"/>
        <v>1.6335525344635338E-2</v>
      </c>
      <c r="AP157" s="3">
        <f t="shared" si="46"/>
        <v>1.5826216689202921E-2</v>
      </c>
      <c r="AQ157" s="3">
        <f t="shared" si="46"/>
        <v>1.5333749978134081E-2</v>
      </c>
      <c r="AR157" s="3">
        <f t="shared" si="46"/>
        <v>1.485758709749585E-2</v>
      </c>
      <c r="AS157" s="3">
        <f t="shared" si="46"/>
        <v>1.4397179552285033E-2</v>
      </c>
      <c r="AT157" s="3">
        <f t="shared" si="46"/>
        <v>1.3951979254125391E-2</v>
      </c>
      <c r="AU157" s="3">
        <f t="shared" si="46"/>
        <v>1.3521445745622973E-2</v>
      </c>
      <c r="AV157" s="3">
        <f t="shared" si="46"/>
        <v>1.3105050933380991E-2</v>
      </c>
      <c r="AW157" s="3">
        <f t="shared" si="46"/>
        <v>1.2702282079666505E-2</v>
      </c>
      <c r="AX157" s="3">
        <f t="shared" si="46"/>
        <v>1.231264357906614E-2</v>
      </c>
      <c r="AY157" s="3">
        <f t="shared" si="46"/>
        <v>1.1935657890493001E-2</v>
      </c>
      <c r="AZ157" s="3">
        <f t="shared" si="46"/>
        <v>1.1570865885826231E-2</v>
      </c>
      <c r="BA157" s="3">
        <f t="shared" si="46"/>
        <v>1.1217826799798214E-2</v>
      </c>
      <c r="BB157" s="3">
        <f t="shared" si="46"/>
        <v>1.0876117911775118E-2</v>
      </c>
      <c r="BC157" s="3">
        <f t="shared" si="46"/>
        <v>1.0545334051850874E-2</v>
      </c>
      <c r="BD157" s="3">
        <f t="shared" si="46"/>
        <v>1.0225086996594746E-2</v>
      </c>
      <c r="BE157" s="3">
        <f t="shared" si="46"/>
        <v>9.9150048005112179E-3</v>
      </c>
      <c r="BF157" s="3">
        <f t="shared" si="46"/>
        <v>9.6147310954939336E-3</v>
      </c>
      <c r="BG157" s="3">
        <f t="shared" si="46"/>
        <v>9.3239243807470285E-3</v>
      </c>
      <c r="BH157" s="3">
        <f t="shared" si="46"/>
        <v>9.0422573185959809E-3</v>
      </c>
      <c r="BI157" s="3">
        <f t="shared" si="46"/>
        <v>8.7694160465545679E-3</v>
      </c>
    </row>
    <row r="158" spans="1:124" ht="29" x14ac:dyDescent="0.35">
      <c r="A158" s="15" t="s">
        <v>243</v>
      </c>
      <c r="B158" s="3"/>
      <c r="C158" s="3">
        <f t="shared" ref="C158:BI158" si="47">+C155*(1+B9)-1</f>
        <v>5.2036810359082475E-2</v>
      </c>
      <c r="D158" s="3">
        <f t="shared" si="47"/>
        <v>5.1303743635947585E-2</v>
      </c>
      <c r="E158" s="3">
        <f t="shared" si="47"/>
        <v>5.0159000719646407E-2</v>
      </c>
      <c r="F158" s="3">
        <f t="shared" si="47"/>
        <v>4.8784065716894309E-2</v>
      </c>
      <c r="G158" s="3">
        <f t="shared" si="47"/>
        <v>4.7290939116163777E-2</v>
      </c>
      <c r="H158" s="3">
        <f t="shared" si="47"/>
        <v>4.5748512098864991E-2</v>
      </c>
      <c r="I158" s="3">
        <f t="shared" si="47"/>
        <v>4.419931318830006E-2</v>
      </c>
      <c r="J158" s="3">
        <f t="shared" si="47"/>
        <v>4.2669970281504321E-2</v>
      </c>
      <c r="K158" s="3">
        <f t="shared" si="47"/>
        <v>4.1177729974886557E-2</v>
      </c>
      <c r="L158" s="3">
        <f t="shared" si="47"/>
        <v>3.9734574186234939E-2</v>
      </c>
      <c r="M158" s="3">
        <f t="shared" si="47"/>
        <v>3.8349961589579262E-2</v>
      </c>
      <c r="N158" s="3">
        <f t="shared" si="47"/>
        <v>3.7032875934838616E-2</v>
      </c>
      <c r="O158" s="3">
        <f t="shared" si="47"/>
        <v>3.5793708309022287E-2</v>
      </c>
      <c r="P158" s="3">
        <f t="shared" si="47"/>
        <v>3.464646209925859E-2</v>
      </c>
      <c r="Q158" s="3">
        <f t="shared" si="47"/>
        <v>3.3611822567197081E-2</v>
      </c>
      <c r="R158" s="3">
        <f t="shared" si="47"/>
        <v>3.2721937944806045E-2</v>
      </c>
      <c r="S158" s="3">
        <f t="shared" si="47"/>
        <v>3.2027453015933682E-2</v>
      </c>
      <c r="T158" s="3">
        <f t="shared" si="47"/>
        <v>3.1496984257903593E-2</v>
      </c>
      <c r="U158" s="3">
        <f t="shared" si="47"/>
        <v>3.086016380303569E-2</v>
      </c>
      <c r="V158" s="3">
        <f t="shared" si="47"/>
        <v>3.0157889542195893E-2</v>
      </c>
      <c r="W158" s="3">
        <f t="shared" si="47"/>
        <v>2.9417214346832754E-2</v>
      </c>
      <c r="X158" s="3">
        <f t="shared" si="47"/>
        <v>2.8656246085194681E-2</v>
      </c>
      <c r="Y158" s="3">
        <f t="shared" si="47"/>
        <v>2.7887284737629248E-2</v>
      </c>
      <c r="Z158" s="3">
        <f t="shared" si="47"/>
        <v>2.7118797268279149E-2</v>
      </c>
      <c r="AA158" s="3">
        <f t="shared" si="47"/>
        <v>2.6356688102286974E-2</v>
      </c>
      <c r="AB158" s="3">
        <f t="shared" si="47"/>
        <v>2.5605111683684623E-2</v>
      </c>
      <c r="AC158" s="3">
        <f t="shared" si="47"/>
        <v>2.3150595021487419E-2</v>
      </c>
      <c r="AD158" s="3">
        <f t="shared" si="47"/>
        <v>2.7831883601744378E-2</v>
      </c>
      <c r="AE158" s="3">
        <f t="shared" si="47"/>
        <v>2.321074501287157E-2</v>
      </c>
      <c r="AF158" s="3">
        <f t="shared" si="47"/>
        <v>2.2562762875984355E-2</v>
      </c>
      <c r="AG158" s="3">
        <f t="shared" si="47"/>
        <v>2.192100588594692E-2</v>
      </c>
      <c r="AH158" s="3">
        <f t="shared" si="47"/>
        <v>2.1289774055678778E-2</v>
      </c>
      <c r="AI158" s="3">
        <f t="shared" si="47"/>
        <v>2.0671868683152628E-2</v>
      </c>
      <c r="AJ158" s="3">
        <f t="shared" si="47"/>
        <v>2.0069052775754326E-2</v>
      </c>
      <c r="AK158" s="3">
        <f t="shared" si="47"/>
        <v>1.9482370095377233E-2</v>
      </c>
      <c r="AL158" s="3">
        <f t="shared" si="47"/>
        <v>1.8912366612753306E-2</v>
      </c>
      <c r="AM158" s="3">
        <f t="shared" si="47"/>
        <v>1.8359244587888846E-2</v>
      </c>
      <c r="AN158" s="3">
        <f t="shared" si="47"/>
        <v>1.7822970069088839E-2</v>
      </c>
      <c r="AO158" s="3">
        <f t="shared" si="47"/>
        <v>1.730334810824119E-2</v>
      </c>
      <c r="AP158" s="3">
        <f t="shared" si="47"/>
        <v>1.6800075532179326E-2</v>
      </c>
      <c r="AQ158" s="3">
        <f t="shared" si="47"/>
        <v>1.6312778054997423E-2</v>
      </c>
      <c r="AR158" s="3">
        <f t="shared" si="47"/>
        <v>1.5841036422473254E-2</v>
      </c>
      <c r="AS158" s="3">
        <f t="shared" si="47"/>
        <v>1.5384404842959887E-2</v>
      </c>
      <c r="AT158" s="3">
        <f t="shared" si="47"/>
        <v>1.4942423970954355E-2</v>
      </c>
      <c r="AU158" s="3">
        <f t="shared" si="47"/>
        <v>1.4514630027997688E-2</v>
      </c>
      <c r="AV158" s="3">
        <f t="shared" si="47"/>
        <v>1.4100561173934878E-2</v>
      </c>
      <c r="AW158" s="3">
        <f t="shared" si="47"/>
        <v>1.3699761913872788E-2</v>
      </c>
      <c r="AX158" s="3">
        <f t="shared" si="47"/>
        <v>1.3311786097655043E-2</v>
      </c>
      <c r="AY158" s="3">
        <f t="shared" si="47"/>
        <v>1.2936198908490848E-2</v>
      </c>
      <c r="AZ158" s="3">
        <f t="shared" si="47"/>
        <v>1.2572578124689704E-2</v>
      </c>
      <c r="BA158" s="3">
        <f t="shared" si="47"/>
        <v>1.2220514858672926E-2</v>
      </c>
      <c r="BB158" s="3">
        <f t="shared" si="47"/>
        <v>1.1879613920782628E-2</v>
      </c>
      <c r="BC158" s="3">
        <f t="shared" si="47"/>
        <v>1.154949391488147E-2</v>
      </c>
      <c r="BD158" s="3">
        <f t="shared" si="47"/>
        <v>1.1229787143659076E-2</v>
      </c>
      <c r="BE158" s="3">
        <f t="shared" si="47"/>
        <v>1.0920139380565574E-2</v>
      </c>
      <c r="BF158" s="3">
        <f t="shared" si="47"/>
        <v>1.0620209550038728E-2</v>
      </c>
      <c r="BG158" s="3">
        <f t="shared" si="47"/>
        <v>1.032966934659596E-2</v>
      </c>
      <c r="BH158" s="3">
        <f t="shared" si="47"/>
        <v>1.0048202815216678E-2</v>
      </c>
      <c r="BI158" s="3">
        <f t="shared" si="47"/>
        <v>9.7755059094339902E-3</v>
      </c>
    </row>
    <row r="159" spans="1:124" x14ac:dyDescent="0.35">
      <c r="A159" s="90" t="s">
        <v>245</v>
      </c>
      <c r="B159" s="51">
        <v>1</v>
      </c>
      <c r="C159" s="51">
        <f>+B159/(1+C156)^5</f>
        <v>0.77597069577003164</v>
      </c>
      <c r="D159" s="51">
        <f t="shared" ref="D159:BI159" si="48">+C159/(1+D156)^5</f>
        <v>0.60423275733374415</v>
      </c>
      <c r="E159" s="51">
        <f t="shared" si="48"/>
        <v>0.4730738813808682</v>
      </c>
      <c r="F159" s="51">
        <f t="shared" si="48"/>
        <v>0.37281945638079622</v>
      </c>
      <c r="G159" s="51">
        <f t="shared" si="48"/>
        <v>0.29591149635551667</v>
      </c>
      <c r="H159" s="51">
        <f t="shared" si="48"/>
        <v>0.23660589534441639</v>
      </c>
      <c r="I159" s="51">
        <f t="shared" si="48"/>
        <v>0.19059370185402838</v>
      </c>
      <c r="J159" s="51">
        <f t="shared" si="48"/>
        <v>0.154658650676715</v>
      </c>
      <c r="K159" s="51">
        <f t="shared" si="48"/>
        <v>0.12640081243417176</v>
      </c>
      <c r="L159" s="51">
        <f t="shared" si="48"/>
        <v>0.10402493103690866</v>
      </c>
      <c r="M159" s="51">
        <f t="shared" si="48"/>
        <v>8.6182419163301854E-2</v>
      </c>
      <c r="N159" s="51">
        <f t="shared" si="48"/>
        <v>7.1854845149973978E-2</v>
      </c>
      <c r="O159" s="51">
        <f t="shared" si="48"/>
        <v>6.0268407278725816E-2</v>
      </c>
      <c r="P159" s="51">
        <f t="shared" si="48"/>
        <v>5.0831137587704064E-2</v>
      </c>
      <c r="Q159" s="51">
        <f t="shared" si="48"/>
        <v>4.3086626129396538E-2</v>
      </c>
      <c r="R159" s="51">
        <f t="shared" si="48"/>
        <v>3.6679674618767984E-2</v>
      </c>
      <c r="S159" s="51">
        <f t="shared" si="48"/>
        <v>3.1330636921910543E-2</v>
      </c>
      <c r="T159" s="51">
        <f t="shared" si="48"/>
        <v>2.6830539835473642E-2</v>
      </c>
      <c r="U159" s="51">
        <f t="shared" si="48"/>
        <v>2.30478609276034E-2</v>
      </c>
      <c r="V159" s="51">
        <f t="shared" si="48"/>
        <v>1.9866056208558823E-2</v>
      </c>
      <c r="W159" s="51">
        <f t="shared" si="48"/>
        <v>1.7185197506473158E-2</v>
      </c>
      <c r="X159" s="51">
        <f t="shared" si="48"/>
        <v>1.4921180714422621E-2</v>
      </c>
      <c r="Y159" s="51">
        <f t="shared" si="48"/>
        <v>1.3003962892294208E-2</v>
      </c>
      <c r="Z159" s="51">
        <f t="shared" si="48"/>
        <v>1.1375548201919496E-2</v>
      </c>
      <c r="AA159" s="51">
        <f t="shared" si="48"/>
        <v>9.9880510094265667E-3</v>
      </c>
      <c r="AB159" s="51">
        <f t="shared" si="48"/>
        <v>8.8019696751616104E-3</v>
      </c>
      <c r="AC159" s="51">
        <f t="shared" si="48"/>
        <v>7.8502242356468417E-3</v>
      </c>
      <c r="AD159" s="51">
        <f t="shared" si="48"/>
        <v>6.843395420028292E-3</v>
      </c>
      <c r="AE159" s="51">
        <f t="shared" si="48"/>
        <v>6.1016342910491352E-3</v>
      </c>
      <c r="AF159" s="51">
        <f t="shared" si="48"/>
        <v>5.4575321897141231E-3</v>
      </c>
      <c r="AG159" s="51">
        <f t="shared" si="48"/>
        <v>4.8967696468869741E-3</v>
      </c>
      <c r="AH159" s="51">
        <f t="shared" si="48"/>
        <v>4.4072202749783559E-3</v>
      </c>
      <c r="AI159" s="51">
        <f t="shared" si="48"/>
        <v>3.978634386272363E-3</v>
      </c>
      <c r="AJ159" s="51">
        <f t="shared" si="48"/>
        <v>3.6023522049811111E-3</v>
      </c>
      <c r="AK159" s="51">
        <f t="shared" si="48"/>
        <v>3.2710529346377964E-3</v>
      </c>
      <c r="AL159" s="51">
        <f t="shared" si="48"/>
        <v>2.9785397859774473E-3</v>
      </c>
      <c r="AM159" s="51">
        <f t="shared" si="48"/>
        <v>2.7195581811834883E-3</v>
      </c>
      <c r="AN159" s="51">
        <f t="shared" si="48"/>
        <v>2.4896432257367485E-3</v>
      </c>
      <c r="AO159" s="51">
        <f t="shared" si="48"/>
        <v>2.2849923295241836E-3</v>
      </c>
      <c r="AP159" s="51">
        <f t="shared" si="48"/>
        <v>2.1023590924530581E-3</v>
      </c>
      <c r="AQ159" s="51">
        <f t="shared" si="48"/>
        <v>1.9389649903764049E-3</v>
      </c>
      <c r="AR159" s="51">
        <f t="shared" si="48"/>
        <v>1.7924258701789248E-3</v>
      </c>
      <c r="AS159" s="51">
        <f t="shared" si="48"/>
        <v>1.6606907216310891E-3</v>
      </c>
      <c r="AT159" s="51">
        <f t="shared" si="48"/>
        <v>1.5419906083013347E-3</v>
      </c>
      <c r="AU159" s="51">
        <f t="shared" si="48"/>
        <v>1.4347960002554002E-3</v>
      </c>
      <c r="AV159" s="51">
        <f t="shared" si="48"/>
        <v>1.3377810572441735E-3</v>
      </c>
      <c r="AW159" s="51">
        <f t="shared" si="48"/>
        <v>1.2497936669897134E-3</v>
      </c>
      <c r="AX159" s="51">
        <f t="shared" si="48"/>
        <v>1.1698302551995813E-3</v>
      </c>
      <c r="AY159" s="51">
        <f t="shared" si="48"/>
        <v>1.0970145585553709E-3</v>
      </c>
      <c r="AZ159" s="51">
        <f t="shared" si="48"/>
        <v>1.0305796952134951E-3</v>
      </c>
      <c r="BA159" s="51">
        <f t="shared" si="48"/>
        <v>9.6985298471332628E-4</v>
      </c>
      <c r="BB159" s="51">
        <f t="shared" si="48"/>
        <v>9.1424306522595866E-4</v>
      </c>
      <c r="BC159" s="51">
        <f t="shared" si="48"/>
        <v>8.6322893467139991E-4</v>
      </c>
      <c r="BD159" s="51">
        <f t="shared" si="48"/>
        <v>8.1635060659187393E-4</v>
      </c>
      <c r="BE159" s="51">
        <f t="shared" si="48"/>
        <v>7.7320112442913534E-4</v>
      </c>
      <c r="BF159" s="51">
        <f t="shared" si="48"/>
        <v>7.3341972116564643E-4</v>
      </c>
      <c r="BG159" s="51">
        <f t="shared" si="48"/>
        <v>6.9668594690336632E-4</v>
      </c>
      <c r="BH159" s="51">
        <f t="shared" si="48"/>
        <v>6.6271461629115072E-4</v>
      </c>
      <c r="BI159" s="51">
        <f t="shared" si="48"/>
        <v>6.3125145192540648E-4</v>
      </c>
      <c r="BJ159" s="51"/>
      <c r="BK159" s="51"/>
      <c r="BL159" s="51"/>
      <c r="BM159" s="51"/>
      <c r="BN159" s="51"/>
      <c r="BO159" s="51"/>
      <c r="BP159" s="51"/>
      <c r="BQ159" s="51"/>
      <c r="BR159" s="51"/>
      <c r="BS159" s="51"/>
      <c r="BT159" s="51"/>
      <c r="BU159" s="51"/>
      <c r="BV159" s="51"/>
      <c r="BW159" s="51"/>
      <c r="BX159" s="51"/>
      <c r="BY159" s="51"/>
      <c r="BZ159" s="51"/>
      <c r="CA159" s="51"/>
      <c r="CB159" s="51"/>
      <c r="CC159" s="51"/>
      <c r="CD159" s="51"/>
      <c r="CE159" s="51"/>
      <c r="CF159" s="51"/>
      <c r="CG159" s="51"/>
      <c r="CH159" s="51"/>
      <c r="CI159" s="51"/>
      <c r="CJ159" s="51"/>
      <c r="CK159" s="51"/>
      <c r="CL159" s="51"/>
      <c r="CM159" s="51"/>
      <c r="CN159" s="51"/>
      <c r="CO159" s="51"/>
      <c r="CP159" s="51"/>
      <c r="CQ159" s="51"/>
      <c r="CR159" s="51"/>
      <c r="CS159" s="51"/>
      <c r="CT159" s="51"/>
      <c r="CU159" s="51"/>
      <c r="CV159" s="51"/>
      <c r="CW159" s="51"/>
      <c r="CX159" s="51"/>
      <c r="CY159" s="51"/>
      <c r="CZ159" s="51"/>
      <c r="DA159" s="51"/>
      <c r="DB159" s="51"/>
      <c r="DC159" s="51"/>
      <c r="DD159" s="51"/>
      <c r="DE159" s="51"/>
      <c r="DF159" s="51"/>
      <c r="DG159" s="51"/>
      <c r="DH159" s="51"/>
      <c r="DI159" s="51"/>
      <c r="DJ159" s="51"/>
      <c r="DK159" s="51"/>
      <c r="DL159" s="51"/>
      <c r="DM159" s="51"/>
      <c r="DN159" s="51"/>
      <c r="DO159" s="51"/>
      <c r="DP159" s="51"/>
      <c r="DQ159" s="51"/>
      <c r="DR159" s="51"/>
      <c r="DS159" s="51"/>
      <c r="DT159" s="51"/>
    </row>
    <row r="160" spans="1:124" x14ac:dyDescent="0.35">
      <c r="A160" s="51"/>
      <c r="C160" s="51"/>
      <c r="D160" s="51"/>
      <c r="E160" s="51"/>
      <c r="F160" s="51"/>
      <c r="G160" s="51"/>
      <c r="H160" s="51"/>
      <c r="I160" s="51"/>
      <c r="J160" s="51"/>
      <c r="K160" s="51"/>
      <c r="L160" s="51"/>
      <c r="M160" s="51"/>
      <c r="N160" s="51"/>
      <c r="O160" s="51"/>
      <c r="P160" s="51"/>
      <c r="Q160" s="51"/>
      <c r="R160" s="51"/>
      <c r="S160" s="51"/>
      <c r="T160" s="51"/>
      <c r="U160" s="51"/>
      <c r="V160" s="51"/>
      <c r="W160" s="51"/>
      <c r="X160" s="51"/>
      <c r="Y160" s="51"/>
      <c r="Z160" s="51"/>
      <c r="AA160" s="51"/>
      <c r="AB160" s="51"/>
      <c r="AC160" s="51"/>
      <c r="AD160" s="51"/>
      <c r="AE160" s="51"/>
      <c r="AF160" s="51"/>
      <c r="AG160" s="51"/>
      <c r="AH160" s="51"/>
      <c r="AI160" s="51"/>
      <c r="AJ160" s="51"/>
      <c r="AK160" s="51"/>
      <c r="AL160" s="51"/>
      <c r="AM160" s="51"/>
      <c r="AN160" s="51"/>
      <c r="AO160" s="51"/>
      <c r="AP160" s="51"/>
      <c r="AQ160" s="51"/>
      <c r="AR160" s="51"/>
      <c r="AS160" s="51"/>
      <c r="AT160" s="51"/>
      <c r="AU160" s="51"/>
      <c r="AV160" s="51"/>
      <c r="AW160" s="51"/>
      <c r="AX160" s="51"/>
      <c r="AY160" s="51"/>
      <c r="AZ160" s="51"/>
      <c r="BA160" s="51"/>
      <c r="BB160" s="51"/>
      <c r="BC160" s="51"/>
      <c r="BD160" s="51"/>
      <c r="BE160" s="51"/>
      <c r="BF160" s="51"/>
      <c r="BG160" s="51"/>
      <c r="BH160" s="51"/>
      <c r="BI160" s="51"/>
      <c r="BJ160" s="51"/>
      <c r="BK160" s="51"/>
      <c r="BL160" s="51"/>
      <c r="BM160" s="51"/>
      <c r="BN160" s="51"/>
      <c r="BO160" s="51"/>
      <c r="BP160" s="51"/>
      <c r="BQ160" s="51"/>
      <c r="BR160" s="51"/>
      <c r="BS160" s="51"/>
      <c r="BT160" s="51"/>
      <c r="BU160" s="51"/>
      <c r="BV160" s="51"/>
      <c r="BW160" s="51"/>
      <c r="BX160" s="51"/>
      <c r="BY160" s="51"/>
      <c r="BZ160" s="51"/>
      <c r="CA160" s="51"/>
      <c r="CB160" s="51"/>
      <c r="CC160" s="51"/>
      <c r="CD160" s="51"/>
      <c r="CE160" s="51"/>
      <c r="CF160" s="51"/>
      <c r="CG160" s="51"/>
      <c r="CH160" s="51"/>
      <c r="CI160" s="51"/>
      <c r="CJ160" s="51"/>
      <c r="CK160" s="51"/>
      <c r="CL160" s="51"/>
      <c r="CM160" s="51"/>
      <c r="CN160" s="51"/>
      <c r="CO160" s="51"/>
      <c r="CP160" s="51"/>
      <c r="CQ160" s="51"/>
      <c r="CR160" s="51"/>
      <c r="CS160" s="51"/>
      <c r="CT160" s="51"/>
      <c r="CU160" s="51"/>
      <c r="CV160" s="51"/>
      <c r="CW160" s="51"/>
      <c r="CX160" s="51"/>
      <c r="CY160" s="51"/>
      <c r="CZ160" s="51"/>
      <c r="DA160" s="51"/>
      <c r="DB160" s="51"/>
      <c r="DC160" s="51"/>
      <c r="DD160" s="51"/>
      <c r="DE160" s="51"/>
      <c r="DF160" s="51"/>
      <c r="DG160" s="51"/>
      <c r="DH160" s="51"/>
      <c r="DI160" s="51"/>
      <c r="DJ160" s="51"/>
      <c r="DK160" s="51"/>
      <c r="DL160" s="51"/>
      <c r="DM160" s="51"/>
      <c r="DN160" s="51"/>
      <c r="DO160" s="51"/>
      <c r="DP160" s="51"/>
      <c r="DQ160" s="51"/>
      <c r="DR160" s="51"/>
      <c r="DS160" s="51"/>
      <c r="DT160" s="51"/>
    </row>
    <row r="161" spans="1:124" x14ac:dyDescent="0.35">
      <c r="A161" s="51"/>
      <c r="C161" s="51"/>
      <c r="D161" s="51"/>
      <c r="E161" s="51"/>
      <c r="F161" s="51"/>
      <c r="G161" s="51"/>
      <c r="H161" s="51"/>
      <c r="I161" s="51"/>
      <c r="J161" s="51"/>
      <c r="K161" s="51"/>
      <c r="L161" s="51"/>
      <c r="M161" s="51"/>
      <c r="N161" s="51"/>
      <c r="O161" s="51"/>
      <c r="P161" s="51"/>
      <c r="Q161" s="51"/>
      <c r="R161" s="51"/>
      <c r="S161" s="51"/>
      <c r="T161" s="51"/>
      <c r="U161" s="51"/>
      <c r="V161" s="51"/>
      <c r="W161" s="51"/>
      <c r="X161" s="51"/>
      <c r="Y161" s="51"/>
      <c r="Z161" s="51"/>
      <c r="AA161" s="51"/>
      <c r="AB161" s="51"/>
      <c r="AC161" s="51"/>
      <c r="AD161" s="51"/>
      <c r="AE161" s="51"/>
      <c r="AF161" s="51"/>
      <c r="AG161" s="51"/>
      <c r="AH161" s="51"/>
      <c r="AI161" s="51"/>
      <c r="AJ161" s="51"/>
      <c r="AK161" s="51"/>
      <c r="AL161" s="51"/>
      <c r="AM161" s="51"/>
      <c r="AN161" s="51"/>
      <c r="AO161" s="51"/>
      <c r="AP161" s="51"/>
      <c r="AQ161" s="51"/>
      <c r="AR161" s="51"/>
      <c r="AS161" s="51"/>
      <c r="AT161" s="51"/>
      <c r="AU161" s="51"/>
      <c r="AV161" s="51"/>
      <c r="AW161" s="51"/>
      <c r="AX161" s="51"/>
      <c r="AY161" s="51"/>
      <c r="AZ161" s="51"/>
      <c r="BA161" s="51"/>
      <c r="BB161" s="51"/>
      <c r="BC161" s="51"/>
      <c r="BD161" s="51"/>
      <c r="BE161" s="51"/>
      <c r="BF161" s="51"/>
      <c r="BG161" s="51"/>
      <c r="BH161" s="51"/>
      <c r="BI161" s="51"/>
      <c r="BJ161" s="51"/>
      <c r="BK161" s="51"/>
      <c r="BL161" s="51"/>
      <c r="BM161" s="51"/>
      <c r="BN161" s="51"/>
      <c r="BO161" s="51"/>
      <c r="BP161" s="51"/>
      <c r="BQ161" s="51"/>
      <c r="BR161" s="51"/>
      <c r="BS161" s="51"/>
      <c r="BT161" s="51"/>
      <c r="BU161" s="51"/>
      <c r="BV161" s="51"/>
      <c r="BW161" s="51"/>
      <c r="BX161" s="51"/>
      <c r="BY161" s="51"/>
      <c r="BZ161" s="51"/>
      <c r="CA161" s="51"/>
      <c r="CB161" s="51"/>
      <c r="CC161" s="51"/>
      <c r="CD161" s="51"/>
      <c r="CE161" s="51"/>
      <c r="CF161" s="51"/>
      <c r="CG161" s="51"/>
      <c r="CH161" s="51"/>
      <c r="CI161" s="51"/>
      <c r="CJ161" s="51"/>
      <c r="CK161" s="51"/>
      <c r="CL161" s="51"/>
      <c r="CM161" s="51"/>
      <c r="CN161" s="51"/>
      <c r="CO161" s="51"/>
      <c r="CP161" s="51"/>
      <c r="CQ161" s="51"/>
      <c r="CR161" s="51"/>
      <c r="CS161" s="51"/>
      <c r="CT161" s="51"/>
      <c r="CU161" s="51"/>
      <c r="CV161" s="51"/>
      <c r="CW161" s="51"/>
      <c r="CX161" s="51"/>
      <c r="CY161" s="51"/>
      <c r="CZ161" s="51"/>
      <c r="DA161" s="51"/>
      <c r="DB161" s="51"/>
      <c r="DC161" s="51"/>
      <c r="DD161" s="51"/>
      <c r="DE161" s="51"/>
      <c r="DF161" s="51"/>
      <c r="DG161" s="51"/>
      <c r="DH161" s="51"/>
      <c r="DI161" s="51"/>
      <c r="DJ161" s="51"/>
      <c r="DK161" s="51"/>
      <c r="DL161" s="51"/>
      <c r="DM161" s="51"/>
      <c r="DN161" s="51"/>
      <c r="DO161" s="51"/>
      <c r="DP161" s="51"/>
      <c r="DQ161" s="51"/>
      <c r="DR161" s="51"/>
      <c r="DS161" s="51"/>
      <c r="DT161" s="51"/>
    </row>
    <row r="162" spans="1:124" s="57" customFormat="1" ht="45.65" customHeight="1" thickBot="1" x14ac:dyDescent="0.4">
      <c r="A162" s="84" t="s">
        <v>61</v>
      </c>
      <c r="B162" s="57" t="s">
        <v>342</v>
      </c>
      <c r="D162" s="57" t="s">
        <v>343</v>
      </c>
      <c r="E162" s="57" t="s">
        <v>340</v>
      </c>
      <c r="F162" s="153" t="s">
        <v>341</v>
      </c>
      <c r="G162" s="153"/>
    </row>
    <row r="163" spans="1:124" ht="15" thickTop="1" x14ac:dyDescent="0.35">
      <c r="A163" s="15" t="s">
        <v>61</v>
      </c>
      <c r="B163" s="3"/>
      <c r="F163" s="3" t="s">
        <v>251</v>
      </c>
      <c r="G163" s="3" t="s">
        <v>252</v>
      </c>
    </row>
    <row r="164" spans="1:124" x14ac:dyDescent="0.35">
      <c r="A164" s="15" t="s">
        <v>244</v>
      </c>
      <c r="B164" s="3">
        <f>+SUMPRODUCT(B159:T159*B124:T124)*5</f>
        <v>2297.3092670107499</v>
      </c>
      <c r="D164" s="3">
        <f>+SUMPRODUCT(Base!B155:T155*B124:T124)*5</f>
        <v>2253.8499082066155</v>
      </c>
      <c r="E164" s="2">
        <v>2263.2194535643148</v>
      </c>
      <c r="F164" s="3">
        <f t="shared" ref="F164:F168" si="49">+D164-E164</f>
        <v>-9.3695453576992804</v>
      </c>
      <c r="G164" s="6">
        <f>+F164*1000</f>
        <v>-9369.5453576992804</v>
      </c>
    </row>
    <row r="165" spans="1:124" x14ac:dyDescent="0.35">
      <c r="A165" s="15" t="s">
        <v>64</v>
      </c>
      <c r="B165" s="3">
        <f>+SUMPRODUCT(B159:AN159*B124:AN124)*5</f>
        <v>2824.9915303432276</v>
      </c>
      <c r="D165" s="3">
        <f>+SUMPRODUCT(Base!B155:AN155*B124:AN124)*5</f>
        <v>2640.1149477589415</v>
      </c>
      <c r="E165" s="2">
        <v>2628.3554239442537</v>
      </c>
      <c r="F165" s="3">
        <f t="shared" si="49"/>
        <v>11.759523814687782</v>
      </c>
      <c r="G165" s="6">
        <f>+F165*1000</f>
        <v>11759.523814687782</v>
      </c>
    </row>
    <row r="166" spans="1:124" x14ac:dyDescent="0.35">
      <c r="A166" s="15" t="s">
        <v>62</v>
      </c>
      <c r="B166" s="3">
        <f>+SUMPRODUCT(B159:BH159*B124:BH124)*5</f>
        <v>3017.0762287769467</v>
      </c>
      <c r="D166" s="3">
        <f>+SUMPRODUCT(Base!B155:BH155*B124:BH124)*5</f>
        <v>2708.7865245129042</v>
      </c>
      <c r="E166" s="2">
        <v>2687.7370386156094</v>
      </c>
      <c r="F166" s="3">
        <f t="shared" si="49"/>
        <v>21.049485897294744</v>
      </c>
      <c r="G166" s="6">
        <f>+F166*1000</f>
        <v>21049.485897294744</v>
      </c>
    </row>
    <row r="167" spans="1:124" x14ac:dyDescent="0.35">
      <c r="A167" s="15" t="s">
        <v>63</v>
      </c>
      <c r="B167" s="3">
        <f>+SUMPRODUCT(B159:DQ159*B124:DQ124)*5</f>
        <v>3023.717791966671</v>
      </c>
      <c r="D167" s="3">
        <f>+SUMPRODUCT(Base!B155:DQ155*B124:DQ124)*5</f>
        <v>2709.9890237070131</v>
      </c>
      <c r="E167" s="2">
        <v>2688.7936628310235</v>
      </c>
      <c r="F167" s="154">
        <f t="shared" si="49"/>
        <v>21.195360875989536</v>
      </c>
      <c r="G167" s="6">
        <f>+F167*1000</f>
        <v>21195.360875989536</v>
      </c>
    </row>
    <row r="168" spans="1:124" x14ac:dyDescent="0.35">
      <c r="A168" s="15" t="s">
        <v>249</v>
      </c>
      <c r="B168" s="158">
        <f>+B130</f>
        <v>-8453.7370671215849</v>
      </c>
      <c r="D168" s="3">
        <f>+B130</f>
        <v>-8453.7370671215849</v>
      </c>
      <c r="E168" s="2">
        <v>2688.7871964352134</v>
      </c>
      <c r="F168" s="3">
        <f t="shared" si="49"/>
        <v>-11142.524263556799</v>
      </c>
      <c r="G168" s="6">
        <f>+F168*1000</f>
        <v>-11142524.263556799</v>
      </c>
    </row>
    <row r="169" spans="1:124" ht="20" thickBot="1" x14ac:dyDescent="0.4">
      <c r="A169" s="84" t="s">
        <v>99</v>
      </c>
      <c r="B169" s="3"/>
    </row>
    <row r="170" spans="1:124" ht="15" thickTop="1" x14ac:dyDescent="0.35">
      <c r="A170" s="15" t="s">
        <v>233</v>
      </c>
      <c r="B170" s="3">
        <f t="shared" ref="B170:AU170" si="50">+B118/B105</f>
        <v>2.124572737974987</v>
      </c>
      <c r="C170" s="3">
        <f t="shared" si="50"/>
        <v>2.1234366038346901</v>
      </c>
      <c r="D170" s="3">
        <f t="shared" si="50"/>
        <v>2.1332924287611932</v>
      </c>
      <c r="E170" s="3">
        <f t="shared" si="50"/>
        <v>2.1507447325524622</v>
      </c>
      <c r="F170" s="3">
        <f t="shared" si="50"/>
        <v>2.1726523168085405</v>
      </c>
      <c r="G170" s="3">
        <f t="shared" si="50"/>
        <v>2.1970976430509706</v>
      </c>
      <c r="H170" s="3">
        <f t="shared" si="50"/>
        <v>2.2229074696802806</v>
      </c>
      <c r="I170" s="3">
        <f t="shared" si="50"/>
        <v>2.2493654078465202</v>
      </c>
      <c r="J170" s="3">
        <f t="shared" si="50"/>
        <v>2.2760359363441562</v>
      </c>
      <c r="K170" s="3">
        <f t="shared" si="50"/>
        <v>2.3026539334156482</v>
      </c>
      <c r="L170" s="3">
        <f t="shared" si="50"/>
        <v>2.3290523116952357</v>
      </c>
      <c r="M170" s="3">
        <f t="shared" si="50"/>
        <v>2.3551104789330721</v>
      </c>
      <c r="N170" s="3">
        <f t="shared" si="50"/>
        <v>2.380711583043015</v>
      </c>
      <c r="O170" s="3">
        <f t="shared" si="50"/>
        <v>2.4056986570212193</v>
      </c>
      <c r="P170" s="3">
        <f t="shared" si="50"/>
        <v>2.4298194662354327</v>
      </c>
      <c r="Q170" s="3">
        <f t="shared" si="50"/>
        <v>2.4526469666619</v>
      </c>
      <c r="R170" s="3">
        <f t="shared" si="50"/>
        <v>2.4734559919204639</v>
      </c>
      <c r="S170" s="3">
        <f t="shared" si="50"/>
        <v>2.4910245197776524</v>
      </c>
      <c r="T170" s="3">
        <f t="shared" si="50"/>
        <v>2.5053963641585342</v>
      </c>
      <c r="U170" s="3">
        <f t="shared" si="50"/>
        <v>2.5228834505326154</v>
      </c>
      <c r="V170" s="3">
        <f t="shared" si="50"/>
        <v>2.5424639884832736</v>
      </c>
      <c r="W170" s="3">
        <f t="shared" si="50"/>
        <v>2.563437550204561</v>
      </c>
      <c r="X170" s="3">
        <f t="shared" si="50"/>
        <v>2.5853131535332312</v>
      </c>
      <c r="Y170" s="3">
        <f t="shared" si="50"/>
        <v>2.6077388814031064</v>
      </c>
      <c r="Z170" s="3">
        <f t="shared" si="50"/>
        <v>2.6304571463770547</v>
      </c>
      <c r="AA170" s="3">
        <f t="shared" si="50"/>
        <v>2.6532759444080063</v>
      </c>
      <c r="AB170" s="3">
        <f t="shared" si="50"/>
        <v>2.6760500814531141</v>
      </c>
      <c r="AC170" s="3">
        <f t="shared" si="50"/>
        <v>2.6986686649748011</v>
      </c>
      <c r="AD170" s="3">
        <f t="shared" si="50"/>
        <v>2.7304671935154268</v>
      </c>
      <c r="AE170" s="3">
        <f t="shared" si="50"/>
        <v>2.7423229465326933</v>
      </c>
      <c r="AF170" s="3">
        <f t="shared" si="50"/>
        <v>2.7543769828659008</v>
      </c>
      <c r="AG170" s="3">
        <f t="shared" si="50"/>
        <v>2.7664332531835787</v>
      </c>
      <c r="AH170" s="3">
        <f t="shared" si="50"/>
        <v>2.7783604716305894</v>
      </c>
      <c r="AI170" s="3">
        <f t="shared" si="50"/>
        <v>2.7900721820871341</v>
      </c>
      <c r="AJ170" s="3">
        <f t="shared" si="50"/>
        <v>2.8015129853914682</v>
      </c>
      <c r="AK170" s="3">
        <f t="shared" si="50"/>
        <v>2.8126489928772522</v>
      </c>
      <c r="AL170" s="3">
        <f t="shared" si="50"/>
        <v>2.8234611894341195</v>
      </c>
      <c r="AM170" s="3">
        <f t="shared" si="50"/>
        <v>2.8339408065528633</v>
      </c>
      <c r="AN170" s="3">
        <f t="shared" si="50"/>
        <v>2.8440860887144583</v>
      </c>
      <c r="AO170" s="3">
        <f t="shared" si="50"/>
        <v>2.8539000289745968</v>
      </c>
      <c r="AP170" s="3">
        <f t="shared" si="50"/>
        <v>2.8633887810115652</v>
      </c>
      <c r="AQ170" s="3">
        <f t="shared" si="50"/>
        <v>2.8725605449137146</v>
      </c>
      <c r="AR170" s="3">
        <f t="shared" si="50"/>
        <v>2.8814247858268942</v>
      </c>
      <c r="AS170" s="3">
        <f t="shared" si="50"/>
        <v>2.88999168721115</v>
      </c>
      <c r="AT170" s="3">
        <f t="shared" si="50"/>
        <v>2.8982717699362999</v>
      </c>
      <c r="AU170" s="3">
        <f t="shared" si="50"/>
        <v>2.906275628902061</v>
      </c>
    </row>
    <row r="171" spans="1:124" x14ac:dyDescent="0.35">
      <c r="A171" s="15" t="s">
        <v>261</v>
      </c>
      <c r="C171" s="3">
        <f>+C125/(C125+C124)</f>
        <v>8.3744393104132023E-2</v>
      </c>
      <c r="D171" s="3">
        <f t="shared" ref="D171:AU171" si="51">+D125/(D125+D124)</f>
        <v>8.2418836716557156E-2</v>
      </c>
      <c r="E171" s="3">
        <f t="shared" si="51"/>
        <v>8.0884552620890476E-2</v>
      </c>
      <c r="F171" s="3">
        <f t="shared" si="51"/>
        <v>7.8998044512226639E-2</v>
      </c>
      <c r="G171" s="3">
        <f t="shared" si="51"/>
        <v>7.6961397614936977E-2</v>
      </c>
      <c r="H171" s="3">
        <f t="shared" si="51"/>
        <v>7.4894905489144153E-2</v>
      </c>
      <c r="I171" s="3">
        <f t="shared" si="51"/>
        <v>7.2868827371609476E-2</v>
      </c>
      <c r="J171" s="3">
        <f t="shared" si="51"/>
        <v>7.0921872166779004E-2</v>
      </c>
      <c r="K171" s="3">
        <f t="shared" si="51"/>
        <v>6.9072072127619039E-2</v>
      </c>
      <c r="L171" s="3">
        <f t="shared" si="51"/>
        <v>6.7322894348235518E-2</v>
      </c>
      <c r="M171" s="3">
        <f t="shared" si="51"/>
        <v>6.5666026104217914E-2</v>
      </c>
      <c r="N171" s="3">
        <f t="shared" si="51"/>
        <v>6.4081398649784335E-2</v>
      </c>
      <c r="O171" s="3">
        <f t="shared" si="51"/>
        <v>6.2534380941420234E-2</v>
      </c>
      <c r="P171" s="3">
        <f t="shared" si="51"/>
        <v>6.0969420014883431E-2</v>
      </c>
      <c r="Q171" s="3">
        <f t="shared" si="51"/>
        <v>5.9298560649394372E-2</v>
      </c>
      <c r="R171" s="3">
        <f t="shared" si="51"/>
        <v>5.738203707183584E-2</v>
      </c>
      <c r="S171" s="3">
        <f t="shared" si="51"/>
        <v>5.4996058092663842E-2</v>
      </c>
      <c r="T171" s="3">
        <f t="shared" si="51"/>
        <v>5.2541188039517579E-2</v>
      </c>
      <c r="U171" s="3">
        <f t="shared" si="51"/>
        <v>5.2293729561162051E-2</v>
      </c>
      <c r="V171" s="3">
        <f t="shared" si="51"/>
        <v>5.1805230691084544E-2</v>
      </c>
      <c r="W171" s="3">
        <f t="shared" si="51"/>
        <v>5.1160400118833098E-2</v>
      </c>
      <c r="X171" s="3">
        <f t="shared" si="51"/>
        <v>5.0413321277509346E-2</v>
      </c>
      <c r="Y171" s="3">
        <f t="shared" si="51"/>
        <v>4.9599003758494471E-2</v>
      </c>
      <c r="Z171" s="3">
        <f t="shared" si="51"/>
        <v>4.8740483815724572E-2</v>
      </c>
      <c r="AA171" s="3">
        <f t="shared" si="51"/>
        <v>4.7853237876772169E-2</v>
      </c>
      <c r="AB171" s="3">
        <f t="shared" si="51"/>
        <v>4.6947919421398476E-2</v>
      </c>
      <c r="AC171" s="3">
        <f t="shared" si="51"/>
        <v>4.6207631597345075E-2</v>
      </c>
      <c r="AD171" s="3">
        <f t="shared" si="51"/>
        <v>4.8323680237495954E-2</v>
      </c>
      <c r="AE171" s="3">
        <f t="shared" si="51"/>
        <v>4.0466870228273298E-2</v>
      </c>
      <c r="AF171" s="3">
        <f t="shared" si="51"/>
        <v>3.9571502102020442E-2</v>
      </c>
      <c r="AG171" s="3">
        <f t="shared" si="51"/>
        <v>3.8640760563268581E-2</v>
      </c>
      <c r="AH171" s="3">
        <f t="shared" si="51"/>
        <v>3.7693384735284358E-2</v>
      </c>
      <c r="AI171" s="3">
        <f t="shared" si="51"/>
        <v>3.67421997048029E-2</v>
      </c>
      <c r="AJ171" s="3">
        <f t="shared" si="51"/>
        <v>3.5795941949153337E-2</v>
      </c>
      <c r="AK171" s="3">
        <f t="shared" si="51"/>
        <v>3.4860514142001899E-2</v>
      </c>
      <c r="AL171" s="3">
        <f t="shared" si="51"/>
        <v>3.3939851063326261E-2</v>
      </c>
      <c r="AM171" s="3">
        <f t="shared" si="51"/>
        <v>3.3036519162773836E-2</v>
      </c>
      <c r="AN171" s="3">
        <f t="shared" si="51"/>
        <v>3.2152132951302349E-2</v>
      </c>
      <c r="AO171" s="3">
        <f t="shared" si="51"/>
        <v>3.1287644964718295E-2</v>
      </c>
      <c r="AP171" s="3">
        <f t="shared" si="51"/>
        <v>3.0443548177576267E-2</v>
      </c>
      <c r="AQ171" s="3">
        <f t="shared" si="51"/>
        <v>2.9620017604716914E-2</v>
      </c>
      <c r="AR171" s="3">
        <f t="shared" si="51"/>
        <v>2.8817009539690578E-2</v>
      </c>
      <c r="AS171" s="3">
        <f t="shared" si="51"/>
        <v>2.8034331200110545E-2</v>
      </c>
      <c r="AT171" s="3">
        <f t="shared" si="51"/>
        <v>2.727168964539476E-2</v>
      </c>
      <c r="AU171" s="3">
        <f t="shared" si="51"/>
        <v>2.652872613957696E-2</v>
      </c>
    </row>
    <row r="173" spans="1:124" x14ac:dyDescent="0.35">
      <c r="B173" s="3"/>
    </row>
    <row r="174" spans="1:124" x14ac:dyDescent="0.35">
      <c r="B174" s="3"/>
    </row>
    <row r="175" spans="1:124" x14ac:dyDescent="0.35">
      <c r="B175" s="3"/>
    </row>
    <row r="176" spans="1:124" x14ac:dyDescent="0.35">
      <c r="B176" s="3"/>
    </row>
    <row r="177" spans="2:2" s="3" customFormat="1" x14ac:dyDescent="0.35">
      <c r="B177" s="51"/>
    </row>
    <row r="178" spans="2:2" s="3" customFormat="1" x14ac:dyDescent="0.35">
      <c r="B178" s="51"/>
    </row>
    <row r="179" spans="2:2" s="3" customFormat="1" x14ac:dyDescent="0.35">
      <c r="B179" s="51"/>
    </row>
    <row r="180" spans="2:2" s="3" customFormat="1" x14ac:dyDescent="0.35">
      <c r="B180" s="51"/>
    </row>
    <row r="181" spans="2:2" s="3" customFormat="1" x14ac:dyDescent="0.35">
      <c r="B181" s="51"/>
    </row>
    <row r="182" spans="2:2" s="3" customFormat="1" x14ac:dyDescent="0.35">
      <c r="B182" s="51"/>
    </row>
    <row r="183" spans="2:2" s="3" customFormat="1" x14ac:dyDescent="0.35">
      <c r="B183" s="51"/>
    </row>
    <row r="184" spans="2:2" s="3" customFormat="1" x14ac:dyDescent="0.35">
      <c r="B184" s="51"/>
    </row>
    <row r="185" spans="2:2" s="3" customFormat="1" x14ac:dyDescent="0.35">
      <c r="B185" s="51"/>
    </row>
    <row r="186" spans="2:2" s="3" customFormat="1" x14ac:dyDescent="0.35">
      <c r="B186" s="51"/>
    </row>
    <row r="187" spans="2:2" s="3" customFormat="1" x14ac:dyDescent="0.35">
      <c r="B187" s="51"/>
    </row>
    <row r="188" spans="2:2" s="3" customFormat="1" x14ac:dyDescent="0.35">
      <c r="B188" s="51"/>
    </row>
    <row r="189" spans="2:2" s="3" customFormat="1" x14ac:dyDescent="0.35">
      <c r="B189" s="51"/>
    </row>
    <row r="190" spans="2:2" s="3" customFormat="1" x14ac:dyDescent="0.35">
      <c r="B190" s="51"/>
    </row>
    <row r="191" spans="2:2" s="3" customFormat="1" x14ac:dyDescent="0.35">
      <c r="B191" s="51"/>
    </row>
    <row r="192" spans="2:2" s="3" customFormat="1" x14ac:dyDescent="0.35">
      <c r="B192" s="51"/>
    </row>
    <row r="208" spans="1:123" s="25" customFormat="1" ht="15" thickBot="1" x14ac:dyDescent="0.4">
      <c r="A208" s="89" t="s">
        <v>119</v>
      </c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3"/>
      <c r="CE208" s="3"/>
      <c r="CF208" s="3"/>
      <c r="CG208" s="3"/>
      <c r="CH208" s="3"/>
      <c r="CI208" s="3"/>
      <c r="CJ208" s="3"/>
      <c r="CK208" s="3"/>
      <c r="CL208" s="3"/>
      <c r="CM208" s="3"/>
      <c r="CN208" s="3"/>
      <c r="CO208" s="3"/>
      <c r="CP208" s="3"/>
      <c r="CQ208" s="3"/>
      <c r="CR208" s="3"/>
      <c r="CS208" s="3"/>
      <c r="CT208" s="3"/>
      <c r="CU208" s="3"/>
      <c r="CV208" s="3"/>
      <c r="CW208" s="3"/>
      <c r="CX208" s="3"/>
      <c r="CY208" s="3"/>
      <c r="CZ208" s="3"/>
      <c r="DA208" s="3"/>
      <c r="DB208" s="3"/>
      <c r="DC208" s="3"/>
      <c r="DD208" s="3"/>
      <c r="DE208" s="3"/>
      <c r="DF208" s="3"/>
      <c r="DG208" s="3"/>
      <c r="DH208" s="3"/>
      <c r="DI208" s="3"/>
      <c r="DJ208" s="3"/>
      <c r="DK208" s="3"/>
      <c r="DL208" s="3"/>
      <c r="DM208" s="3"/>
      <c r="DN208" s="3"/>
      <c r="DO208" s="3"/>
      <c r="DP208" s="3"/>
      <c r="DQ208" s="3"/>
      <c r="DR208" s="3"/>
      <c r="DS208" s="3"/>
    </row>
    <row r="209" spans="1:124" s="22" customFormat="1" ht="29.5" thickTop="1" x14ac:dyDescent="0.35">
      <c r="A209" s="20" t="s">
        <v>198</v>
      </c>
      <c r="B209" s="21">
        <v>1E-3</v>
      </c>
      <c r="C209" s="21">
        <v>1E-3</v>
      </c>
      <c r="D209" s="21">
        <v>1E-3</v>
      </c>
      <c r="E209" s="21">
        <v>1E-3</v>
      </c>
      <c r="F209" s="21">
        <v>1E-3</v>
      </c>
      <c r="G209" s="21">
        <v>1E-3</v>
      </c>
      <c r="H209" s="21">
        <v>1E-3</v>
      </c>
      <c r="I209" s="21">
        <v>1E-3</v>
      </c>
      <c r="J209" s="21">
        <v>1E-3</v>
      </c>
      <c r="K209" s="21">
        <v>1E-3</v>
      </c>
      <c r="L209" s="21">
        <v>1E-3</v>
      </c>
      <c r="M209" s="21">
        <v>1E-3</v>
      </c>
      <c r="N209" s="21">
        <v>1E-3</v>
      </c>
      <c r="O209" s="21">
        <v>1E-3</v>
      </c>
      <c r="P209" s="21">
        <v>1E-3</v>
      </c>
      <c r="Q209" s="21">
        <v>1E-3</v>
      </c>
      <c r="R209" s="21">
        <v>1E-3</v>
      </c>
      <c r="S209" s="21">
        <v>1E-3</v>
      </c>
      <c r="T209" s="21">
        <v>1E-3</v>
      </c>
      <c r="U209" s="21">
        <v>1E-3</v>
      </c>
      <c r="V209" s="21">
        <v>1E-3</v>
      </c>
      <c r="W209" s="21">
        <v>1E-3</v>
      </c>
      <c r="X209" s="21">
        <v>1E-3</v>
      </c>
      <c r="Y209" s="21">
        <v>1E-3</v>
      </c>
      <c r="Z209" s="21">
        <v>1E-3</v>
      </c>
      <c r="AA209" s="21">
        <v>1E-3</v>
      </c>
      <c r="AB209" s="21">
        <v>1E-3</v>
      </c>
      <c r="AC209" s="21">
        <v>1E-3</v>
      </c>
      <c r="AD209" s="21">
        <v>1E-3</v>
      </c>
      <c r="AE209" s="21">
        <v>1E-3</v>
      </c>
      <c r="AF209" s="21">
        <v>1E-3</v>
      </c>
      <c r="AG209" s="21">
        <v>1E-3</v>
      </c>
      <c r="AH209" s="21">
        <v>1E-3</v>
      </c>
      <c r="AI209" s="21">
        <v>1E-3</v>
      </c>
      <c r="AJ209" s="21">
        <v>1E-3</v>
      </c>
      <c r="AK209" s="21">
        <v>1E-3</v>
      </c>
      <c r="AL209" s="21">
        <v>1E-3</v>
      </c>
      <c r="AM209" s="21">
        <v>1E-3</v>
      </c>
      <c r="AN209" s="21">
        <v>1E-3</v>
      </c>
      <c r="AO209" s="21">
        <v>1E-3</v>
      </c>
      <c r="AP209" s="21">
        <v>1E-3</v>
      </c>
      <c r="AQ209" s="21">
        <v>1E-3</v>
      </c>
      <c r="AR209" s="21">
        <v>1E-3</v>
      </c>
      <c r="AS209" s="21">
        <v>1E-3</v>
      </c>
      <c r="AT209" s="21">
        <v>1E-3</v>
      </c>
      <c r="AU209" s="21">
        <v>1E-3</v>
      </c>
      <c r="AV209" s="21">
        <v>1E-3</v>
      </c>
      <c r="AW209" s="21">
        <v>1E-3</v>
      </c>
      <c r="AX209" s="21">
        <v>1E-3</v>
      </c>
      <c r="AY209" s="21">
        <v>1E-3</v>
      </c>
      <c r="AZ209" s="21">
        <v>1E-3</v>
      </c>
      <c r="BA209" s="21">
        <v>1E-3</v>
      </c>
      <c r="BB209" s="21">
        <v>1E-3</v>
      </c>
      <c r="BC209" s="21">
        <v>1E-3</v>
      </c>
      <c r="BD209" s="21">
        <v>1E-3</v>
      </c>
      <c r="BE209" s="21">
        <v>1E-3</v>
      </c>
      <c r="BF209" s="21">
        <v>1E-3</v>
      </c>
      <c r="BG209" s="21">
        <v>1E-3</v>
      </c>
      <c r="BH209" s="21">
        <v>1E-3</v>
      </c>
      <c r="BI209" s="21">
        <v>1E-3</v>
      </c>
      <c r="BJ209" s="21"/>
      <c r="BK209" s="21"/>
      <c r="BL209" s="21"/>
      <c r="BM209" s="21"/>
      <c r="BN209" s="21"/>
      <c r="BO209" s="21"/>
      <c r="BP209" s="21"/>
      <c r="BQ209" s="21"/>
      <c r="BR209" s="21"/>
      <c r="BS209" s="21"/>
      <c r="BT209" s="21"/>
      <c r="BU209" s="21"/>
      <c r="BV209" s="21"/>
      <c r="BW209" s="21"/>
      <c r="BX209" s="21"/>
      <c r="BY209" s="21"/>
      <c r="BZ209" s="21"/>
      <c r="CA209" s="21"/>
      <c r="CB209" s="21"/>
      <c r="CC209" s="21"/>
      <c r="CD209" s="21"/>
      <c r="CE209" s="21"/>
      <c r="CF209" s="21"/>
      <c r="CG209" s="21"/>
      <c r="CH209" s="21"/>
      <c r="CI209" s="21"/>
      <c r="CJ209" s="21"/>
      <c r="CK209" s="21"/>
      <c r="CL209" s="21"/>
      <c r="CM209" s="21"/>
      <c r="CN209" s="21"/>
      <c r="CO209" s="21"/>
      <c r="CP209" s="21"/>
      <c r="CQ209" s="21"/>
      <c r="CR209" s="21"/>
      <c r="CS209" s="21"/>
      <c r="CT209" s="21"/>
      <c r="CU209" s="21"/>
      <c r="CV209" s="21"/>
      <c r="CW209" s="21"/>
      <c r="CX209" s="21"/>
      <c r="CY209" s="21"/>
      <c r="CZ209" s="21"/>
      <c r="DA209" s="21"/>
      <c r="DB209" s="21"/>
      <c r="DC209" s="21"/>
      <c r="DD209" s="21"/>
      <c r="DE209" s="21"/>
      <c r="DF209" s="21"/>
      <c r="DG209" s="21"/>
      <c r="DH209" s="21"/>
      <c r="DI209" s="21"/>
      <c r="DJ209" s="21"/>
      <c r="DK209" s="21"/>
      <c r="DL209" s="21"/>
      <c r="DM209" s="21"/>
      <c r="DN209" s="21"/>
      <c r="DO209" s="21"/>
      <c r="DP209" s="21"/>
      <c r="DQ209" s="21"/>
      <c r="DR209" s="21"/>
      <c r="DS209" s="21"/>
      <c r="DT209" s="21"/>
    </row>
    <row r="210" spans="1:124" ht="15" thickBot="1" x14ac:dyDescent="0.4">
      <c r="A210" s="89" t="s">
        <v>200</v>
      </c>
    </row>
    <row r="211" spans="1:124" s="22" customFormat="1" ht="29.5" thickTop="1" x14ac:dyDescent="0.35">
      <c r="A211" s="20" t="s">
        <v>198</v>
      </c>
      <c r="B211" s="21">
        <v>1</v>
      </c>
      <c r="C211" s="21">
        <v>45.965855418031836</v>
      </c>
      <c r="D211" s="21">
        <v>52.885784424251824</v>
      </c>
      <c r="E211" s="21">
        <v>60.482621376901378</v>
      </c>
      <c r="F211" s="21">
        <v>68.665218038893585</v>
      </c>
      <c r="G211" s="21">
        <v>77.436213167367043</v>
      </c>
      <c r="H211" s="21">
        <v>86.819274290457599</v>
      </c>
      <c r="I211" s="21">
        <v>97.007845242953138</v>
      </c>
      <c r="J211" s="21">
        <v>108.12682434979411</v>
      </c>
      <c r="K211" s="21">
        <v>120.20402576864771</v>
      </c>
      <c r="L211" s="21">
        <v>133.29285806404164</v>
      </c>
      <c r="M211" s="21">
        <v>147.4641592947408</v>
      </c>
      <c r="N211" s="21">
        <v>162.80409495623982</v>
      </c>
      <c r="O211" s="21">
        <v>179.41372739879699</v>
      </c>
      <c r="P211" s="21">
        <v>197.40295077064025</v>
      </c>
      <c r="Q211" s="21">
        <v>216.8803867094727</v>
      </c>
      <c r="R211" s="21">
        <v>237.92799095042452</v>
      </c>
      <c r="S211" s="21">
        <v>260.57981244098761</v>
      </c>
      <c r="T211" s="21">
        <v>264.01915693948979</v>
      </c>
      <c r="U211" s="21">
        <v>260.5687288350781</v>
      </c>
      <c r="V211" s="21">
        <v>257.2045532284734</v>
      </c>
      <c r="W211" s="21">
        <v>253.92447437444153</v>
      </c>
      <c r="X211" s="21">
        <v>250.7263902738124</v>
      </c>
      <c r="Y211" s="21">
        <v>247.60825128783776</v>
      </c>
      <c r="Z211" s="21">
        <v>244.5680588676432</v>
      </c>
      <c r="AA211" s="21">
        <v>244.5680588676432</v>
      </c>
      <c r="AB211" s="21">
        <v>244.5680588676432</v>
      </c>
      <c r="AC211" s="21">
        <v>244.5680588676432</v>
      </c>
      <c r="AD211" s="21">
        <v>244.5680588676432</v>
      </c>
      <c r="AE211" s="21">
        <v>244.5680588676432</v>
      </c>
      <c r="AF211" s="21">
        <v>244.5680588676432</v>
      </c>
      <c r="AG211" s="21">
        <v>244.5680588676432</v>
      </c>
      <c r="AH211" s="21">
        <v>244.5680588676432</v>
      </c>
      <c r="AI211" s="21">
        <v>244.5680588676432</v>
      </c>
      <c r="AJ211" s="21">
        <v>244.5680588676432</v>
      </c>
      <c r="AK211" s="21">
        <v>244.5680588676432</v>
      </c>
      <c r="AL211" s="21">
        <v>244.5680588676432</v>
      </c>
      <c r="AM211" s="21">
        <v>244.5680588676432</v>
      </c>
      <c r="AN211" s="21">
        <v>244.5680588676432</v>
      </c>
      <c r="AO211" s="21">
        <v>244.5680588676432</v>
      </c>
      <c r="AP211" s="21">
        <v>244.5680588676432</v>
      </c>
      <c r="AQ211" s="21">
        <v>244.5680588676432</v>
      </c>
      <c r="AR211" s="21">
        <v>244.5680588676432</v>
      </c>
      <c r="AS211" s="21">
        <v>244.5680588676432</v>
      </c>
      <c r="AT211" s="21">
        <v>244.5680588676432</v>
      </c>
      <c r="AU211" s="21">
        <v>244.5680588676432</v>
      </c>
      <c r="AV211" s="21">
        <v>244.5680588676432</v>
      </c>
      <c r="AW211" s="21">
        <v>244.5680588676432</v>
      </c>
      <c r="AX211" s="21">
        <v>244.5680588676432</v>
      </c>
      <c r="AY211" s="21">
        <v>244.5680588676432</v>
      </c>
      <c r="AZ211" s="21">
        <v>244.5680588676432</v>
      </c>
      <c r="BA211" s="21">
        <v>244.5680588676432</v>
      </c>
      <c r="BB211" s="21">
        <v>244.5680588676432</v>
      </c>
      <c r="BC211" s="21">
        <v>244.5680588676432</v>
      </c>
      <c r="BD211" s="21">
        <v>244.5680588676432</v>
      </c>
      <c r="BE211" s="21">
        <v>244.5680588676432</v>
      </c>
      <c r="BF211" s="21">
        <v>244.5680588676432</v>
      </c>
      <c r="BG211" s="21">
        <v>244.5680588676432</v>
      </c>
      <c r="BH211" s="21">
        <v>244.5680588676432</v>
      </c>
      <c r="BI211" s="21">
        <v>244.5680588676432</v>
      </c>
      <c r="BJ211" s="21"/>
      <c r="BK211" s="21"/>
      <c r="BL211" s="21"/>
      <c r="BM211" s="21"/>
      <c r="BN211" s="21"/>
      <c r="BO211" s="21"/>
      <c r="BP211" s="21"/>
      <c r="BQ211" s="21"/>
      <c r="BR211" s="21"/>
      <c r="BS211" s="21"/>
      <c r="BT211" s="21"/>
      <c r="BU211" s="21"/>
      <c r="BV211" s="21"/>
      <c r="BW211" s="21"/>
      <c r="BX211" s="21"/>
      <c r="BY211" s="21"/>
      <c r="BZ211" s="21"/>
      <c r="CA211" s="21"/>
      <c r="CB211" s="21"/>
      <c r="CC211" s="21"/>
      <c r="CD211" s="21"/>
      <c r="CE211" s="21"/>
      <c r="CF211" s="21"/>
      <c r="CG211" s="21"/>
      <c r="CH211" s="21"/>
      <c r="CI211" s="21"/>
      <c r="CJ211" s="21"/>
      <c r="CK211" s="21"/>
      <c r="CL211" s="21"/>
      <c r="CM211" s="21"/>
      <c r="CN211" s="21"/>
      <c r="CO211" s="21"/>
      <c r="CP211" s="21"/>
      <c r="CQ211" s="21"/>
      <c r="CR211" s="21"/>
      <c r="CS211" s="21"/>
      <c r="CT211" s="21"/>
      <c r="CU211" s="21"/>
      <c r="CV211" s="21"/>
      <c r="CW211" s="21"/>
      <c r="CX211" s="21"/>
      <c r="CY211" s="21"/>
      <c r="CZ211" s="21"/>
      <c r="DA211" s="21"/>
      <c r="DB211" s="21"/>
      <c r="DC211" s="21"/>
      <c r="DD211" s="21"/>
      <c r="DE211" s="21"/>
      <c r="DF211" s="21"/>
      <c r="DG211" s="21"/>
      <c r="DH211" s="21"/>
      <c r="DI211" s="21"/>
      <c r="DJ211" s="21"/>
      <c r="DK211" s="21"/>
      <c r="DL211" s="21"/>
      <c r="DM211" s="21"/>
      <c r="DN211" s="21"/>
      <c r="DO211" s="21"/>
      <c r="DP211" s="21"/>
      <c r="DQ211" s="21"/>
      <c r="DR211" s="21"/>
      <c r="DS211" s="21"/>
      <c r="DT211" s="21"/>
    </row>
    <row r="212" spans="1:124" s="25" customFormat="1" ht="15" thickBot="1" x14ac:dyDescent="0.4">
      <c r="A212" s="89" t="s">
        <v>199</v>
      </c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  <c r="CA212" s="3"/>
      <c r="CB212" s="3"/>
      <c r="CC212" s="3"/>
      <c r="CD212" s="3"/>
      <c r="CE212" s="3"/>
      <c r="CF212" s="3"/>
      <c r="CG212" s="3"/>
      <c r="CH212" s="3"/>
      <c r="CI212" s="3"/>
      <c r="CJ212" s="3"/>
      <c r="CK212" s="3"/>
      <c r="CL212" s="3"/>
      <c r="CM212" s="3"/>
      <c r="CN212" s="3"/>
      <c r="CO212" s="3"/>
      <c r="CP212" s="3"/>
      <c r="CQ212" s="3"/>
      <c r="CR212" s="3"/>
      <c r="CS212" s="3"/>
      <c r="CT212" s="3"/>
      <c r="CU212" s="3"/>
      <c r="CV212" s="3"/>
      <c r="CW212" s="3"/>
      <c r="CX212" s="3"/>
      <c r="CY212" s="3"/>
      <c r="CZ212" s="3"/>
      <c r="DA212" s="3"/>
      <c r="DB212" s="3"/>
      <c r="DC212" s="3"/>
      <c r="DD212" s="3"/>
      <c r="DE212" s="3"/>
      <c r="DF212" s="3"/>
      <c r="DG212" s="3"/>
      <c r="DH212" s="3"/>
      <c r="DI212" s="3"/>
      <c r="DJ212" s="3"/>
      <c r="DK212" s="3"/>
      <c r="DL212" s="3"/>
      <c r="DM212" s="3"/>
      <c r="DN212" s="3"/>
      <c r="DO212" s="3"/>
      <c r="DP212" s="3"/>
      <c r="DQ212" s="3"/>
      <c r="DR212" s="3"/>
      <c r="DS212" s="3"/>
      <c r="DT212" s="3"/>
    </row>
    <row r="213" spans="1:124" s="22" customFormat="1" ht="29.5" thickTop="1" x14ac:dyDescent="0.35">
      <c r="A213" s="20" t="s">
        <v>198</v>
      </c>
      <c r="B213" s="21">
        <v>1</v>
      </c>
      <c r="C213" s="21">
        <v>35.155481751481716</v>
      </c>
      <c r="D213" s="21">
        <v>44.332282374749177</v>
      </c>
      <c r="E213" s="21">
        <v>55.52901374640512</v>
      </c>
      <c r="F213" s="21">
        <v>69.121567096942428</v>
      </c>
      <c r="G213" s="21">
        <v>85.567382136243751</v>
      </c>
      <c r="H213" s="21">
        <v>105.65996338931656</v>
      </c>
      <c r="I213" s="21">
        <v>130.45068993725823</v>
      </c>
      <c r="J213" s="21">
        <v>161.44727845162271</v>
      </c>
      <c r="K213" s="21">
        <v>200.16812854747508</v>
      </c>
      <c r="L213" s="21">
        <v>248.46508219287259</v>
      </c>
      <c r="M213" s="21">
        <v>291</v>
      </c>
      <c r="N213" s="21">
        <v>289</v>
      </c>
      <c r="O213" s="21">
        <v>297.85766994708598</v>
      </c>
      <c r="P213" s="21">
        <v>290.73542023432384</v>
      </c>
      <c r="Q213" s="21">
        <v>321.96493961973624</v>
      </c>
      <c r="R213" s="21">
        <v>285.95533933101092</v>
      </c>
      <c r="S213" s="21">
        <v>273.6138942404549</v>
      </c>
      <c r="T213" s="21">
        <v>305.71192638335839</v>
      </c>
      <c r="U213" s="21">
        <v>261.30466001826568</v>
      </c>
      <c r="V213" s="21">
        <v>204.04197460433676</v>
      </c>
      <c r="W213" s="21">
        <v>200.13987587411992</v>
      </c>
      <c r="X213" s="21">
        <v>216.98742013606164</v>
      </c>
      <c r="Y213" s="21">
        <v>216.98742013606164</v>
      </c>
      <c r="Z213" s="21">
        <v>300</v>
      </c>
      <c r="AA213" s="21">
        <v>209.66102603523055</v>
      </c>
      <c r="AB213" s="21">
        <v>212.25067459590824</v>
      </c>
      <c r="AC213" s="21">
        <v>213.56558978268362</v>
      </c>
      <c r="AD213" s="21">
        <v>213.56558978268362</v>
      </c>
      <c r="AE213" s="21">
        <v>213.56558978268362</v>
      </c>
      <c r="AF213" s="21">
        <v>213.56558978268362</v>
      </c>
      <c r="AG213" s="21">
        <v>213.56558978268362</v>
      </c>
      <c r="AH213" s="21">
        <v>213.56558978268362</v>
      </c>
      <c r="AI213" s="21">
        <v>213.56558978268362</v>
      </c>
      <c r="AJ213" s="21">
        <v>213.56558978268362</v>
      </c>
      <c r="AK213" s="21">
        <v>213.56558978268362</v>
      </c>
      <c r="AL213" s="21">
        <v>213.56558978268362</v>
      </c>
      <c r="AM213" s="21">
        <v>213.56558978268362</v>
      </c>
      <c r="AN213" s="21">
        <v>213.56558978268362</v>
      </c>
      <c r="AO213" s="21">
        <v>213.56558978268362</v>
      </c>
      <c r="AP213" s="21">
        <v>213.56558978268362</v>
      </c>
      <c r="AQ213" s="21">
        <v>213.56558978268362</v>
      </c>
      <c r="AR213" s="21">
        <v>213.56558978268362</v>
      </c>
      <c r="AS213" s="21">
        <v>213.56558978268362</v>
      </c>
      <c r="AT213" s="21">
        <v>213.56558978268362</v>
      </c>
      <c r="AU213" s="21">
        <v>213.56558978268362</v>
      </c>
      <c r="AV213" s="21">
        <v>213.56558978268362</v>
      </c>
      <c r="AW213" s="21">
        <v>213.56558978268362</v>
      </c>
      <c r="AX213" s="21">
        <v>301.30110664013489</v>
      </c>
      <c r="AY213" s="21">
        <v>200.41389669519512</v>
      </c>
      <c r="AZ213" s="21">
        <v>100.20694834759756</v>
      </c>
      <c r="BA213" s="21">
        <v>50.10347417379878</v>
      </c>
      <c r="BB213" s="21">
        <v>25.05173708689939</v>
      </c>
      <c r="BC213" s="21">
        <v>12.525868543449695</v>
      </c>
      <c r="BD213" s="21">
        <v>6.2629342717248475</v>
      </c>
      <c r="BE213" s="21">
        <v>3.1314671358624238</v>
      </c>
      <c r="BF213" s="21">
        <v>1.5657335679312119</v>
      </c>
      <c r="BG213" s="21">
        <v>0.78286678396560594</v>
      </c>
      <c r="BH213" s="21">
        <v>0.39143339198280297</v>
      </c>
      <c r="BI213" s="21">
        <v>0.19571669599140148</v>
      </c>
      <c r="BJ213" s="21"/>
      <c r="BK213" s="21"/>
      <c r="BL213" s="21"/>
      <c r="BM213" s="21"/>
      <c r="BN213" s="21"/>
      <c r="BO213" s="21"/>
      <c r="BP213" s="21"/>
      <c r="BQ213" s="21"/>
      <c r="BR213" s="21"/>
      <c r="BS213" s="21"/>
      <c r="BT213" s="21"/>
      <c r="BU213" s="21"/>
      <c r="BV213" s="21"/>
      <c r="BW213" s="21"/>
      <c r="BX213" s="21"/>
      <c r="BY213" s="21"/>
      <c r="BZ213" s="21"/>
      <c r="CA213" s="21"/>
      <c r="CB213" s="21"/>
      <c r="CC213" s="21"/>
      <c r="CD213" s="21"/>
      <c r="CE213" s="21"/>
      <c r="CF213" s="21"/>
      <c r="CG213" s="21"/>
      <c r="CH213" s="21"/>
      <c r="CI213" s="21"/>
      <c r="CJ213" s="21"/>
      <c r="CK213" s="21"/>
      <c r="CL213" s="21"/>
      <c r="CM213" s="21"/>
      <c r="CN213" s="21"/>
      <c r="CO213" s="21"/>
      <c r="CP213" s="21"/>
      <c r="CQ213" s="21"/>
      <c r="CR213" s="21"/>
      <c r="CS213" s="21"/>
      <c r="CT213" s="21"/>
      <c r="CU213" s="21"/>
      <c r="CV213" s="21"/>
      <c r="CW213" s="21"/>
      <c r="CX213" s="21"/>
      <c r="CY213" s="21"/>
      <c r="CZ213" s="21"/>
      <c r="DA213" s="21"/>
      <c r="DB213" s="21"/>
      <c r="DC213" s="21"/>
      <c r="DD213" s="21"/>
      <c r="DE213" s="21"/>
      <c r="DF213" s="21"/>
      <c r="DG213" s="21"/>
      <c r="DH213" s="21"/>
      <c r="DI213" s="21"/>
      <c r="DJ213" s="21"/>
      <c r="DK213" s="21"/>
      <c r="DL213" s="21"/>
      <c r="DM213" s="21"/>
      <c r="DN213" s="21"/>
      <c r="DO213" s="21"/>
      <c r="DP213" s="21"/>
      <c r="DQ213" s="21"/>
      <c r="DR213" s="21"/>
      <c r="DS213" s="21"/>
      <c r="DT213" s="21"/>
    </row>
    <row r="216" spans="1:124" ht="20" thickBot="1" x14ac:dyDescent="0.4">
      <c r="A216" s="84" t="s">
        <v>99</v>
      </c>
      <c r="B216" s="3"/>
    </row>
    <row r="217" spans="1:124" ht="15" thickTop="1" x14ac:dyDescent="0.35">
      <c r="A217" s="15" t="s">
        <v>233</v>
      </c>
      <c r="B217" s="3">
        <f t="shared" ref="B217:AU217" si="52">+B118/B105</f>
        <v>2.124572737974987</v>
      </c>
      <c r="C217" s="3">
        <f t="shared" si="52"/>
        <v>2.1234366038346901</v>
      </c>
      <c r="D217" s="3">
        <f t="shared" si="52"/>
        <v>2.1332924287611932</v>
      </c>
      <c r="E217" s="3">
        <f t="shared" si="52"/>
        <v>2.1507447325524622</v>
      </c>
      <c r="F217" s="3">
        <f t="shared" si="52"/>
        <v>2.1726523168085405</v>
      </c>
      <c r="G217" s="3">
        <f t="shared" si="52"/>
        <v>2.1970976430509706</v>
      </c>
      <c r="H217" s="3">
        <f t="shared" si="52"/>
        <v>2.2229074696802806</v>
      </c>
      <c r="I217" s="3">
        <f t="shared" si="52"/>
        <v>2.2493654078465202</v>
      </c>
      <c r="J217" s="3">
        <f t="shared" si="52"/>
        <v>2.2760359363441562</v>
      </c>
      <c r="K217" s="3">
        <f t="shared" si="52"/>
        <v>2.3026539334156482</v>
      </c>
      <c r="L217" s="3">
        <f t="shared" si="52"/>
        <v>2.3290523116952357</v>
      </c>
      <c r="M217" s="3">
        <f t="shared" si="52"/>
        <v>2.3551104789330721</v>
      </c>
      <c r="N217" s="3">
        <f t="shared" si="52"/>
        <v>2.380711583043015</v>
      </c>
      <c r="O217" s="3">
        <f t="shared" si="52"/>
        <v>2.4056986570212193</v>
      </c>
      <c r="P217" s="3">
        <f t="shared" si="52"/>
        <v>2.4298194662354327</v>
      </c>
      <c r="Q217" s="3">
        <f t="shared" si="52"/>
        <v>2.4526469666619</v>
      </c>
      <c r="R217" s="3">
        <f t="shared" si="52"/>
        <v>2.4734559919204639</v>
      </c>
      <c r="S217" s="3">
        <f t="shared" si="52"/>
        <v>2.4910245197776524</v>
      </c>
      <c r="T217" s="3">
        <f t="shared" si="52"/>
        <v>2.5053963641585342</v>
      </c>
      <c r="U217" s="3">
        <f t="shared" si="52"/>
        <v>2.5228834505326154</v>
      </c>
      <c r="V217" s="3">
        <f t="shared" si="52"/>
        <v>2.5424639884832736</v>
      </c>
      <c r="W217" s="3">
        <f t="shared" si="52"/>
        <v>2.563437550204561</v>
      </c>
      <c r="X217" s="3">
        <f t="shared" si="52"/>
        <v>2.5853131535332312</v>
      </c>
      <c r="Y217" s="3">
        <f t="shared" si="52"/>
        <v>2.6077388814031064</v>
      </c>
      <c r="Z217" s="3">
        <f t="shared" si="52"/>
        <v>2.6304571463770547</v>
      </c>
      <c r="AA217" s="3">
        <f t="shared" si="52"/>
        <v>2.6532759444080063</v>
      </c>
      <c r="AB217" s="3">
        <f t="shared" si="52"/>
        <v>2.6760500814531141</v>
      </c>
      <c r="AC217" s="3">
        <f t="shared" si="52"/>
        <v>2.6986686649748011</v>
      </c>
      <c r="AD217" s="3">
        <f t="shared" si="52"/>
        <v>2.7304671935154268</v>
      </c>
      <c r="AE217" s="3">
        <f t="shared" si="52"/>
        <v>2.7423229465326933</v>
      </c>
      <c r="AF217" s="3">
        <f t="shared" si="52"/>
        <v>2.7543769828659008</v>
      </c>
      <c r="AG217" s="3">
        <f t="shared" si="52"/>
        <v>2.7664332531835787</v>
      </c>
      <c r="AH217" s="3">
        <f t="shared" si="52"/>
        <v>2.7783604716305894</v>
      </c>
      <c r="AI217" s="3">
        <f t="shared" si="52"/>
        <v>2.7900721820871341</v>
      </c>
      <c r="AJ217" s="3">
        <f t="shared" si="52"/>
        <v>2.8015129853914682</v>
      </c>
      <c r="AK217" s="3">
        <f t="shared" si="52"/>
        <v>2.8126489928772522</v>
      </c>
      <c r="AL217" s="3">
        <f t="shared" si="52"/>
        <v>2.8234611894341195</v>
      </c>
      <c r="AM217" s="3">
        <f t="shared" si="52"/>
        <v>2.8339408065528633</v>
      </c>
      <c r="AN217" s="3">
        <f t="shared" si="52"/>
        <v>2.8440860887144583</v>
      </c>
      <c r="AO217" s="3">
        <f t="shared" si="52"/>
        <v>2.8539000289745968</v>
      </c>
      <c r="AP217" s="3">
        <f t="shared" si="52"/>
        <v>2.8633887810115652</v>
      </c>
      <c r="AQ217" s="3">
        <f t="shared" si="52"/>
        <v>2.8725605449137146</v>
      </c>
      <c r="AR217" s="3">
        <f t="shared" si="52"/>
        <v>2.8814247858268942</v>
      </c>
      <c r="AS217" s="3">
        <f t="shared" si="52"/>
        <v>2.88999168721115</v>
      </c>
      <c r="AT217" s="3">
        <f t="shared" si="52"/>
        <v>2.8982717699362999</v>
      </c>
      <c r="AU217" s="3">
        <f t="shared" si="52"/>
        <v>2.906275628902061</v>
      </c>
    </row>
    <row r="225" s="3" customFormat="1" x14ac:dyDescent="0.35"/>
    <row r="226" s="3" customFormat="1" x14ac:dyDescent="0.35"/>
    <row r="227" s="3" customFormat="1" x14ac:dyDescent="0.35"/>
    <row r="228" s="3" customFormat="1" x14ac:dyDescent="0.35"/>
    <row r="229" s="3" customFormat="1" x14ac:dyDescent="0.35"/>
    <row r="230" s="3" customFormat="1" x14ac:dyDescent="0.35"/>
    <row r="231" s="3" customFormat="1" x14ac:dyDescent="0.35"/>
    <row r="232" s="3" customFormat="1" x14ac:dyDescent="0.35"/>
    <row r="233" s="3" customFormat="1" x14ac:dyDescent="0.35"/>
    <row r="234" s="3" customFormat="1" x14ac:dyDescent="0.35"/>
    <row r="235" s="3" customFormat="1" x14ac:dyDescent="0.35"/>
    <row r="236" s="3" customFormat="1" x14ac:dyDescent="0.35"/>
    <row r="237" s="3" customFormat="1" x14ac:dyDescent="0.35"/>
    <row r="238" s="3" customFormat="1" x14ac:dyDescent="0.35"/>
    <row r="239" s="3" customFormat="1" x14ac:dyDescent="0.35"/>
    <row r="240" s="3" customFormat="1" x14ac:dyDescent="0.35"/>
    <row r="241" s="3" customFormat="1" x14ac:dyDescent="0.35"/>
    <row r="242" s="3" customFormat="1" x14ac:dyDescent="0.35"/>
    <row r="243" s="3" customFormat="1" x14ac:dyDescent="0.35"/>
    <row r="244" s="3" customFormat="1" x14ac:dyDescent="0.35"/>
    <row r="245" s="3" customFormat="1" x14ac:dyDescent="0.35"/>
    <row r="246" s="3" customFormat="1" x14ac:dyDescent="0.35"/>
    <row r="247" s="3" customFormat="1" x14ac:dyDescent="0.35"/>
    <row r="248" s="3" customFormat="1" x14ac:dyDescent="0.35"/>
    <row r="249" s="3" customFormat="1" x14ac:dyDescent="0.35"/>
    <row r="250" s="3" customFormat="1" x14ac:dyDescent="0.35"/>
    <row r="251" s="3" customFormat="1" x14ac:dyDescent="0.35"/>
    <row r="252" s="3" customFormat="1" x14ac:dyDescent="0.35"/>
    <row r="253" s="3" customFormat="1" x14ac:dyDescent="0.35"/>
    <row r="254" s="3" customFormat="1" x14ac:dyDescent="0.35"/>
    <row r="255" s="3" customFormat="1" x14ac:dyDescent="0.35"/>
    <row r="256" s="3" customFormat="1" x14ac:dyDescent="0.35"/>
    <row r="257" s="3" customFormat="1" x14ac:dyDescent="0.35"/>
    <row r="258" s="3" customFormat="1" x14ac:dyDescent="0.35"/>
    <row r="259" s="3" customFormat="1" x14ac:dyDescent="0.35"/>
    <row r="260" s="3" customFormat="1" x14ac:dyDescent="0.35"/>
    <row r="261" s="3" customFormat="1" x14ac:dyDescent="0.35"/>
    <row r="262" s="3" customFormat="1" x14ac:dyDescent="0.35"/>
    <row r="263" s="3" customFormat="1" x14ac:dyDescent="0.35"/>
    <row r="264" s="3" customFormat="1" x14ac:dyDescent="0.35"/>
    <row r="265" s="3" customFormat="1" x14ac:dyDescent="0.35"/>
    <row r="266" s="3" customFormat="1" x14ac:dyDescent="0.35"/>
    <row r="267" s="3" customFormat="1" x14ac:dyDescent="0.35"/>
    <row r="268" s="3" customFormat="1" x14ac:dyDescent="0.35"/>
    <row r="269" s="3" customFormat="1" x14ac:dyDescent="0.35"/>
    <row r="270" s="3" customFormat="1" x14ac:dyDescent="0.35"/>
    <row r="271" s="3" customFormat="1" x14ac:dyDescent="0.35"/>
    <row r="272" s="3" customFormat="1" x14ac:dyDescent="0.35"/>
    <row r="273" s="3" customFormat="1" x14ac:dyDescent="0.35"/>
    <row r="274" s="3" customFormat="1" x14ac:dyDescent="0.35"/>
    <row r="275" s="3" customFormat="1" x14ac:dyDescent="0.35"/>
    <row r="276" s="3" customFormat="1" x14ac:dyDescent="0.35"/>
    <row r="277" s="3" customFormat="1" x14ac:dyDescent="0.35"/>
    <row r="278" s="3" customFormat="1" x14ac:dyDescent="0.35"/>
    <row r="279" s="3" customFormat="1" x14ac:dyDescent="0.35"/>
    <row r="280" s="3" customFormat="1" x14ac:dyDescent="0.35"/>
    <row r="281" s="3" customFormat="1" x14ac:dyDescent="0.35"/>
    <row r="282" s="3" customFormat="1" x14ac:dyDescent="0.35"/>
    <row r="283" s="3" customFormat="1" x14ac:dyDescent="0.35"/>
    <row r="284" s="3" customFormat="1" x14ac:dyDescent="0.35"/>
    <row r="285" s="3" customFormat="1" x14ac:dyDescent="0.35"/>
    <row r="286" s="3" customFormat="1" x14ac:dyDescent="0.35"/>
    <row r="287" s="3" customFormat="1" x14ac:dyDescent="0.35"/>
    <row r="288" s="3" customFormat="1" x14ac:dyDescent="0.35"/>
    <row r="289" s="3" customFormat="1" x14ac:dyDescent="0.35"/>
    <row r="290" s="3" customFormat="1" x14ac:dyDescent="0.35"/>
    <row r="291" s="3" customFormat="1" x14ac:dyDescent="0.35"/>
    <row r="292" s="3" customFormat="1" x14ac:dyDescent="0.35"/>
    <row r="293" s="3" customFormat="1" x14ac:dyDescent="0.35"/>
    <row r="294" s="3" customFormat="1" x14ac:dyDescent="0.35"/>
    <row r="295" s="3" customFormat="1" x14ac:dyDescent="0.35"/>
    <row r="296" s="3" customFormat="1" x14ac:dyDescent="0.35"/>
    <row r="297" s="3" customFormat="1" x14ac:dyDescent="0.35"/>
    <row r="298" s="3" customFormat="1" x14ac:dyDescent="0.35"/>
    <row r="299" s="3" customFormat="1" x14ac:dyDescent="0.35"/>
    <row r="300" s="3" customFormat="1" x14ac:dyDescent="0.35"/>
    <row r="301" s="3" customFormat="1" x14ac:dyDescent="0.35"/>
    <row r="302" s="3" customFormat="1" x14ac:dyDescent="0.35"/>
    <row r="303" s="3" customFormat="1" x14ac:dyDescent="0.35"/>
    <row r="304" s="3" customFormat="1" x14ac:dyDescent="0.35"/>
    <row r="305" s="3" customFormat="1" x14ac:dyDescent="0.35"/>
    <row r="306" s="3" customFormat="1" x14ac:dyDescent="0.35"/>
    <row r="307" s="3" customFormat="1" x14ac:dyDescent="0.35"/>
    <row r="308" s="3" customFormat="1" x14ac:dyDescent="0.35"/>
    <row r="309" s="3" customFormat="1" x14ac:dyDescent="0.35"/>
    <row r="310" s="3" customFormat="1" x14ac:dyDescent="0.35"/>
    <row r="311" s="3" customFormat="1" x14ac:dyDescent="0.35"/>
    <row r="312" s="3" customFormat="1" x14ac:dyDescent="0.35"/>
    <row r="313" s="3" customFormat="1" x14ac:dyDescent="0.35"/>
    <row r="314" s="3" customFormat="1" x14ac:dyDescent="0.35"/>
    <row r="315" s="3" customFormat="1" x14ac:dyDescent="0.35"/>
    <row r="316" s="3" customFormat="1" x14ac:dyDescent="0.35"/>
    <row r="317" s="3" customFormat="1" x14ac:dyDescent="0.35"/>
    <row r="318" s="3" customFormat="1" x14ac:dyDescent="0.35"/>
    <row r="319" s="3" customFormat="1" x14ac:dyDescent="0.35"/>
    <row r="320" s="3" customFormat="1" x14ac:dyDescent="0.35"/>
    <row r="321" s="3" customFormat="1" x14ac:dyDescent="0.35"/>
    <row r="322" s="3" customFormat="1" x14ac:dyDescent="0.35"/>
    <row r="323" s="3" customFormat="1" x14ac:dyDescent="0.35"/>
    <row r="324" s="3" customFormat="1" x14ac:dyDescent="0.35"/>
    <row r="325" s="3" customFormat="1" x14ac:dyDescent="0.35"/>
    <row r="326" s="3" customFormat="1" x14ac:dyDescent="0.35"/>
    <row r="327" s="3" customFormat="1" x14ac:dyDescent="0.35"/>
    <row r="328" s="3" customFormat="1" x14ac:dyDescent="0.35"/>
    <row r="329" s="3" customFormat="1" x14ac:dyDescent="0.35"/>
    <row r="330" s="3" customFormat="1" x14ac:dyDescent="0.35"/>
    <row r="331" s="3" customFormat="1" x14ac:dyDescent="0.35"/>
    <row r="332" s="3" customFormat="1" x14ac:dyDescent="0.35"/>
    <row r="333" s="3" customFormat="1" x14ac:dyDescent="0.35"/>
    <row r="334" s="3" customFormat="1" x14ac:dyDescent="0.35"/>
    <row r="335" s="3" customFormat="1" x14ac:dyDescent="0.35"/>
    <row r="336" s="3" customFormat="1" x14ac:dyDescent="0.35"/>
    <row r="337" s="3" customFormat="1" x14ac:dyDescent="0.35"/>
    <row r="338" s="3" customFormat="1" x14ac:dyDescent="0.35"/>
    <row r="339" s="3" customFormat="1" x14ac:dyDescent="0.35"/>
    <row r="340" s="3" customFormat="1" x14ac:dyDescent="0.35"/>
    <row r="341" s="3" customFormat="1" x14ac:dyDescent="0.35"/>
    <row r="342" s="3" customFormat="1" x14ac:dyDescent="0.35"/>
    <row r="343" s="3" customFormat="1" x14ac:dyDescent="0.35"/>
    <row r="344" s="3" customFormat="1" x14ac:dyDescent="0.35"/>
    <row r="345" s="3" customFormat="1" x14ac:dyDescent="0.35"/>
    <row r="346" s="3" customFormat="1" x14ac:dyDescent="0.35"/>
    <row r="347" s="3" customFormat="1" x14ac:dyDescent="0.35"/>
    <row r="348" s="3" customFormat="1" x14ac:dyDescent="0.35"/>
    <row r="349" s="3" customFormat="1" x14ac:dyDescent="0.35"/>
    <row r="350" s="3" customFormat="1" x14ac:dyDescent="0.35"/>
    <row r="351" s="3" customFormat="1" x14ac:dyDescent="0.35"/>
    <row r="352" s="3" customFormat="1" x14ac:dyDescent="0.35"/>
    <row r="353" s="3" customFormat="1" x14ac:dyDescent="0.35"/>
    <row r="354" s="3" customFormat="1" x14ac:dyDescent="0.35"/>
    <row r="355" s="3" customFormat="1" x14ac:dyDescent="0.35"/>
    <row r="356" s="3" customFormat="1" x14ac:dyDescent="0.35"/>
    <row r="357" s="3" customFormat="1" x14ac:dyDescent="0.35"/>
    <row r="358" s="3" customFormat="1" x14ac:dyDescent="0.35"/>
    <row r="359" s="3" customFormat="1" x14ac:dyDescent="0.35"/>
    <row r="360" s="3" customFormat="1" x14ac:dyDescent="0.35"/>
    <row r="361" s="3" customFormat="1" x14ac:dyDescent="0.35"/>
    <row r="362" s="3" customFormat="1" x14ac:dyDescent="0.35"/>
    <row r="363" s="3" customFormat="1" x14ac:dyDescent="0.35"/>
    <row r="364" s="3" customFormat="1" x14ac:dyDescent="0.35"/>
    <row r="365" s="3" customFormat="1" x14ac:dyDescent="0.35"/>
    <row r="366" s="3" customFormat="1" x14ac:dyDescent="0.35"/>
    <row r="367" s="3" customFormat="1" x14ac:dyDescent="0.35"/>
    <row r="368" s="3" customFormat="1" x14ac:dyDescent="0.35"/>
    <row r="369" s="3" customFormat="1" x14ac:dyDescent="0.35"/>
    <row r="370" s="3" customFormat="1" x14ac:dyDescent="0.35"/>
    <row r="371" s="3" customFormat="1" x14ac:dyDescent="0.35"/>
    <row r="372" s="3" customFormat="1" x14ac:dyDescent="0.35"/>
    <row r="373" s="3" customFormat="1" x14ac:dyDescent="0.35"/>
    <row r="374" s="3" customFormat="1" x14ac:dyDescent="0.35"/>
    <row r="375" s="3" customFormat="1" x14ac:dyDescent="0.35"/>
    <row r="376" s="3" customFormat="1" x14ac:dyDescent="0.35"/>
    <row r="377" s="3" customFormat="1" x14ac:dyDescent="0.35"/>
    <row r="378" s="3" customFormat="1" x14ac:dyDescent="0.35"/>
    <row r="379" s="3" customFormat="1" x14ac:dyDescent="0.35"/>
    <row r="380" s="3" customFormat="1" x14ac:dyDescent="0.35"/>
    <row r="381" s="3" customFormat="1" x14ac:dyDescent="0.35"/>
    <row r="382" s="3" customFormat="1" x14ac:dyDescent="0.35"/>
    <row r="383" s="3" customFormat="1" x14ac:dyDescent="0.35"/>
    <row r="384" s="3" customFormat="1" x14ac:dyDescent="0.35"/>
    <row r="385" s="3" customFormat="1" x14ac:dyDescent="0.35"/>
    <row r="386" s="3" customFormat="1" x14ac:dyDescent="0.35"/>
    <row r="387" s="3" customFormat="1" x14ac:dyDescent="0.35"/>
    <row r="388" s="3" customFormat="1" x14ac:dyDescent="0.35"/>
    <row r="389" s="3" customFormat="1" x14ac:dyDescent="0.35"/>
    <row r="390" s="3" customFormat="1" x14ac:dyDescent="0.35"/>
    <row r="391" s="3" customFormat="1" x14ac:dyDescent="0.35"/>
    <row r="392" s="3" customFormat="1" x14ac:dyDescent="0.35"/>
    <row r="393" s="3" customFormat="1" x14ac:dyDescent="0.35"/>
    <row r="394" s="3" customFormat="1" x14ac:dyDescent="0.35"/>
    <row r="395" s="3" customFormat="1" x14ac:dyDescent="0.35"/>
    <row r="396" s="3" customFormat="1" x14ac:dyDescent="0.35"/>
    <row r="397" s="3" customFormat="1" x14ac:dyDescent="0.35"/>
    <row r="398" s="3" customFormat="1" x14ac:dyDescent="0.35"/>
    <row r="399" s="3" customFormat="1" x14ac:dyDescent="0.35"/>
    <row r="400" s="3" customFormat="1" x14ac:dyDescent="0.35"/>
    <row r="401" s="3" customFormat="1" x14ac:dyDescent="0.35"/>
    <row r="402" s="3" customFormat="1" x14ac:dyDescent="0.35"/>
    <row r="403" s="3" customFormat="1" x14ac:dyDescent="0.35"/>
    <row r="404" s="3" customFormat="1" x14ac:dyDescent="0.35"/>
    <row r="405" s="3" customFormat="1" x14ac:dyDescent="0.35"/>
    <row r="406" s="3" customFormat="1" x14ac:dyDescent="0.35"/>
    <row r="407" s="3" customFormat="1" x14ac:dyDescent="0.35"/>
    <row r="408" s="3" customFormat="1" x14ac:dyDescent="0.35"/>
    <row r="409" s="3" customFormat="1" x14ac:dyDescent="0.35"/>
    <row r="410" s="3" customFormat="1" x14ac:dyDescent="0.35"/>
    <row r="411" s="3" customFormat="1" x14ac:dyDescent="0.35"/>
    <row r="412" s="3" customFormat="1" x14ac:dyDescent="0.35"/>
    <row r="413" s="3" customFormat="1" x14ac:dyDescent="0.35"/>
    <row r="414" s="3" customFormat="1" x14ac:dyDescent="0.35"/>
    <row r="415" s="3" customFormat="1" x14ac:dyDescent="0.35"/>
    <row r="416" s="3" customFormat="1" x14ac:dyDescent="0.35"/>
    <row r="417" s="3" customFormat="1" x14ac:dyDescent="0.35"/>
    <row r="418" s="3" customFormat="1" x14ac:dyDescent="0.35"/>
    <row r="419" s="3" customFormat="1" x14ac:dyDescent="0.35"/>
    <row r="420" s="3" customFormat="1" x14ac:dyDescent="0.35"/>
    <row r="421" s="3" customFormat="1" x14ac:dyDescent="0.35"/>
    <row r="422" s="3" customFormat="1" x14ac:dyDescent="0.35"/>
    <row r="423" s="3" customFormat="1" x14ac:dyDescent="0.35"/>
    <row r="424" s="3" customFormat="1" x14ac:dyDescent="0.35"/>
    <row r="425" s="3" customFormat="1" x14ac:dyDescent="0.35"/>
    <row r="426" s="3" customFormat="1" x14ac:dyDescent="0.35"/>
    <row r="427" s="3" customFormat="1" x14ac:dyDescent="0.35"/>
    <row r="428" s="3" customFormat="1" x14ac:dyDescent="0.35"/>
    <row r="429" s="3" customFormat="1" x14ac:dyDescent="0.35"/>
    <row r="430" s="3" customFormat="1" x14ac:dyDescent="0.35"/>
    <row r="431" s="3" customFormat="1" x14ac:dyDescent="0.35"/>
    <row r="432" s="3" customFormat="1" x14ac:dyDescent="0.35"/>
    <row r="433" s="3" customFormat="1" x14ac:dyDescent="0.35"/>
    <row r="434" s="3" customFormat="1" x14ac:dyDescent="0.35"/>
    <row r="435" s="3" customFormat="1" x14ac:dyDescent="0.35"/>
    <row r="436" s="3" customFormat="1" x14ac:dyDescent="0.35"/>
    <row r="437" s="3" customFormat="1" x14ac:dyDescent="0.35"/>
    <row r="438" s="3" customFormat="1" x14ac:dyDescent="0.35"/>
    <row r="439" s="3" customFormat="1" x14ac:dyDescent="0.35"/>
    <row r="440" s="3" customFormat="1" x14ac:dyDescent="0.35"/>
    <row r="441" s="3" customFormat="1" x14ac:dyDescent="0.35"/>
    <row r="442" s="3" customFormat="1" x14ac:dyDescent="0.35"/>
    <row r="443" s="3" customFormat="1" x14ac:dyDescent="0.35"/>
    <row r="444" s="3" customFormat="1" x14ac:dyDescent="0.35"/>
    <row r="445" s="3" customFormat="1" x14ac:dyDescent="0.35"/>
    <row r="446" s="3" customFormat="1" x14ac:dyDescent="0.35"/>
    <row r="447" s="3" customFormat="1" x14ac:dyDescent="0.35"/>
    <row r="448" s="3" customFormat="1" x14ac:dyDescent="0.35"/>
    <row r="449" s="3" customFormat="1" x14ac:dyDescent="0.35"/>
    <row r="450" s="3" customFormat="1" x14ac:dyDescent="0.35"/>
    <row r="451" s="3" customFormat="1" x14ac:dyDescent="0.35"/>
    <row r="452" s="3" customFormat="1" x14ac:dyDescent="0.35"/>
    <row r="453" s="3" customFormat="1" x14ac:dyDescent="0.35"/>
    <row r="454" s="3" customFormat="1" x14ac:dyDescent="0.35"/>
    <row r="455" s="3" customFormat="1" x14ac:dyDescent="0.35"/>
    <row r="456" s="3" customFormat="1" x14ac:dyDescent="0.35"/>
    <row r="457" s="3" customFormat="1" x14ac:dyDescent="0.35"/>
    <row r="458" s="3" customFormat="1" x14ac:dyDescent="0.35"/>
    <row r="459" s="3" customFormat="1" x14ac:dyDescent="0.35"/>
    <row r="460" s="3" customFormat="1" x14ac:dyDescent="0.35"/>
    <row r="461" s="3" customFormat="1" x14ac:dyDescent="0.35"/>
    <row r="462" s="3" customFormat="1" x14ac:dyDescent="0.35"/>
    <row r="463" s="3" customFormat="1" x14ac:dyDescent="0.35"/>
    <row r="464" s="3" customFormat="1" x14ac:dyDescent="0.35"/>
    <row r="465" s="3" customFormat="1" x14ac:dyDescent="0.35"/>
    <row r="466" s="3" customFormat="1" x14ac:dyDescent="0.35"/>
    <row r="467" s="3" customFormat="1" x14ac:dyDescent="0.35"/>
    <row r="468" s="3" customFormat="1" x14ac:dyDescent="0.35"/>
    <row r="469" s="3" customFormat="1" x14ac:dyDescent="0.35"/>
    <row r="470" s="3" customFormat="1" x14ac:dyDescent="0.35"/>
    <row r="471" s="3" customFormat="1" x14ac:dyDescent="0.35"/>
    <row r="472" s="3" customFormat="1" x14ac:dyDescent="0.35"/>
    <row r="473" s="3" customFormat="1" x14ac:dyDescent="0.35"/>
    <row r="474" s="3" customFormat="1" x14ac:dyDescent="0.35"/>
    <row r="475" s="3" customFormat="1" x14ac:dyDescent="0.35"/>
    <row r="476" s="3" customFormat="1" x14ac:dyDescent="0.35"/>
    <row r="477" s="3" customFormat="1" x14ac:dyDescent="0.35"/>
    <row r="478" s="3" customFormat="1" x14ac:dyDescent="0.35"/>
    <row r="479" s="3" customFormat="1" x14ac:dyDescent="0.35"/>
    <row r="480" s="3" customFormat="1" x14ac:dyDescent="0.35"/>
    <row r="481" s="3" customFormat="1" x14ac:dyDescent="0.35"/>
    <row r="482" s="3" customFormat="1" x14ac:dyDescent="0.35"/>
    <row r="483" s="3" customFormat="1" x14ac:dyDescent="0.35"/>
    <row r="484" s="3" customFormat="1" x14ac:dyDescent="0.35"/>
    <row r="485" s="3" customFormat="1" x14ac:dyDescent="0.35"/>
    <row r="486" s="3" customFormat="1" x14ac:dyDescent="0.35"/>
    <row r="487" s="3" customFormat="1" x14ac:dyDescent="0.35"/>
    <row r="488" s="3" customFormat="1" x14ac:dyDescent="0.35"/>
    <row r="489" s="3" customFormat="1" x14ac:dyDescent="0.35"/>
    <row r="490" s="3" customFormat="1" x14ac:dyDescent="0.35"/>
    <row r="491" s="3" customFormat="1" x14ac:dyDescent="0.35"/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W217"/>
  <sheetViews>
    <sheetView zoomScale="130" zoomScaleNormal="130" workbookViewId="0">
      <pane xSplit="1" ySplit="2" topLeftCell="B123" activePane="bottomRight" state="frozen"/>
      <selection pane="topRight" activeCell="B1" sqref="B1"/>
      <selection pane="bottomLeft" activeCell="A3" sqref="A3"/>
      <selection pane="bottomRight" activeCell="C134" sqref="C134"/>
    </sheetView>
  </sheetViews>
  <sheetFormatPr defaultColWidth="12.36328125" defaultRowHeight="14.5" x14ac:dyDescent="0.35"/>
  <cols>
    <col min="1" max="1" width="40.54296875" style="92" customWidth="1"/>
    <col min="2" max="2" width="14.453125" style="51" customWidth="1"/>
    <col min="3" max="3" width="17.90625" style="3" bestFit="1" customWidth="1"/>
    <col min="4" max="4" width="20.08984375" style="3" bestFit="1" customWidth="1"/>
    <col min="5" max="34" width="12.453125" style="3" bestFit="1" customWidth="1"/>
    <col min="35" max="40" width="14.36328125" style="3" bestFit="1" customWidth="1"/>
    <col min="41" max="124" width="12.453125" style="3" bestFit="1" customWidth="1"/>
    <col min="125" max="16384" width="12.36328125" style="3"/>
  </cols>
  <sheetData>
    <row r="1" spans="1:61" x14ac:dyDescent="0.35">
      <c r="A1" s="92" t="s">
        <v>197</v>
      </c>
      <c r="B1" s="51">
        <v>1</v>
      </c>
      <c r="C1" s="3">
        <v>2</v>
      </c>
      <c r="D1" s="3">
        <v>3</v>
      </c>
      <c r="E1" s="3">
        <v>4</v>
      </c>
      <c r="F1" s="3">
        <v>5</v>
      </c>
      <c r="G1" s="3">
        <v>6</v>
      </c>
      <c r="H1" s="3">
        <v>7</v>
      </c>
      <c r="I1" s="3">
        <v>8</v>
      </c>
      <c r="J1" s="3">
        <v>9</v>
      </c>
      <c r="K1" s="3">
        <v>10</v>
      </c>
      <c r="L1" s="3">
        <v>11</v>
      </c>
      <c r="M1" s="3">
        <v>12</v>
      </c>
      <c r="N1" s="3">
        <v>13</v>
      </c>
      <c r="O1" s="3">
        <v>14</v>
      </c>
      <c r="P1" s="3">
        <v>15</v>
      </c>
      <c r="Q1" s="3">
        <v>16</v>
      </c>
      <c r="R1" s="3">
        <v>17</v>
      </c>
      <c r="S1" s="3">
        <v>18</v>
      </c>
      <c r="T1" s="3">
        <v>19</v>
      </c>
      <c r="U1" s="3">
        <v>20</v>
      </c>
      <c r="V1" s="3">
        <v>21</v>
      </c>
      <c r="W1" s="3">
        <v>22</v>
      </c>
      <c r="X1" s="3">
        <v>23</v>
      </c>
      <c r="Y1" s="3">
        <v>24</v>
      </c>
      <c r="Z1" s="3">
        <v>25</v>
      </c>
      <c r="AA1" s="3">
        <v>26</v>
      </c>
      <c r="AB1" s="3">
        <v>27</v>
      </c>
      <c r="AC1" s="3">
        <v>28</v>
      </c>
      <c r="AD1" s="3">
        <v>29</v>
      </c>
      <c r="AE1" s="3">
        <v>30</v>
      </c>
      <c r="AF1" s="3">
        <v>31</v>
      </c>
      <c r="AG1" s="3">
        <v>32</v>
      </c>
      <c r="AH1" s="3">
        <v>33</v>
      </c>
      <c r="AI1" s="3">
        <v>34</v>
      </c>
      <c r="AJ1" s="3">
        <v>35</v>
      </c>
      <c r="AK1" s="3">
        <v>36</v>
      </c>
      <c r="AL1" s="3">
        <v>37</v>
      </c>
      <c r="AM1" s="3">
        <v>38</v>
      </c>
      <c r="AN1" s="3">
        <v>39</v>
      </c>
      <c r="AO1" s="3">
        <f>+AN1+1</f>
        <v>40</v>
      </c>
      <c r="AP1" s="3">
        <f t="shared" ref="AP1:BI1" si="0">+AO1+1</f>
        <v>41</v>
      </c>
      <c r="AQ1" s="3">
        <f t="shared" si="0"/>
        <v>42</v>
      </c>
      <c r="AR1" s="3">
        <f t="shared" si="0"/>
        <v>43</v>
      </c>
      <c r="AS1" s="3">
        <f t="shared" si="0"/>
        <v>44</v>
      </c>
      <c r="AT1" s="3">
        <f t="shared" si="0"/>
        <v>45</v>
      </c>
      <c r="AU1" s="3">
        <f t="shared" si="0"/>
        <v>46</v>
      </c>
      <c r="AV1" s="3">
        <f t="shared" si="0"/>
        <v>47</v>
      </c>
      <c r="AW1" s="3">
        <f t="shared" si="0"/>
        <v>48</v>
      </c>
      <c r="AX1" s="3">
        <f t="shared" si="0"/>
        <v>49</v>
      </c>
      <c r="AY1" s="3">
        <f t="shared" si="0"/>
        <v>50</v>
      </c>
      <c r="AZ1" s="3">
        <f t="shared" si="0"/>
        <v>51</v>
      </c>
      <c r="BA1" s="3">
        <f t="shared" si="0"/>
        <v>52</v>
      </c>
      <c r="BB1" s="3">
        <f t="shared" si="0"/>
        <v>53</v>
      </c>
      <c r="BC1" s="3">
        <f t="shared" si="0"/>
        <v>54</v>
      </c>
      <c r="BD1" s="3">
        <f t="shared" si="0"/>
        <v>55</v>
      </c>
      <c r="BE1" s="3">
        <f t="shared" si="0"/>
        <v>56</v>
      </c>
      <c r="BF1" s="3">
        <f t="shared" si="0"/>
        <v>57</v>
      </c>
      <c r="BG1" s="3">
        <f t="shared" si="0"/>
        <v>58</v>
      </c>
      <c r="BH1" s="3">
        <f t="shared" si="0"/>
        <v>59</v>
      </c>
      <c r="BI1" s="3">
        <f t="shared" si="0"/>
        <v>60</v>
      </c>
    </row>
    <row r="2" spans="1:61" s="5" customFormat="1" x14ac:dyDescent="0.35">
      <c r="A2" s="102"/>
      <c r="B2" s="4">
        <v>2010</v>
      </c>
      <c r="C2" s="5">
        <f>+B2+Parameters!$B$21</f>
        <v>2015</v>
      </c>
      <c r="D2" s="5">
        <f>+C2+Parameters!$B$21</f>
        <v>2020</v>
      </c>
      <c r="E2" s="5">
        <f>+D2+Parameters!$B$21</f>
        <v>2025</v>
      </c>
      <c r="F2" s="5">
        <f>+E2+Parameters!$B$21</f>
        <v>2030</v>
      </c>
      <c r="G2" s="5">
        <f>+F2+Parameters!$B$21</f>
        <v>2035</v>
      </c>
      <c r="H2" s="5">
        <f>+G2+Parameters!$B$21</f>
        <v>2040</v>
      </c>
      <c r="I2" s="5">
        <f>+H2+Parameters!$B$21</f>
        <v>2045</v>
      </c>
      <c r="J2" s="5">
        <f>+I2+Parameters!$B$21</f>
        <v>2050</v>
      </c>
      <c r="K2" s="5">
        <f>+J2+Parameters!$B$21</f>
        <v>2055</v>
      </c>
      <c r="L2" s="5">
        <f>+K2+Parameters!$B$21</f>
        <v>2060</v>
      </c>
      <c r="M2" s="5">
        <f>+L2+Parameters!$B$21</f>
        <v>2065</v>
      </c>
      <c r="N2" s="5">
        <f>+M2+Parameters!$B$21</f>
        <v>2070</v>
      </c>
      <c r="O2" s="5">
        <f>+N2+Parameters!$B$21</f>
        <v>2075</v>
      </c>
      <c r="P2" s="5">
        <f>+O2+Parameters!$B$21</f>
        <v>2080</v>
      </c>
      <c r="Q2" s="5">
        <f>+P2+Parameters!$B$21</f>
        <v>2085</v>
      </c>
      <c r="R2" s="5">
        <f>+Q2+Parameters!$B$21</f>
        <v>2090</v>
      </c>
      <c r="S2" s="5">
        <f>+R2+Parameters!$B$21</f>
        <v>2095</v>
      </c>
      <c r="T2" s="5">
        <f>+S2+Parameters!$B$21</f>
        <v>2100</v>
      </c>
      <c r="U2" s="5">
        <f>+T2+Parameters!$B$21</f>
        <v>2105</v>
      </c>
      <c r="V2" s="5">
        <f>+U2+Parameters!$B$21</f>
        <v>2110</v>
      </c>
      <c r="W2" s="5">
        <f>+V2+Parameters!$B$21</f>
        <v>2115</v>
      </c>
      <c r="X2" s="5">
        <f>+W2+Parameters!$B$21</f>
        <v>2120</v>
      </c>
      <c r="Y2" s="5">
        <f>+X2+Parameters!$B$21</f>
        <v>2125</v>
      </c>
      <c r="Z2" s="5">
        <f>+Y2+Parameters!$B$21</f>
        <v>2130</v>
      </c>
      <c r="AA2" s="5">
        <f>+Z2+Parameters!$B$21</f>
        <v>2135</v>
      </c>
      <c r="AB2" s="5">
        <f>+AA2+Parameters!$B$21</f>
        <v>2140</v>
      </c>
      <c r="AC2" s="5">
        <f>+AB2+Parameters!$B$21</f>
        <v>2145</v>
      </c>
      <c r="AD2" s="5">
        <f>+AC2+Parameters!$B$21</f>
        <v>2150</v>
      </c>
      <c r="AE2" s="5">
        <f>+AD2+Parameters!$B$21</f>
        <v>2155</v>
      </c>
      <c r="AF2" s="5">
        <f>+AE2+Parameters!$B$21</f>
        <v>2160</v>
      </c>
      <c r="AG2" s="5">
        <f>+AF2+Parameters!$B$21</f>
        <v>2165</v>
      </c>
      <c r="AH2" s="5">
        <f>+AG2+Parameters!$B$21</f>
        <v>2170</v>
      </c>
      <c r="AI2" s="5">
        <f>+AH2+Parameters!$B$21</f>
        <v>2175</v>
      </c>
      <c r="AJ2" s="5">
        <f>+AI2+Parameters!$B$21</f>
        <v>2180</v>
      </c>
      <c r="AK2" s="5">
        <f>+AJ2+Parameters!$B$21</f>
        <v>2185</v>
      </c>
      <c r="AL2" s="5">
        <f>+AK2+Parameters!$B$21</f>
        <v>2190</v>
      </c>
      <c r="AM2" s="5">
        <f>+AL2+Parameters!$B$21</f>
        <v>2195</v>
      </c>
      <c r="AN2" s="5">
        <f>+AM2+Parameters!$B$21</f>
        <v>2200</v>
      </c>
      <c r="AO2" s="5">
        <f>+AN2+Parameters!$B$21</f>
        <v>2205</v>
      </c>
      <c r="AP2" s="5">
        <f>+AO2+Parameters!$B$21</f>
        <v>2210</v>
      </c>
      <c r="AQ2" s="5">
        <f>+AP2+Parameters!$B$21</f>
        <v>2215</v>
      </c>
      <c r="AR2" s="5">
        <f>+AQ2+Parameters!$B$21</f>
        <v>2220</v>
      </c>
      <c r="AS2" s="5">
        <f>+AR2+Parameters!$B$21</f>
        <v>2225</v>
      </c>
      <c r="AT2" s="5">
        <f>+AS2+Parameters!$B$21</f>
        <v>2230</v>
      </c>
      <c r="AU2" s="5">
        <f>+AT2+Parameters!$B$21</f>
        <v>2235</v>
      </c>
      <c r="AV2" s="5">
        <f>+AU2+Parameters!$B$21</f>
        <v>2240</v>
      </c>
      <c r="AW2" s="5">
        <f>+AV2+Parameters!$B$21</f>
        <v>2245</v>
      </c>
      <c r="AX2" s="5">
        <f>+AW2+Parameters!$B$21</f>
        <v>2250</v>
      </c>
      <c r="AY2" s="5">
        <f>+AX2+Parameters!$B$21</f>
        <v>2255</v>
      </c>
      <c r="AZ2" s="5">
        <f>+AY2+Parameters!$B$21</f>
        <v>2260</v>
      </c>
      <c r="BA2" s="5">
        <f>+AZ2+Parameters!$B$21</f>
        <v>2265</v>
      </c>
      <c r="BB2" s="5">
        <f>+BA2+Parameters!$B$21</f>
        <v>2270</v>
      </c>
      <c r="BC2" s="5">
        <f>+BB2+Parameters!$B$21</f>
        <v>2275</v>
      </c>
      <c r="BD2" s="5">
        <f>+BC2+Parameters!$B$21</f>
        <v>2280</v>
      </c>
      <c r="BE2" s="5">
        <f>+BD2+Parameters!$B$21</f>
        <v>2285</v>
      </c>
      <c r="BF2" s="5">
        <f>+BE2+Parameters!$B$21</f>
        <v>2290</v>
      </c>
      <c r="BG2" s="5">
        <f>+BF2+Parameters!$B$21</f>
        <v>2295</v>
      </c>
      <c r="BH2" s="5">
        <f>+BG2+Parameters!$B$21</f>
        <v>2300</v>
      </c>
      <c r="BI2" s="5">
        <f>+BH2+Parameters!$B$21</f>
        <v>2305</v>
      </c>
    </row>
    <row r="3" spans="1:61" ht="23" thickBot="1" x14ac:dyDescent="0.4">
      <c r="A3" s="88" t="s">
        <v>201</v>
      </c>
    </row>
    <row r="4" spans="1:61" ht="18" thickTop="1" thickBot="1" x14ac:dyDescent="0.4">
      <c r="A4" s="93" t="s">
        <v>35</v>
      </c>
    </row>
    <row r="5" spans="1:61" ht="21" customHeight="1" thickTop="1" x14ac:dyDescent="0.35">
      <c r="A5" s="92" t="s">
        <v>51</v>
      </c>
      <c r="B5" s="51">
        <f>+Base!B5</f>
        <v>0.3</v>
      </c>
    </row>
    <row r="6" spans="1:61" ht="21" customHeight="1" x14ac:dyDescent="0.35">
      <c r="A6" s="92" t="s">
        <v>144</v>
      </c>
      <c r="B6" s="51">
        <f>+Base!B6</f>
        <v>0.1</v>
      </c>
    </row>
    <row r="7" spans="1:61" ht="1.75" hidden="1" customHeight="1" x14ac:dyDescent="0.35">
      <c r="A7" s="113" t="s">
        <v>167</v>
      </c>
      <c r="B7" s="114">
        <f>+Parameters!B22*Parameters!B23</f>
        <v>0</v>
      </c>
    </row>
    <row r="8" spans="1:61" ht="21" hidden="1" customHeight="1" x14ac:dyDescent="0.35">
      <c r="A8" s="113" t="s">
        <v>168</v>
      </c>
      <c r="B8" s="114">
        <f>1-Parameters!B24</f>
        <v>0.5</v>
      </c>
    </row>
    <row r="9" spans="1:61" ht="21" hidden="1" customHeight="1" x14ac:dyDescent="0.35">
      <c r="A9" s="113" t="s">
        <v>179</v>
      </c>
      <c r="B9" s="115">
        <f>+B7*B8</f>
        <v>0</v>
      </c>
    </row>
    <row r="10" spans="1:61" ht="21" hidden="1" customHeight="1" x14ac:dyDescent="0.35">
      <c r="A10" s="13" t="s">
        <v>315</v>
      </c>
      <c r="B10" s="8">
        <f>+B6+B9</f>
        <v>0.1</v>
      </c>
    </row>
    <row r="11" spans="1:61" ht="21" customHeight="1" x14ac:dyDescent="0.35">
      <c r="A11" s="92" t="s">
        <v>22</v>
      </c>
      <c r="B11" s="51">
        <f>+Base!B11</f>
        <v>66.95</v>
      </c>
    </row>
    <row r="12" spans="1:61" ht="21" customHeight="1" x14ac:dyDescent="0.35">
      <c r="A12" s="92" t="s">
        <v>13</v>
      </c>
      <c r="B12" s="51">
        <f>+Base!B12</f>
        <v>135</v>
      </c>
    </row>
    <row r="13" spans="1:61" ht="21" customHeight="1" x14ac:dyDescent="0.35">
      <c r="A13" s="92" t="s">
        <v>71</v>
      </c>
      <c r="B13" s="51">
        <f>+Base!B13</f>
        <v>3.7976214000000001</v>
      </c>
    </row>
    <row r="14" spans="1:61" ht="21" customHeight="1" thickBot="1" x14ac:dyDescent="0.4">
      <c r="A14" s="93" t="s">
        <v>52</v>
      </c>
    </row>
    <row r="15" spans="1:61" ht="21" customHeight="1" thickTop="1" x14ac:dyDescent="0.35">
      <c r="A15" s="92" t="s">
        <v>135</v>
      </c>
      <c r="B15" s="51">
        <f>+Base!B15</f>
        <v>1.4999999999999999E-2</v>
      </c>
      <c r="C15" s="3">
        <f>+B15</f>
        <v>1.4999999999999999E-2</v>
      </c>
      <c r="D15" s="3">
        <f t="shared" ref="D15:BI15" si="1">+C15</f>
        <v>1.4999999999999999E-2</v>
      </c>
      <c r="E15" s="3">
        <f t="shared" si="1"/>
        <v>1.4999999999999999E-2</v>
      </c>
      <c r="F15" s="3">
        <f t="shared" si="1"/>
        <v>1.4999999999999999E-2</v>
      </c>
      <c r="G15" s="3">
        <f t="shared" si="1"/>
        <v>1.4999999999999999E-2</v>
      </c>
      <c r="H15" s="3">
        <f t="shared" si="1"/>
        <v>1.4999999999999999E-2</v>
      </c>
      <c r="I15" s="3">
        <f t="shared" si="1"/>
        <v>1.4999999999999999E-2</v>
      </c>
      <c r="J15" s="3">
        <f t="shared" si="1"/>
        <v>1.4999999999999999E-2</v>
      </c>
      <c r="K15" s="3">
        <f t="shared" si="1"/>
        <v>1.4999999999999999E-2</v>
      </c>
      <c r="L15" s="3">
        <f t="shared" si="1"/>
        <v>1.4999999999999999E-2</v>
      </c>
      <c r="M15" s="3">
        <f t="shared" si="1"/>
        <v>1.4999999999999999E-2</v>
      </c>
      <c r="N15" s="3">
        <f t="shared" si="1"/>
        <v>1.4999999999999999E-2</v>
      </c>
      <c r="O15" s="3">
        <f t="shared" si="1"/>
        <v>1.4999999999999999E-2</v>
      </c>
      <c r="P15" s="3">
        <f t="shared" si="1"/>
        <v>1.4999999999999999E-2</v>
      </c>
      <c r="Q15" s="3">
        <f t="shared" si="1"/>
        <v>1.4999999999999999E-2</v>
      </c>
      <c r="R15" s="3">
        <f t="shared" si="1"/>
        <v>1.4999999999999999E-2</v>
      </c>
      <c r="S15" s="3">
        <f t="shared" si="1"/>
        <v>1.4999999999999999E-2</v>
      </c>
      <c r="T15" s="3">
        <f t="shared" si="1"/>
        <v>1.4999999999999999E-2</v>
      </c>
      <c r="U15" s="3">
        <f t="shared" si="1"/>
        <v>1.4999999999999999E-2</v>
      </c>
      <c r="V15" s="3">
        <f t="shared" si="1"/>
        <v>1.4999999999999999E-2</v>
      </c>
      <c r="W15" s="3">
        <f t="shared" si="1"/>
        <v>1.4999999999999999E-2</v>
      </c>
      <c r="X15" s="3">
        <f t="shared" si="1"/>
        <v>1.4999999999999999E-2</v>
      </c>
      <c r="Y15" s="3">
        <f t="shared" si="1"/>
        <v>1.4999999999999999E-2</v>
      </c>
      <c r="Z15" s="3">
        <f t="shared" si="1"/>
        <v>1.4999999999999999E-2</v>
      </c>
      <c r="AA15" s="3">
        <f t="shared" si="1"/>
        <v>1.4999999999999999E-2</v>
      </c>
      <c r="AB15" s="3">
        <f t="shared" si="1"/>
        <v>1.4999999999999999E-2</v>
      </c>
      <c r="AC15" s="3">
        <f t="shared" si="1"/>
        <v>1.4999999999999999E-2</v>
      </c>
      <c r="AD15" s="3">
        <f t="shared" si="1"/>
        <v>1.4999999999999999E-2</v>
      </c>
      <c r="AE15" s="3">
        <f t="shared" si="1"/>
        <v>1.4999999999999999E-2</v>
      </c>
      <c r="AF15" s="3">
        <f t="shared" si="1"/>
        <v>1.4999999999999999E-2</v>
      </c>
      <c r="AG15" s="3">
        <f t="shared" si="1"/>
        <v>1.4999999999999999E-2</v>
      </c>
      <c r="AH15" s="3">
        <f t="shared" si="1"/>
        <v>1.4999999999999999E-2</v>
      </c>
      <c r="AI15" s="3">
        <f t="shared" si="1"/>
        <v>1.4999999999999999E-2</v>
      </c>
      <c r="AJ15" s="3">
        <f t="shared" si="1"/>
        <v>1.4999999999999999E-2</v>
      </c>
      <c r="AK15" s="3">
        <f t="shared" si="1"/>
        <v>1.4999999999999999E-2</v>
      </c>
      <c r="AL15" s="3">
        <f t="shared" si="1"/>
        <v>1.4999999999999999E-2</v>
      </c>
      <c r="AM15" s="3">
        <f t="shared" si="1"/>
        <v>1.4999999999999999E-2</v>
      </c>
      <c r="AN15" s="3">
        <f t="shared" si="1"/>
        <v>1.4999999999999999E-2</v>
      </c>
      <c r="AO15" s="3">
        <f t="shared" si="1"/>
        <v>1.4999999999999999E-2</v>
      </c>
      <c r="AP15" s="3">
        <f t="shared" si="1"/>
        <v>1.4999999999999999E-2</v>
      </c>
      <c r="AQ15" s="3">
        <f t="shared" si="1"/>
        <v>1.4999999999999999E-2</v>
      </c>
      <c r="AR15" s="3">
        <f t="shared" si="1"/>
        <v>1.4999999999999999E-2</v>
      </c>
      <c r="AS15" s="3">
        <f t="shared" si="1"/>
        <v>1.4999999999999999E-2</v>
      </c>
      <c r="AT15" s="3">
        <f t="shared" si="1"/>
        <v>1.4999999999999999E-2</v>
      </c>
      <c r="AU15" s="3">
        <f t="shared" si="1"/>
        <v>1.4999999999999999E-2</v>
      </c>
      <c r="AV15" s="3">
        <f t="shared" si="1"/>
        <v>1.4999999999999999E-2</v>
      </c>
      <c r="AW15" s="3">
        <f t="shared" si="1"/>
        <v>1.4999999999999999E-2</v>
      </c>
      <c r="AX15" s="3">
        <f t="shared" si="1"/>
        <v>1.4999999999999999E-2</v>
      </c>
      <c r="AY15" s="3">
        <f t="shared" si="1"/>
        <v>1.4999999999999999E-2</v>
      </c>
      <c r="AZ15" s="3">
        <f t="shared" si="1"/>
        <v>1.4999999999999999E-2</v>
      </c>
      <c r="BA15" s="3">
        <f t="shared" si="1"/>
        <v>1.4999999999999999E-2</v>
      </c>
      <c r="BB15" s="3">
        <f t="shared" si="1"/>
        <v>1.4999999999999999E-2</v>
      </c>
      <c r="BC15" s="3">
        <f t="shared" si="1"/>
        <v>1.4999999999999999E-2</v>
      </c>
      <c r="BD15" s="3">
        <f t="shared" si="1"/>
        <v>1.4999999999999999E-2</v>
      </c>
      <c r="BE15" s="3">
        <f t="shared" si="1"/>
        <v>1.4999999999999999E-2</v>
      </c>
      <c r="BF15" s="3">
        <f t="shared" si="1"/>
        <v>1.4999999999999999E-2</v>
      </c>
      <c r="BG15" s="3">
        <f t="shared" si="1"/>
        <v>1.4999999999999999E-2</v>
      </c>
      <c r="BH15" s="3">
        <f t="shared" si="1"/>
        <v>1.4999999999999999E-2</v>
      </c>
      <c r="BI15" s="3">
        <f t="shared" si="1"/>
        <v>1.4999999999999999E-2</v>
      </c>
    </row>
    <row r="16" spans="1:61" ht="19.75" customHeight="1" x14ac:dyDescent="0.35">
      <c r="A16" s="92" t="s">
        <v>143</v>
      </c>
      <c r="B16" s="51">
        <f>+Base!B16</f>
        <v>1.4999999999999999E-2</v>
      </c>
    </row>
    <row r="17" spans="1:124" ht="21" hidden="1" customHeight="1" x14ac:dyDescent="0.35">
      <c r="A17" s="92" t="s">
        <v>169</v>
      </c>
      <c r="B17" s="51">
        <f>+Base!B17</f>
        <v>0</v>
      </c>
    </row>
    <row r="18" spans="1:124" ht="21" customHeight="1" x14ac:dyDescent="0.35">
      <c r="A18" s="92" t="s">
        <v>53</v>
      </c>
      <c r="B18" s="51">
        <f>+Base!B18</f>
        <v>1</v>
      </c>
      <c r="C18" s="3">
        <f t="shared" ref="C18:BI18" si="2">B18/(1+B15)^(C2-B2)</f>
        <v>0.92826032540563996</v>
      </c>
      <c r="D18" s="3">
        <f t="shared" si="2"/>
        <v>0.86166723172218462</v>
      </c>
      <c r="E18" s="3">
        <f t="shared" si="2"/>
        <v>0.79985150490981205</v>
      </c>
      <c r="F18" s="3">
        <f t="shared" si="2"/>
        <v>0.74247041822377302</v>
      </c>
      <c r="G18" s="3">
        <f t="shared" si="2"/>
        <v>0.68920583202446117</v>
      </c>
      <c r="H18" s="3">
        <f t="shared" si="2"/>
        <v>0.63976242990649113</v>
      </c>
      <c r="I18" s="3">
        <f t="shared" si="2"/>
        <v>0.59386608136730235</v>
      </c>
      <c r="J18" s="3">
        <f t="shared" si="2"/>
        <v>0.55126232193738434</v>
      </c>
      <c r="K18" s="3">
        <f t="shared" si="2"/>
        <v>0.51171494234546511</v>
      </c>
      <c r="L18" s="3">
        <f t="shared" si="2"/>
        <v>0.47500467889652975</v>
      </c>
      <c r="M18" s="3">
        <f t="shared" si="2"/>
        <v>0.44092799780169423</v>
      </c>
      <c r="N18" s="3">
        <f t="shared" si="2"/>
        <v>0.40929596671985802</v>
      </c>
      <c r="O18" s="3">
        <f t="shared" si="2"/>
        <v>0.3799332072545914</v>
      </c>
      <c r="P18" s="3">
        <f t="shared" si="2"/>
        <v>0.35267692259855549</v>
      </c>
      <c r="Q18" s="3">
        <f t="shared" si="2"/>
        <v>0.32737599493439484</v>
      </c>
      <c r="R18" s="3">
        <f t="shared" si="2"/>
        <v>0.30389014758779648</v>
      </c>
      <c r="S18" s="3">
        <f t="shared" si="2"/>
        <v>0.2820891672874159</v>
      </c>
      <c r="T18" s="3">
        <f t="shared" si="2"/>
        <v>0.2618521822196227</v>
      </c>
      <c r="U18" s="3">
        <f t="shared" si="2"/>
        <v>0.2430669918753639</v>
      </c>
      <c r="V18" s="3">
        <f t="shared" si="2"/>
        <v>0.22562944497359536</v>
      </c>
      <c r="W18" s="3">
        <f t="shared" si="2"/>
        <v>0.20944286201228357</v>
      </c>
      <c r="X18" s="3">
        <f t="shared" si="2"/>
        <v>0.19441749924541091</v>
      </c>
      <c r="Y18" s="3">
        <f t="shared" si="2"/>
        <v>0.18047005111409589</v>
      </c>
      <c r="Z18" s="3">
        <f t="shared" si="2"/>
        <v>0.16752318837314314</v>
      </c>
      <c r="AA18" s="3">
        <f t="shared" si="2"/>
        <v>0.15550512935224417</v>
      </c>
      <c r="AB18" s="3">
        <f t="shared" si="2"/>
        <v>0.14434924197476032</v>
      </c>
      <c r="AC18" s="3">
        <f t="shared" si="2"/>
        <v>0.13399367432754847</v>
      </c>
      <c r="AD18" s="3">
        <f t="shared" si="2"/>
        <v>0.12438101173358748</v>
      </c>
      <c r="AE18" s="3">
        <f t="shared" si="2"/>
        <v>0.11545795842610264</v>
      </c>
      <c r="AF18" s="3">
        <f t="shared" si="2"/>
        <v>0.10717504205928489</v>
      </c>
      <c r="AG18" s="3">
        <f t="shared" si="2"/>
        <v>9.9486339417314953E-2</v>
      </c>
      <c r="AH18" s="3">
        <f t="shared" si="2"/>
        <v>9.2349221800932732E-2</v>
      </c>
      <c r="AI18" s="3">
        <f t="shared" si="2"/>
        <v>8.5724118679891437E-2</v>
      </c>
      <c r="AJ18" s="3">
        <f t="shared" si="2"/>
        <v>7.9574298300907731E-2</v>
      </c>
      <c r="AK18" s="3">
        <f t="shared" si="2"/>
        <v>7.3865664034726081E-2</v>
      </c>
      <c r="AL18" s="3">
        <f t="shared" si="2"/>
        <v>6.8566565333178509E-2</v>
      </c>
      <c r="AM18" s="3">
        <f t="shared" si="2"/>
        <v>6.3647622248123356E-2</v>
      </c>
      <c r="AN18" s="3">
        <f t="shared" si="2"/>
        <v>5.9081562539338238E-2</v>
      </c>
      <c r="AO18" s="3">
        <f t="shared" si="2"/>
        <v>5.4843070468239781E-2</v>
      </c>
      <c r="AP18" s="3">
        <f t="shared" si="2"/>
        <v>5.0908646439092702E-2</v>
      </c>
      <c r="AQ18" s="3">
        <f t="shared" si="2"/>
        <v>4.7256476709512864E-2</v>
      </c>
      <c r="AR18" s="3">
        <f t="shared" si="2"/>
        <v>4.3866312447896461E-2</v>
      </c>
      <c r="AS18" s="3">
        <f t="shared" si="2"/>
        <v>4.0719357467229843E-2</v>
      </c>
      <c r="AT18" s="3">
        <f t="shared" si="2"/>
        <v>3.779816401283935E-2</v>
      </c>
      <c r="AU18" s="3">
        <f t="shared" si="2"/>
        <v>3.5086536026294003E-2</v>
      </c>
      <c r="AV18" s="3">
        <f t="shared" si="2"/>
        <v>3.2569439349124381E-2</v>
      </c>
      <c r="AW18" s="3">
        <f t="shared" si="2"/>
        <v>3.0232918368497452E-2</v>
      </c>
      <c r="AX18" s="3">
        <f t="shared" si="2"/>
        <v>2.8064018642703595E-2</v>
      </c>
      <c r="AY18" s="3">
        <f t="shared" si="2"/>
        <v>2.6050715077465987E-2</v>
      </c>
      <c r="AZ18" s="3">
        <f t="shared" si="2"/>
        <v>2.4181845254858191E-2</v>
      </c>
      <c r="BA18" s="3">
        <f t="shared" si="2"/>
        <v>2.2447047545183493E-2</v>
      </c>
      <c r="BB18" s="3">
        <f t="shared" si="2"/>
        <v>2.0836703658687901E-2</v>
      </c>
      <c r="BC18" s="3">
        <f t="shared" si="2"/>
        <v>1.9341885318594518E-2</v>
      </c>
      <c r="BD18" s="3">
        <f t="shared" si="2"/>
        <v>1.7954304759797118E-2</v>
      </c>
      <c r="BE18" s="3">
        <f t="shared" si="2"/>
        <v>1.6666268778761303E-2</v>
      </c>
      <c r="BF18" s="3">
        <f t="shared" si="2"/>
        <v>1.5470636079870826E-2</v>
      </c>
      <c r="BG18" s="3">
        <f t="shared" si="2"/>
        <v>1.4360777681733128E-2</v>
      </c>
      <c r="BH18" s="3">
        <f t="shared" si="2"/>
        <v>1.3330540163923646E-2</v>
      </c>
      <c r="BI18" s="3">
        <f t="shared" si="2"/>
        <v>1.2374211550396717E-2</v>
      </c>
    </row>
    <row r="19" spans="1:124" ht="21" customHeight="1" x14ac:dyDescent="0.35">
      <c r="A19" s="92" t="s">
        <v>58</v>
      </c>
      <c r="B19" s="51">
        <f>+Base!B19</f>
        <v>1.45</v>
      </c>
    </row>
    <row r="20" spans="1:124" ht="21" customHeight="1" thickBot="1" x14ac:dyDescent="0.4">
      <c r="A20" s="94" t="s">
        <v>15</v>
      </c>
    </row>
    <row r="21" spans="1:124" ht="21" customHeight="1" thickTop="1" x14ac:dyDescent="0.35">
      <c r="A21" s="92" t="s">
        <v>88</v>
      </c>
      <c r="B21" s="51">
        <f>+Base!B21</f>
        <v>3.7976214000000001</v>
      </c>
      <c r="C21" s="51">
        <f>+Base!C21</f>
        <v>4.1233674267100975</v>
      </c>
      <c r="D21" s="51">
        <f>+Base!D21</f>
        <v>4.4657337879870225</v>
      </c>
      <c r="E21" s="51">
        <f>+Base!E21</f>
        <v>4.8246876450561675</v>
      </c>
      <c r="F21" s="51">
        <f>+Base!F21</f>
        <v>5.2001407372762589</v>
      </c>
      <c r="G21" s="51">
        <f>+Base!G21</f>
        <v>5.5919503241395958</v>
      </c>
      <c r="H21" s="51">
        <f>+Base!H21</f>
        <v>5.9999204992367279</v>
      </c>
      <c r="I21" s="51">
        <f>+Base!I21</f>
        <v>6.4238038470291627</v>
      </c>
      <c r="J21" s="51">
        <f>+Base!J21</f>
        <v>6.8633034110325832</v>
      </c>
      <c r="K21" s="51">
        <f>+Base!K21</f>
        <v>7.3180749403940499</v>
      </c>
      <c r="L21" s="51">
        <f>+Base!L21</f>
        <v>7.7877293808181882</v>
      </c>
      <c r="M21" s="51">
        <f>+Base!M21</f>
        <v>8.2718355753199262</v>
      </c>
      <c r="N21" s="51">
        <f>+Base!N21</f>
        <v>8.7699231403093645</v>
      </c>
      <c r="O21" s="51">
        <f>+Base!O21</f>
        <v>9.2814854829978692</v>
      </c>
      <c r="P21" s="51">
        <f>+Base!P21</f>
        <v>9.805982927000942</v>
      </c>
      <c r="Q21" s="51">
        <f>+Base!Q21</f>
        <v>10.342845914248688</v>
      </c>
      <c r="R21" s="51">
        <f>+Base!R21</f>
        <v>10.891478252845129</v>
      </c>
      <c r="S21" s="51">
        <f>+Base!S21</f>
        <v>11.451260382290016</v>
      </c>
      <c r="T21" s="51">
        <f>+Base!T21</f>
        <v>12.021552629440624</v>
      </c>
      <c r="U21" s="51">
        <f>+Base!U21</f>
        <v>12.601698430697848</v>
      </c>
      <c r="V21" s="51">
        <f>+Base!V21</f>
        <v>13.191027498106218</v>
      </c>
      <c r="W21" s="51">
        <f>+Base!W21</f>
        <v>13.788858909319805</v>
      </c>
      <c r="X21" s="51">
        <f>+Base!X21</f>
        <v>14.394504103668551</v>
      </c>
      <c r="Y21" s="51">
        <f>+Base!Y21</f>
        <v>15.007269768829158</v>
      </c>
      <c r="Z21" s="51">
        <f>+Base!Z21</f>
        <v>15.626460604832571</v>
      </c>
      <c r="AA21" s="51">
        <f>+Base!AA21</f>
        <v>16.251381954301731</v>
      </c>
      <c r="AB21" s="51">
        <f>+Base!AB21</f>
        <v>16.881342289887851</v>
      </c>
      <c r="AC21" s="51">
        <f>+Base!AC21</f>
        <v>17.515655551844304</v>
      </c>
      <c r="AD21" s="51">
        <f>+Base!AD21</f>
        <v>18.153643330531068</v>
      </c>
      <c r="AE21" s="51">
        <f>+Base!AE21</f>
        <v>18.794636890369542</v>
      </c>
      <c r="AF21" s="51">
        <f>+Base!AF21</f>
        <v>19.437979033360847</v>
      </c>
      <c r="AG21" s="51">
        <f>+Base!AG21</f>
        <v>20.08302580173595</v>
      </c>
      <c r="AH21" s="51">
        <f>+Base!AH21</f>
        <v>20.729148020621849</v>
      </c>
      <c r="AI21" s="51">
        <f>+Base!AI21</f>
        <v>21.375732682784619</v>
      </c>
      <c r="AJ21" s="51">
        <f>+Base!AJ21</f>
        <v>22.022184178549967</v>
      </c>
      <c r="AK21" s="51">
        <f>+Base!AK21</f>
        <v>22.667925374908592</v>
      </c>
      <c r="AL21" s="51">
        <f>+Base!AL21</f>
        <v>23.312398548592238</v>
      </c>
      <c r="AM21" s="51">
        <f>+Base!AM21</f>
        <v>23.955066178562941</v>
      </c>
      <c r="AN21" s="51">
        <f>+Base!AN21</f>
        <v>24.595411603899361</v>
      </c>
      <c r="AO21" s="51">
        <f>+Base!AO21</f>
        <v>25.232939553497779</v>
      </c>
      <c r="AP21" s="51">
        <f>+Base!AP21</f>
        <v>25.867176554338993</v>
      </c>
      <c r="AQ21" s="51">
        <f>+Base!AQ21</f>
        <v>26.497671225314146</v>
      </c>
      <c r="AR21" s="51">
        <f>+Base!AR21</f>
        <v>27.123994463760443</v>
      </c>
      <c r="AS21" s="51">
        <f>+Base!AS21</f>
        <v>27.745739531939883</v>
      </c>
      <c r="AT21" s="51">
        <f>+Base!AT21</f>
        <v>28.362522050708495</v>
      </c>
      <c r="AU21" s="51">
        <f>+Base!AU21</f>
        <v>28.973979907577796</v>
      </c>
      <c r="AV21" s="51">
        <f>+Base!AV21</f>
        <v>29.579773086271572</v>
      </c>
      <c r="AW21" s="51">
        <f>+Base!AW21</f>
        <v>30.179583424736954</v>
      </c>
      <c r="AX21" s="51">
        <f>+Base!AX21</f>
        <v>30.773114308385264</v>
      </c>
      <c r="AY21" s="51">
        <f>+Base!AY21</f>
        <v>31.360090305122124</v>
      </c>
      <c r="AZ21" s="51">
        <f>+Base!AZ21</f>
        <v>31.94025674848292</v>
      </c>
      <c r="BA21" s="51">
        <f>+Base!BA21</f>
        <v>32.513379274924787</v>
      </c>
      <c r="BB21" s="51">
        <f>+Base!BB21</f>
        <v>33.07924332104443</v>
      </c>
      <c r="BC21" s="51">
        <f>+Base!BC21</f>
        <v>33.63765358619667</v>
      </c>
      <c r="BD21" s="51">
        <f>+Base!BD21</f>
        <v>34.188433465685904</v>
      </c>
      <c r="BE21" s="51">
        <f>+Base!BE21</f>
        <v>34.73142445939488</v>
      </c>
      <c r="BF21" s="51">
        <f>+Base!BF21</f>
        <v>35.266485560405712</v>
      </c>
      <c r="BG21" s="51">
        <f>+Base!BG21</f>
        <v>35.793492627859642</v>
      </c>
      <c r="BH21" s="51">
        <f>+Base!BH21</f>
        <v>36.312337747996835</v>
      </c>
      <c r="BI21" s="51">
        <f>+Base!BI21</f>
        <v>36.822928587018112</v>
      </c>
      <c r="BJ21" s="51"/>
      <c r="BK21" s="51"/>
      <c r="BL21" s="51"/>
      <c r="BM21" s="51"/>
      <c r="BN21" s="51"/>
      <c r="BO21" s="51"/>
      <c r="BP21" s="51"/>
      <c r="BQ21" s="51"/>
      <c r="BR21" s="51"/>
      <c r="BS21" s="51"/>
      <c r="BT21" s="51"/>
      <c r="BU21" s="51"/>
      <c r="BV21" s="51"/>
      <c r="BW21" s="51"/>
      <c r="BX21" s="51"/>
      <c r="BY21" s="51"/>
      <c r="BZ21" s="51"/>
      <c r="CA21" s="51"/>
      <c r="CB21" s="51"/>
      <c r="CC21" s="51"/>
      <c r="CD21" s="51"/>
      <c r="CE21" s="51"/>
      <c r="CF21" s="51"/>
      <c r="CG21" s="51"/>
      <c r="CH21" s="51"/>
      <c r="CI21" s="51"/>
      <c r="CJ21" s="51"/>
      <c r="CK21" s="51"/>
      <c r="CL21" s="51"/>
      <c r="CM21" s="51"/>
      <c r="CN21" s="51"/>
      <c r="CO21" s="51"/>
      <c r="CP21" s="51"/>
      <c r="CQ21" s="51"/>
      <c r="CR21" s="51"/>
      <c r="CS21" s="51"/>
      <c r="CT21" s="51"/>
      <c r="CU21" s="51"/>
      <c r="CV21" s="51"/>
      <c r="CW21" s="51"/>
      <c r="CX21" s="51"/>
      <c r="CY21" s="51"/>
      <c r="CZ21" s="51"/>
      <c r="DA21" s="51"/>
      <c r="DB21" s="51"/>
      <c r="DC21" s="51"/>
      <c r="DD21" s="51"/>
      <c r="DE21" s="51"/>
      <c r="DF21" s="51"/>
      <c r="DG21" s="51"/>
      <c r="DH21" s="51"/>
      <c r="DI21" s="51"/>
      <c r="DJ21" s="51"/>
      <c r="DK21" s="51"/>
      <c r="DL21" s="51"/>
      <c r="DM21" s="51"/>
      <c r="DN21" s="51"/>
      <c r="DO21" s="51"/>
      <c r="DP21" s="51"/>
      <c r="DQ21" s="51"/>
      <c r="DR21" s="51"/>
      <c r="DS21" s="51"/>
      <c r="DT21" s="51"/>
    </row>
    <row r="22" spans="1:124" ht="21" customHeight="1" x14ac:dyDescent="0.35">
      <c r="A22" s="92" t="s">
        <v>89</v>
      </c>
      <c r="B22" s="51">
        <f>+Base!B22</f>
        <v>3.7976214000000001</v>
      </c>
    </row>
    <row r="23" spans="1:124" ht="21" customHeight="1" x14ac:dyDescent="0.35">
      <c r="A23" s="92" t="s">
        <v>145</v>
      </c>
      <c r="B23" s="3"/>
      <c r="C23" s="51">
        <f>+Base!C23</f>
        <v>7.9000000000000001E-2</v>
      </c>
      <c r="D23" s="51">
        <f>+Base!D23</f>
        <v>7.666519715033214E-2</v>
      </c>
      <c r="E23" s="51">
        <f>+Base!E23</f>
        <v>7.4399398153155646E-2</v>
      </c>
      <c r="F23" s="51">
        <f>+Base!F23</f>
        <v>7.2200563636427031E-2</v>
      </c>
      <c r="G23" s="51">
        <f>+Base!G23</f>
        <v>7.0066714500655436E-2</v>
      </c>
      <c r="H23" s="51">
        <f>+Base!H23</f>
        <v>6.7995930137579569E-2</v>
      </c>
      <c r="I23" s="51">
        <f>+Base!I23</f>
        <v>6.5986346701490492E-2</v>
      </c>
      <c r="J23" s="51">
        <f>+Base!J23</f>
        <v>6.4036155431644787E-2</v>
      </c>
      <c r="K23" s="51">
        <f>+Base!K23</f>
        <v>6.2143601024257727E-2</v>
      </c>
      <c r="L23" s="51">
        <f>+Base!L23</f>
        <v>6.0306980052611397E-2</v>
      </c>
      <c r="M23" s="51">
        <f>+Base!M23</f>
        <v>5.8524639433855712E-2</v>
      </c>
      <c r="N23" s="51">
        <f>+Base!N23</f>
        <v>5.6794974941122171E-2</v>
      </c>
      <c r="O23" s="51">
        <f>+Base!O23</f>
        <v>5.5116429759611452E-2</v>
      </c>
      <c r="P23" s="51">
        <f>+Base!P23</f>
        <v>5.3487493085355005E-2</v>
      </c>
      <c r="Q23" s="51">
        <f>+Base!Q23</f>
        <v>5.1906698765389482E-2</v>
      </c>
      <c r="R23" s="51">
        <f>+Base!R23</f>
        <v>5.0372623978120097E-2</v>
      </c>
      <c r="S23" s="51">
        <f>+Base!S23</f>
        <v>4.8883887952685126E-2</v>
      </c>
      <c r="T23" s="51">
        <f>+Base!T23</f>
        <v>4.7439150726169006E-2</v>
      </c>
      <c r="U23" s="51">
        <f>+Base!U23</f>
        <v>4.6037111937545179E-2</v>
      </c>
      <c r="V23" s="51">
        <f>+Base!V23</f>
        <v>4.4676509657263427E-2</v>
      </c>
      <c r="W23" s="51">
        <f>+Base!W23</f>
        <v>4.3356119251428085E-2</v>
      </c>
      <c r="X23" s="51">
        <f>+Base!X23</f>
        <v>4.207475227954488E-2</v>
      </c>
      <c r="Y23" s="51">
        <f>+Base!Y23</f>
        <v>4.0831255424844247E-2</v>
      </c>
      <c r="Z23" s="51">
        <f>+Base!Z23</f>
        <v>3.9624509456218392E-2</v>
      </c>
      <c r="AA23" s="51">
        <f>+Base!AA23</f>
        <v>3.8453428220837763E-2</v>
      </c>
      <c r="AB23" s="51">
        <f>+Base!AB23</f>
        <v>3.7316957666540161E-2</v>
      </c>
      <c r="AC23" s="51">
        <f>+Base!AC23</f>
        <v>3.6214074893112659E-2</v>
      </c>
      <c r="AD23" s="51">
        <f>+Base!AD23</f>
        <v>3.514378723161235E-2</v>
      </c>
      <c r="AE23" s="51">
        <f>+Base!AE23</f>
        <v>3.4105131350897301E-2</v>
      </c>
      <c r="AF23" s="51">
        <f>+Base!AF23</f>
        <v>3.3097172390563478E-2</v>
      </c>
      <c r="AG23" s="51">
        <f>+Base!AG23</f>
        <v>3.2119003119507335E-2</v>
      </c>
      <c r="AH23" s="51">
        <f>+Base!AH23</f>
        <v>3.116974311935649E-2</v>
      </c>
      <c r="AI23" s="51">
        <f>+Base!AI23</f>
        <v>3.0248537992033853E-2</v>
      </c>
      <c r="AJ23" s="51">
        <f>+Base!AJ23</f>
        <v>2.9354558590741611E-2</v>
      </c>
      <c r="AK23" s="51">
        <f>+Base!AK23</f>
        <v>2.8487000273673187E-2</v>
      </c>
      <c r="AL23" s="51">
        <f>+Base!AL23</f>
        <v>2.7645082179781271E-2</v>
      </c>
      <c r="AM23" s="51">
        <f>+Base!AM23</f>
        <v>2.6828046525950191E-2</v>
      </c>
      <c r="AN23" s="51">
        <f>+Base!AN23</f>
        <v>2.603515792493994E-2</v>
      </c>
      <c r="AO23" s="51">
        <f>+Base!AO23</f>
        <v>2.5265702723488014E-2</v>
      </c>
      <c r="AP23" s="51">
        <f>+Base!AP23</f>
        <v>2.4518988359973317E-2</v>
      </c>
      <c r="AQ23" s="51">
        <f>+Base!AQ23</f>
        <v>2.379434274106397E-2</v>
      </c>
      <c r="AR23" s="51">
        <f>+Base!AR23</f>
        <v>2.3091113636787893E-2</v>
      </c>
      <c r="AS23" s="51">
        <f>+Base!AS23</f>
        <v>2.2408668093481861E-2</v>
      </c>
      <c r="AT23" s="51">
        <f>+Base!AT23</f>
        <v>2.1746391864090435E-2</v>
      </c>
      <c r="AU23" s="51">
        <f>+Base!AU23</f>
        <v>2.1103688855302182E-2</v>
      </c>
      <c r="AV23" s="51">
        <f>+Base!AV23</f>
        <v>2.0479980591025435E-2</v>
      </c>
      <c r="AW23" s="51">
        <f>+Base!AW23</f>
        <v>1.9874705691720763E-2</v>
      </c>
      <c r="AX23" s="51">
        <f>+Base!AX23</f>
        <v>1.9287319369121533E-2</v>
      </c>
      <c r="AY23" s="51">
        <f>+Base!AY23</f>
        <v>1.8717292935887621E-2</v>
      </c>
      <c r="AZ23" s="51">
        <f>+Base!AZ23</f>
        <v>1.8164113329751184E-2</v>
      </c>
      <c r="BA23" s="51">
        <f>+Base!BA23</f>
        <v>1.7627282651725956E-2</v>
      </c>
      <c r="BB23" s="51">
        <f>+Base!BB23</f>
        <v>1.7106317717964559E-2</v>
      </c>
      <c r="BC23" s="51">
        <f>+Base!BC23</f>
        <v>1.6600749624860411E-2</v>
      </c>
      <c r="BD23" s="51">
        <f>+Base!BD23</f>
        <v>1.6110123327002866E-2</v>
      </c>
      <c r="BE23" s="51">
        <f>+Base!BE23</f>
        <v>1.5633997227605563E-2</v>
      </c>
      <c r="BF23" s="51">
        <f>+Base!BF23</f>
        <v>1.5171942781039578E-2</v>
      </c>
      <c r="BG23" s="51">
        <f>+Base!BG23</f>
        <v>1.4723544107113387E-2</v>
      </c>
      <c r="BH23" s="51">
        <f>+Base!BH23</f>
        <v>1.4288397616752647E-2</v>
      </c>
      <c r="BI23" s="51">
        <f>+Base!BI23</f>
        <v>1.3866111648742753E-2</v>
      </c>
    </row>
    <row r="24" spans="1:124" ht="21" customHeight="1" thickBot="1" x14ac:dyDescent="0.4">
      <c r="A24" s="93" t="s">
        <v>50</v>
      </c>
    </row>
    <row r="25" spans="1:124" ht="21" customHeight="1" thickTop="1" x14ac:dyDescent="0.35">
      <c r="A25" s="92" t="s">
        <v>81</v>
      </c>
      <c r="B25" s="51">
        <f>+Base!B25</f>
        <v>0</v>
      </c>
    </row>
    <row r="26" spans="1:124" ht="21" customHeight="1" x14ac:dyDescent="0.35">
      <c r="A26" s="92" t="s">
        <v>82</v>
      </c>
      <c r="B26" s="51">
        <f>+Base!B26</f>
        <v>2.6637500000000003E-3</v>
      </c>
    </row>
    <row r="27" spans="1:124" ht="21" customHeight="1" x14ac:dyDescent="0.35">
      <c r="A27" s="92" t="s">
        <v>20</v>
      </c>
      <c r="B27" s="51">
        <f>+Base!B27</f>
        <v>2</v>
      </c>
    </row>
    <row r="28" spans="1:124" ht="21" customHeight="1" x14ac:dyDescent="0.35">
      <c r="A28" s="92" t="str">
        <f>+Parameters!A18</f>
        <v>Threshold for catastrophic damages</v>
      </c>
      <c r="B28" s="51">
        <f>+Base!B28</f>
        <v>4</v>
      </c>
    </row>
    <row r="29" spans="1:124" ht="21" customHeight="1" x14ac:dyDescent="0.35">
      <c r="A29" s="92" t="str">
        <f>+Parameters!A19</f>
        <v>Exponent for catastrophic damages</v>
      </c>
      <c r="B29" s="51">
        <f>+Base!B29</f>
        <v>3</v>
      </c>
    </row>
    <row r="30" spans="1:124" ht="21" customHeight="1" x14ac:dyDescent="0.35">
      <c r="A30" s="92" t="str">
        <f>+Parameters!A17</f>
        <v>Damage rate at threshold for catastrophic damages</v>
      </c>
      <c r="B30" s="51">
        <f>+Base!B30</f>
        <v>0</v>
      </c>
    </row>
    <row r="31" spans="1:124" ht="21" customHeight="1" thickBot="1" x14ac:dyDescent="0.4">
      <c r="A31" s="93" t="s">
        <v>49</v>
      </c>
    </row>
    <row r="32" spans="1:124" ht="21" customHeight="1" thickTop="1" x14ac:dyDescent="0.35">
      <c r="A32" s="92" t="s">
        <v>36</v>
      </c>
      <c r="B32" s="3">
        <f>+B34*B41/$B39/1000</f>
        <v>6.0074995839112348E-2</v>
      </c>
      <c r="C32" s="3">
        <f t="shared" ref="C32:BI32" si="3">+C34*C41/$B39/1000</f>
        <v>5.5716476125948579E-2</v>
      </c>
      <c r="D32" s="3">
        <f t="shared" si="3"/>
        <v>5.1687067072907732E-2</v>
      </c>
      <c r="E32" s="3">
        <f t="shared" si="3"/>
        <v>4.7960969508636458E-2</v>
      </c>
      <c r="F32" s="3">
        <f t="shared" si="3"/>
        <v>4.4514479113862096E-2</v>
      </c>
      <c r="G32" s="3">
        <f t="shared" si="3"/>
        <v>4.1325810583862081E-2</v>
      </c>
      <c r="H32" s="3">
        <f t="shared" si="3"/>
        <v>3.8374937020832646E-2</v>
      </c>
      <c r="I32" s="3">
        <f t="shared" si="3"/>
        <v>3.5643443197204687E-2</v>
      </c>
      <c r="J32" s="3">
        <f t="shared" si="3"/>
        <v>3.311439145569213E-2</v>
      </c>
      <c r="K32" s="3">
        <f t="shared" si="3"/>
        <v>3.0772199124832176E-2</v>
      </c>
      <c r="L32" s="3">
        <f t="shared" si="3"/>
        <v>2.8602526431127418E-2</v>
      </c>
      <c r="M32" s="3">
        <f t="shared" si="3"/>
        <v>2.6592173981650903E-2</v>
      </c>
      <c r="N32" s="3">
        <f t="shared" si="3"/>
        <v>2.4728988975051856E-2</v>
      </c>
      <c r="O32" s="3">
        <f t="shared" si="3"/>
        <v>2.3001779375133119E-2</v>
      </c>
      <c r="P32" s="3">
        <f t="shared" si="3"/>
        <v>2.1400235350313459E-2</v>
      </c>
      <c r="Q32" s="3">
        <f t="shared" si="3"/>
        <v>1.9914857345015261E-2</v>
      </c>
      <c r="R32" s="3">
        <f t="shared" si="3"/>
        <v>1.8536890205941146E-2</v>
      </c>
      <c r="S32" s="3">
        <f t="shared" si="3"/>
        <v>1.7258262837874048E-2</v>
      </c>
      <c r="T32" s="3">
        <f t="shared" si="3"/>
        <v>1.6071532910550385E-2</v>
      </c>
      <c r="U32" s="3">
        <f t="shared" si="3"/>
        <v>1.4969836180765512E-2</v>
      </c>
      <c r="V32" s="3">
        <f t="shared" si="3"/>
        <v>1.3946840032579743E-2</v>
      </c>
      <c r="W32" s="3">
        <f t="shared" si="3"/>
        <v>1.2996700873668398E-2</v>
      </c>
      <c r="X32" s="3">
        <f t="shared" si="3"/>
        <v>1.2114025057832123E-2</v>
      </c>
      <c r="Y32" s="3">
        <f t="shared" si="3"/>
        <v>1.1293833032752996E-2</v>
      </c>
      <c r="Z32" s="3">
        <f t="shared" si="3"/>
        <v>1.0531526438518842E-2</v>
      </c>
      <c r="AA32" s="3">
        <f t="shared" si="3"/>
        <v>9.8228579064871049E-3</v>
      </c>
      <c r="AB32" s="3">
        <f t="shared" si="3"/>
        <v>9.163903329942269E-3</v>
      </c>
      <c r="AC32" s="3">
        <f t="shared" si="3"/>
        <v>8.5510363979175111E-3</v>
      </c>
      <c r="AD32" s="3">
        <f t="shared" si="3"/>
        <v>7.9809052016832499E-3</v>
      </c>
      <c r="AE32" s="3">
        <f t="shared" si="3"/>
        <v>7.4504107399169621E-3</v>
      </c>
      <c r="AF32" s="3">
        <f t="shared" si="3"/>
        <v>6.9566871636085629E-3</v>
      </c>
      <c r="AG32" s="3">
        <f t="shared" si="3"/>
        <v>6.497083615458683E-3</v>
      </c>
      <c r="AH32" s="3">
        <f t="shared" si="3"/>
        <v>6.0691475310152209E-3</v>
      </c>
      <c r="AI32" s="3">
        <f t="shared" si="3"/>
        <v>5.6706092801773935E-3</v>
      </c>
      <c r="AJ32" s="3">
        <f t="shared" si="3"/>
        <v>5.299368038076303E-3</v>
      </c>
      <c r="AK32" s="3">
        <f t="shared" si="3"/>
        <v>4.9534787838078796E-3</v>
      </c>
      <c r="AL32" s="3">
        <f t="shared" si="3"/>
        <v>4.631140334130277E-3</v>
      </c>
      <c r="AM32" s="3">
        <f t="shared" si="3"/>
        <v>4.3306843271184161E-3</v>
      </c>
      <c r="AN32" s="3">
        <f t="shared" si="3"/>
        <v>4.0505650779612068E-3</v>
      </c>
      <c r="AO32" s="3">
        <f t="shared" si="3"/>
        <v>3.7893502356536506E-3</v>
      </c>
      <c r="AP32" s="3">
        <f t="shared" si="3"/>
        <v>3.5457121753327409E-3</v>
      </c>
      <c r="AQ32" s="3">
        <f t="shared" si="3"/>
        <v>3.3184200664834141E-3</v>
      </c>
      <c r="AR32" s="3">
        <f t="shared" si="3"/>
        <v>3.1063325622451266E-3</v>
      </c>
      <c r="AS32" s="3">
        <f t="shared" si="3"/>
        <v>2.9083910596229097E-3</v>
      </c>
      <c r="AT32" s="3">
        <f t="shared" si="3"/>
        <v>2.7236134845870928E-3</v>
      </c>
      <c r="AU32" s="3">
        <f t="shared" si="3"/>
        <v>2.5510885598679588E-3</v>
      </c>
      <c r="AV32" s="3">
        <f t="shared" si="3"/>
        <v>2.3899705167470639E-3</v>
      </c>
      <c r="AW32" s="3">
        <f t="shared" si="3"/>
        <v>2.2394742153443556E-3</v>
      </c>
      <c r="AX32" s="3">
        <f t="shared" si="3"/>
        <v>2.0988706408258074E-3</v>
      </c>
      <c r="AY32" s="3">
        <f t="shared" si="3"/>
        <v>1.9674827456336989E-3</v>
      </c>
      <c r="AZ32" s="3">
        <f t="shared" si="3"/>
        <v>1.8446816102926501E-3</v>
      </c>
      <c r="BA32" s="3">
        <f t="shared" si="3"/>
        <v>1.7298828975886378E-3</v>
      </c>
      <c r="BB32" s="3">
        <f t="shared" si="3"/>
        <v>1.6225435769735177E-3</v>
      </c>
      <c r="BC32" s="3">
        <f t="shared" si="3"/>
        <v>1.5221588979303421E-3</v>
      </c>
      <c r="BD32" s="3">
        <f t="shared" si="3"/>
        <v>1.4282595927598738E-3</v>
      </c>
      <c r="BE32" s="3">
        <f t="shared" si="3"/>
        <v>1.3404092908297566E-3</v>
      </c>
      <c r="BF32" s="3">
        <f t="shared" si="3"/>
        <v>1.2582021277771501E-3</v>
      </c>
      <c r="BG32" s="3">
        <f t="shared" si="3"/>
        <v>1.1812605344845683E-3</v>
      </c>
      <c r="BH32" s="3">
        <f t="shared" si="3"/>
        <v>1.1092331918674599E-3</v>
      </c>
      <c r="BI32" s="3">
        <f t="shared" si="3"/>
        <v>1.041793138630097E-3</v>
      </c>
    </row>
    <row r="33" spans="1:124" ht="21" customHeight="1" x14ac:dyDescent="0.35">
      <c r="A33" s="92" t="s">
        <v>207</v>
      </c>
      <c r="B33" s="51">
        <f>+Base!B33</f>
        <v>344</v>
      </c>
    </row>
    <row r="34" spans="1:124" ht="21" customHeight="1" x14ac:dyDescent="0.35">
      <c r="A34" s="92" t="s">
        <v>155</v>
      </c>
      <c r="B34" s="51">
        <f>+B33</f>
        <v>344</v>
      </c>
      <c r="C34" s="3">
        <f>+B34*(1-$B$36)</f>
        <v>335.4</v>
      </c>
      <c r="D34" s="3">
        <f>+C34*(1-$B$36)</f>
        <v>327.01499999999999</v>
      </c>
      <c r="E34" s="3">
        <f>+D34*(1-$B$36)</f>
        <v>318.83962499999996</v>
      </c>
      <c r="F34" s="3">
        <f>+E34*(1-$B$36)</f>
        <v>310.86863437499994</v>
      </c>
      <c r="G34" s="3">
        <f>+F34*(1-$B$36)</f>
        <v>303.09691851562496</v>
      </c>
      <c r="H34" s="3">
        <f t="shared" ref="H34:BI34" si="4">+G34*(1-$B$36)</f>
        <v>295.51949555273433</v>
      </c>
      <c r="I34" s="3">
        <f t="shared" si="4"/>
        <v>288.13150816391595</v>
      </c>
      <c r="J34" s="3">
        <f t="shared" si="4"/>
        <v>280.92822045981802</v>
      </c>
      <c r="K34" s="3">
        <f t="shared" si="4"/>
        <v>273.90501494832256</v>
      </c>
      <c r="L34" s="3">
        <f t="shared" si="4"/>
        <v>267.05738957461449</v>
      </c>
      <c r="M34" s="3">
        <f t="shared" si="4"/>
        <v>260.3809548352491</v>
      </c>
      <c r="N34" s="3">
        <f t="shared" si="4"/>
        <v>253.87143096436787</v>
      </c>
      <c r="O34" s="3">
        <f t="shared" si="4"/>
        <v>247.52464519025867</v>
      </c>
      <c r="P34" s="3">
        <f t="shared" si="4"/>
        <v>241.33652906050219</v>
      </c>
      <c r="Q34" s="3">
        <f t="shared" si="4"/>
        <v>235.30311583398964</v>
      </c>
      <c r="R34" s="3">
        <f t="shared" si="4"/>
        <v>229.42053793813989</v>
      </c>
      <c r="S34" s="3">
        <f t="shared" si="4"/>
        <v>223.68502448968638</v>
      </c>
      <c r="T34" s="3">
        <f t="shared" si="4"/>
        <v>218.09289887744421</v>
      </c>
      <c r="U34" s="3">
        <f t="shared" si="4"/>
        <v>212.64057640550811</v>
      </c>
      <c r="V34" s="3">
        <f t="shared" si="4"/>
        <v>207.3245619953704</v>
      </c>
      <c r="W34" s="3">
        <f t="shared" si="4"/>
        <v>202.14144794548614</v>
      </c>
      <c r="X34" s="3">
        <f t="shared" si="4"/>
        <v>197.08791174684899</v>
      </c>
      <c r="Y34" s="3">
        <f t="shared" si="4"/>
        <v>192.16071395317775</v>
      </c>
      <c r="Z34" s="3">
        <f t="shared" si="4"/>
        <v>187.35669610434829</v>
      </c>
      <c r="AA34" s="3">
        <f t="shared" si="4"/>
        <v>182.67277870173959</v>
      </c>
      <c r="AB34" s="3">
        <f t="shared" si="4"/>
        <v>178.10595923419609</v>
      </c>
      <c r="AC34" s="3">
        <f t="shared" si="4"/>
        <v>173.65331025334117</v>
      </c>
      <c r="AD34" s="3">
        <f t="shared" si="4"/>
        <v>169.31197749700763</v>
      </c>
      <c r="AE34" s="3">
        <f t="shared" si="4"/>
        <v>165.07917805958243</v>
      </c>
      <c r="AF34" s="3">
        <f t="shared" si="4"/>
        <v>160.95219860809286</v>
      </c>
      <c r="AG34" s="3">
        <f t="shared" si="4"/>
        <v>156.92839364289054</v>
      </c>
      <c r="AH34" s="3">
        <f t="shared" si="4"/>
        <v>153.00518380181828</v>
      </c>
      <c r="AI34" s="3">
        <f t="shared" si="4"/>
        <v>149.18005420677281</v>
      </c>
      <c r="AJ34" s="3">
        <f t="shared" si="4"/>
        <v>145.45055285160348</v>
      </c>
      <c r="AK34" s="3">
        <f t="shared" si="4"/>
        <v>141.81428903031338</v>
      </c>
      <c r="AL34" s="3">
        <f t="shared" si="4"/>
        <v>138.26893180455554</v>
      </c>
      <c r="AM34" s="3">
        <f t="shared" si="4"/>
        <v>134.81220850944163</v>
      </c>
      <c r="AN34" s="3">
        <f t="shared" si="4"/>
        <v>131.44190329670559</v>
      </c>
      <c r="AO34" s="3">
        <f t="shared" si="4"/>
        <v>128.15585571428795</v>
      </c>
      <c r="AP34" s="3">
        <f t="shared" si="4"/>
        <v>124.95195932143075</v>
      </c>
      <c r="AQ34" s="3">
        <f t="shared" si="4"/>
        <v>121.82816033839498</v>
      </c>
      <c r="AR34" s="3">
        <f t="shared" si="4"/>
        <v>118.7824563299351</v>
      </c>
      <c r="AS34" s="3">
        <f t="shared" si="4"/>
        <v>115.81289492168672</v>
      </c>
      <c r="AT34" s="3">
        <f t="shared" si="4"/>
        <v>112.91757254864454</v>
      </c>
      <c r="AU34" s="3">
        <f t="shared" si="4"/>
        <v>110.09463323492842</v>
      </c>
      <c r="AV34" s="3">
        <f t="shared" si="4"/>
        <v>107.34226740405521</v>
      </c>
      <c r="AW34" s="3">
        <f t="shared" si="4"/>
        <v>104.65871071895383</v>
      </c>
      <c r="AX34" s="3">
        <f t="shared" si="4"/>
        <v>102.04224295097998</v>
      </c>
      <c r="AY34" s="3">
        <f t="shared" si="4"/>
        <v>99.491186877205479</v>
      </c>
      <c r="AZ34" s="3">
        <f t="shared" si="4"/>
        <v>97.00390720527534</v>
      </c>
      <c r="BA34" s="3">
        <f t="shared" si="4"/>
        <v>94.578809525143456</v>
      </c>
      <c r="BB34" s="3">
        <f t="shared" si="4"/>
        <v>92.214339287014866</v>
      </c>
      <c r="BC34" s="3">
        <f t="shared" si="4"/>
        <v>89.908980804839487</v>
      </c>
      <c r="BD34" s="3">
        <f t="shared" si="4"/>
        <v>87.661256284718505</v>
      </c>
      <c r="BE34" s="3">
        <f t="shared" si="4"/>
        <v>85.469724877600541</v>
      </c>
      <c r="BF34" s="3">
        <f t="shared" si="4"/>
        <v>83.332981755660526</v>
      </c>
      <c r="BG34" s="3">
        <f t="shared" si="4"/>
        <v>81.249657211769005</v>
      </c>
      <c r="BH34" s="3">
        <f t="shared" si="4"/>
        <v>79.218415781474775</v>
      </c>
      <c r="BI34" s="3">
        <f t="shared" si="4"/>
        <v>77.237955386937898</v>
      </c>
    </row>
    <row r="35" spans="1:124" ht="21" customHeight="1" x14ac:dyDescent="0.35">
      <c r="A35" s="92" t="s">
        <v>208</v>
      </c>
      <c r="B35" s="51">
        <f>+Base!B35</f>
        <v>0</v>
      </c>
      <c r="D35" s="3">
        <f>+D34/C34</f>
        <v>0.97499999999999998</v>
      </c>
      <c r="E35" s="3">
        <f t="shared" ref="E35:AC35" si="5">+E34/D34</f>
        <v>0.97499999999999987</v>
      </c>
      <c r="F35" s="3">
        <f t="shared" si="5"/>
        <v>0.97499999999999998</v>
      </c>
      <c r="G35" s="3">
        <f t="shared" si="5"/>
        <v>0.97500000000000009</v>
      </c>
      <c r="H35" s="3">
        <f t="shared" si="5"/>
        <v>0.97499999999999998</v>
      </c>
      <c r="I35" s="3">
        <f t="shared" si="5"/>
        <v>0.97499999999999998</v>
      </c>
      <c r="J35" s="3">
        <f t="shared" si="5"/>
        <v>0.97499999999999987</v>
      </c>
      <c r="K35" s="3">
        <f t="shared" si="5"/>
        <v>0.97499999999999998</v>
      </c>
      <c r="L35" s="3">
        <f t="shared" si="5"/>
        <v>0.97499999999999998</v>
      </c>
      <c r="M35" s="3">
        <f t="shared" si="5"/>
        <v>0.97499999999999987</v>
      </c>
      <c r="N35" s="3">
        <f t="shared" si="5"/>
        <v>0.97499999999999998</v>
      </c>
      <c r="O35" s="3">
        <f t="shared" si="5"/>
        <v>0.97499999999999998</v>
      </c>
      <c r="P35" s="3">
        <f t="shared" si="5"/>
        <v>0.97499999999999998</v>
      </c>
      <c r="Q35" s="3">
        <f t="shared" si="5"/>
        <v>0.97499999999999998</v>
      </c>
      <c r="R35" s="3">
        <f t="shared" si="5"/>
        <v>0.97499999999999998</v>
      </c>
      <c r="S35" s="3">
        <f t="shared" si="5"/>
        <v>0.97499999999999998</v>
      </c>
      <c r="T35" s="3">
        <f t="shared" si="5"/>
        <v>0.97499999999999998</v>
      </c>
      <c r="U35" s="3">
        <f t="shared" si="5"/>
        <v>0.97499999999999998</v>
      </c>
      <c r="V35" s="3">
        <f t="shared" si="5"/>
        <v>0.97499999999999998</v>
      </c>
      <c r="W35" s="3">
        <f t="shared" si="5"/>
        <v>0.97499999999999998</v>
      </c>
      <c r="X35" s="3">
        <f t="shared" si="5"/>
        <v>0.97499999999999998</v>
      </c>
      <c r="Y35" s="3">
        <f t="shared" si="5"/>
        <v>0.97499999999999987</v>
      </c>
      <c r="Z35" s="3">
        <f t="shared" si="5"/>
        <v>0.97499999999999987</v>
      </c>
      <c r="AA35" s="3">
        <f t="shared" si="5"/>
        <v>0.97500000000000009</v>
      </c>
      <c r="AB35" s="3">
        <f t="shared" si="5"/>
        <v>0.97499999999999998</v>
      </c>
      <c r="AC35" s="3">
        <f t="shared" si="5"/>
        <v>0.97499999999999987</v>
      </c>
    </row>
    <row r="36" spans="1:124" ht="21" customHeight="1" x14ac:dyDescent="0.35">
      <c r="A36" s="92" t="s">
        <v>209</v>
      </c>
      <c r="B36" s="51">
        <f>+Base!B36</f>
        <v>2.5000000000000001E-2</v>
      </c>
    </row>
    <row r="37" spans="1:124" ht="21" customHeight="1" x14ac:dyDescent="0.35">
      <c r="A37" s="92" t="s">
        <v>43</v>
      </c>
      <c r="B37" s="51">
        <f>+Base!B37</f>
        <v>1</v>
      </c>
    </row>
    <row r="38" spans="1:124" ht="28.25" customHeight="1" x14ac:dyDescent="0.35">
      <c r="A38" s="92" t="s">
        <v>161</v>
      </c>
      <c r="B38" s="51">
        <f>+Base!B38</f>
        <v>2250</v>
      </c>
    </row>
    <row r="39" spans="1:124" ht="21" customHeight="1" x14ac:dyDescent="0.35">
      <c r="A39" s="92" t="s">
        <v>37</v>
      </c>
      <c r="B39" s="51">
        <f>+Base!B39</f>
        <v>2.8</v>
      </c>
    </row>
    <row r="40" spans="1:124" ht="21" customHeight="1" thickBot="1" x14ac:dyDescent="0.4">
      <c r="A40" s="93" t="s">
        <v>38</v>
      </c>
    </row>
    <row r="41" spans="1:124" ht="24" customHeight="1" thickTop="1" x14ac:dyDescent="0.35">
      <c r="A41" s="92" t="s">
        <v>210</v>
      </c>
      <c r="B41" s="51">
        <f>+B42</f>
        <v>0.48898252427184469</v>
      </c>
      <c r="C41" s="3">
        <f t="shared" ref="C41:BI41" si="6">+B41*EXP(C43*(C2-B2))</f>
        <v>0.46513456515401325</v>
      </c>
      <c r="D41" s="3">
        <f t="shared" si="6"/>
        <v>0.44256008991679779</v>
      </c>
      <c r="E41" s="3">
        <f t="shared" si="6"/>
        <v>0.42118577521279577</v>
      </c>
      <c r="F41" s="3">
        <f t="shared" si="6"/>
        <v>0.40094280263881599</v>
      </c>
      <c r="G41" s="3">
        <f t="shared" si="6"/>
        <v>0.38176656563022343</v>
      </c>
      <c r="H41" s="3">
        <f t="shared" si="6"/>
        <v>0.36359639643184688</v>
      </c>
      <c r="I41" s="3">
        <f t="shared" si="6"/>
        <v>0.3463753117045314</v>
      </c>
      <c r="J41" s="3">
        <f t="shared" si="6"/>
        <v>0.33004977543436226</v>
      </c>
      <c r="K41" s="3">
        <f t="shared" si="6"/>
        <v>0.31456947791111545</v>
      </c>
      <c r="L41" s="3">
        <f t="shared" si="6"/>
        <v>0.29988712963428726</v>
      </c>
      <c r="M41" s="3">
        <f t="shared" si="6"/>
        <v>0.28595826908974353</v>
      </c>
      <c r="N41" s="3">
        <f t="shared" si="6"/>
        <v>0.27274108341817926</v>
      </c>
      <c r="O41" s="3">
        <f t="shared" si="6"/>
        <v>0.26019624106871514</v>
      </c>
      <c r="P41" s="3">
        <f t="shared" si="6"/>
        <v>0.24828673559755968</v>
      </c>
      <c r="Q41" s="3">
        <f t="shared" si="6"/>
        <v>0.23697773983317538</v>
      </c>
      <c r="R41" s="3">
        <f t="shared" si="6"/>
        <v>0.22623646968620664</v>
      </c>
      <c r="S41" s="3">
        <f t="shared" si="6"/>
        <v>0.21603205693493088</v>
      </c>
      <c r="T41" s="3">
        <f t="shared" si="6"/>
        <v>0.20633543036551905</v>
      </c>
      <c r="U41" s="3">
        <f t="shared" si="6"/>
        <v>0.19711920469125327</v>
      </c>
      <c r="V41" s="3">
        <f t="shared" si="6"/>
        <v>0.18835757671633377</v>
      </c>
      <c r="W41" s="3">
        <f t="shared" si="6"/>
        <v>0.1800262282482781</v>
      </c>
      <c r="X41" s="3">
        <f t="shared" si="6"/>
        <v>0.17210223529841748</v>
      </c>
      <c r="Y41" s="3">
        <f t="shared" si="6"/>
        <v>0.16456398314284804</v>
      </c>
      <c r="Z41" s="3">
        <f t="shared" si="6"/>
        <v>0.15739108684660658</v>
      </c>
      <c r="AA41" s="3">
        <f t="shared" si="6"/>
        <v>0.15056431688199842</v>
      </c>
      <c r="AB41" s="3">
        <f t="shared" si="6"/>
        <v>0.14406552949808246</v>
      </c>
      <c r="AC41" s="3">
        <f t="shared" si="6"/>
        <v>0.13787760152247575</v>
      </c>
      <c r="AD41" s="3">
        <f t="shared" si="6"/>
        <v>0.13198436929902402</v>
      </c>
      <c r="AE41" s="3">
        <f t="shared" si="6"/>
        <v>0.12637057148562994</v>
      </c>
      <c r="AF41" s="3">
        <f t="shared" si="6"/>
        <v>0.12102179545576312</v>
      </c>
      <c r="AG41" s="3">
        <f t="shared" si="6"/>
        <v>0.11592442706500916</v>
      </c>
      <c r="AH41" s="3">
        <f t="shared" si="6"/>
        <v>0.11106560356055512</v>
      </c>
      <c r="AI41" s="3">
        <f t="shared" si="6"/>
        <v>0.10643316942685391</v>
      </c>
      <c r="AJ41" s="3">
        <f t="shared" si="6"/>
        <v>0.10201563497494859</v>
      </c>
      <c r="AK41" s="3">
        <f t="shared" si="6"/>
        <v>9.7802137496154212E-2</v>
      </c>
      <c r="AL41" s="3">
        <f t="shared" si="6"/>
        <v>9.3782404813064046E-2</v>
      </c>
      <c r="AM41" s="3">
        <f t="shared" si="6"/>
        <v>8.9946721072241179E-2</v>
      </c>
      <c r="AN41" s="3">
        <f t="shared" si="6"/>
        <v>8.628589463353914E-2</v>
      </c>
      <c r="AO41" s="3">
        <f t="shared" si="6"/>
        <v>8.2791227920826896E-2</v>
      </c>
      <c r="AP41" s="3">
        <f t="shared" si="6"/>
        <v>7.9454489108030366E-2</v>
      </c>
      <c r="AQ41" s="3">
        <f t="shared" si="6"/>
        <v>7.6267885522894624E-2</v>
      </c>
      <c r="AR41" s="3">
        <f t="shared" si="6"/>
        <v>7.3224038658766005E-2</v>
      </c>
      <c r="AS41" s="3">
        <f t="shared" si="6"/>
        <v>7.031596069203537E-2</v>
      </c>
      <c r="AT41" s="3">
        <f t="shared" si="6"/>
        <v>6.7537032409712414E-2</v>
      </c>
      <c r="AU41" s="3">
        <f t="shared" si="6"/>
        <v>6.4880982457954123E-2</v>
      </c>
      <c r="AV41" s="3">
        <f t="shared" si="6"/>
        <v>6.2341867828282604E-2</v>
      </c>
      <c r="AW41" s="3">
        <f t="shared" si="6"/>
        <v>5.991405550372976E-2</v>
      </c>
      <c r="AX41" s="3">
        <f t="shared" si="6"/>
        <v>5.7592205192269555E-2</v>
      </c>
      <c r="AY41" s="3">
        <f t="shared" si="6"/>
        <v>5.5371253079668684E-2</v>
      </c>
      <c r="AZ41" s="3">
        <f t="shared" si="6"/>
        <v>5.3246396538329618E-2</v>
      </c>
      <c r="BA41" s="3">
        <f t="shared" si="6"/>
        <v>5.1213079732839228E-2</v>
      </c>
      <c r="BB41" s="3">
        <f t="shared" si="6"/>
        <v>4.9266980066793017E-2</v>
      </c>
      <c r="BC41" s="3">
        <f t="shared" si="6"/>
        <v>4.7403995419059923E-2</v>
      </c>
      <c r="BD41" s="3">
        <f t="shared" si="6"/>
        <v>4.5620232121003627E-2</v>
      </c>
      <c r="BE41" s="3">
        <f t="shared" si="6"/>
        <v>4.3911993629301163E-2</v>
      </c>
      <c r="BF41" s="3">
        <f t="shared" si="6"/>
        <v>4.22757698519136E-2</v>
      </c>
      <c r="BG41" s="3">
        <f t="shared" si="6"/>
        <v>4.0708227087482361E-2</v>
      </c>
      <c r="BH41" s="3">
        <f t="shared" si="6"/>
        <v>3.9206198540960864E-2</v>
      </c>
      <c r="BI41" s="3">
        <f t="shared" si="6"/>
        <v>3.776667538065856E-2</v>
      </c>
    </row>
    <row r="42" spans="1:124" ht="21" customHeight="1" x14ac:dyDescent="0.35">
      <c r="A42" s="92" t="s">
        <v>211</v>
      </c>
      <c r="B42" s="51">
        <f>+Base!B42</f>
        <v>0.48898252427184469</v>
      </c>
      <c r="C42" s="51"/>
    </row>
    <row r="43" spans="1:124" ht="21" customHeight="1" x14ac:dyDescent="0.35">
      <c r="A43" s="92" t="s">
        <v>212</v>
      </c>
      <c r="B43" s="3"/>
      <c r="C43" s="3">
        <f>+Parameters!B15</f>
        <v>-0.01</v>
      </c>
      <c r="D43" s="3">
        <f>+C43*(1+Parameters!$B$57)^5</f>
        <v>-9.9500999000499898E-3</v>
      </c>
      <c r="E43" s="3">
        <f>+D43*(1+Parameters!$B$57)^5</f>
        <v>-9.9004488020974814E-3</v>
      </c>
      <c r="F43" s="3">
        <f>+E43*(1+Parameters!$B$57)^5</f>
        <v>-9.8510454636200201E-3</v>
      </c>
      <c r="G43" s="3">
        <f>+F43*(1+Parameters!$B$57)^5</f>
        <v>-9.8018886482953479E-3</v>
      </c>
      <c r="H43" s="3">
        <f>+G43*(1+Parameters!$B$57)^5</f>
        <v>-9.7529771259704679E-3</v>
      </c>
      <c r="I43" s="3">
        <f>+H43*(1+Parameters!$B$57)^5</f>
        <v>-9.7043096726308585E-3</v>
      </c>
      <c r="J43" s="3">
        <f>+I43*(1+Parameters!$B$57)^5</f>
        <v>-9.6558850703698466E-3</v>
      </c>
      <c r="K43" s="3">
        <f>+J43*(1+Parameters!$B$57)^5</f>
        <v>-9.6077021073581199E-3</v>
      </c>
      <c r="L43" s="3">
        <f>+K43*(1+Parameters!$B$57)^5</f>
        <v>-9.559759577813411E-3</v>
      </c>
      <c r="M43" s="3">
        <f>+L43*(1+Parameters!$B$57)^5</f>
        <v>-9.5120562819703148E-3</v>
      </c>
      <c r="N43" s="3">
        <f>+M43*(1+Parameters!$B$57)^5</f>
        <v>-9.4645910260502709E-3</v>
      </c>
      <c r="O43" s="3">
        <f>+N43*(1+Parameters!$B$57)^5</f>
        <v>-9.4173626222316831E-3</v>
      </c>
      <c r="P43" s="3">
        <f>+O43*(1+Parameters!$B$57)^5</f>
        <v>-9.3703698886201982E-3</v>
      </c>
      <c r="Q43" s="3">
        <f>+P43*(1+Parameters!$B$57)^5</f>
        <v>-9.3236116492191271E-3</v>
      </c>
      <c r="R43" s="3">
        <f>+Q43*(1+Parameters!$B$57)^5</f>
        <v>-9.2770867339000158E-3</v>
      </c>
      <c r="S43" s="3">
        <f>+R43*(1+Parameters!$B$57)^5</f>
        <v>-9.2307939783733643E-3</v>
      </c>
      <c r="T43" s="3">
        <f>+S43*(1+Parameters!$B$57)^5</f>
        <v>-9.1847322241594854E-3</v>
      </c>
      <c r="U43" s="3">
        <f>+T43*(1+Parameters!$B$57)^5</f>
        <v>-9.1389003185595227E-3</v>
      </c>
      <c r="V43" s="3">
        <f>+U43*(1+Parameters!$B$57)^5</f>
        <v>-9.0932971146265931E-3</v>
      </c>
      <c r="W43" s="3">
        <f>+V43*(1+Parameters!$B$57)^5</f>
        <v>-9.0479214711370933E-3</v>
      </c>
      <c r="X43" s="3">
        <f>+W43*(1+Parameters!$B$57)^5</f>
        <v>-9.0027722525621353E-3</v>
      </c>
      <c r="Y43" s="3">
        <f>+X43*(1+Parameters!$B$57)^5</f>
        <v>-8.9578483290391319E-3</v>
      </c>
      <c r="Z43" s="3">
        <f>+Y43*(1+Parameters!$B$57)^5</f>
        <v>-8.9131485763435242E-3</v>
      </c>
      <c r="AA43" s="3">
        <f>+Z43*(1+Parameters!$B$57)^5</f>
        <v>-8.8686718758606408E-3</v>
      </c>
      <c r="AB43" s="3">
        <f>+AA43*(1+Parameters!$B$57)^5</f>
        <v>-8.8244171145577116E-3</v>
      </c>
      <c r="AC43" s="3">
        <f>+AB43*(1+Parameters!$B$57)^5</f>
        <v>-8.7803831849560116E-3</v>
      </c>
      <c r="AD43" s="3">
        <f>+AC43*(1+Parameters!$B$57)^5</f>
        <v>-8.7365689851031433E-3</v>
      </c>
      <c r="AE43" s="3">
        <f>+AD43*(1+Parameters!$B$57)^5</f>
        <v>-8.6929734185454636E-3</v>
      </c>
      <c r="AF43" s="3">
        <f>+AE43*(1+Parameters!$B$57)^5</f>
        <v>-8.6495953943006437E-3</v>
      </c>
      <c r="AG43" s="3">
        <f>+AF43*(1+Parameters!$B$57)^5</f>
        <v>-8.6064338268303682E-3</v>
      </c>
      <c r="AH43" s="3">
        <f>+AG43*(1+Parameters!$B$57)^5</f>
        <v>-8.5634876360131708E-3</v>
      </c>
      <c r="AI43" s="3">
        <f>+AH43*(1+Parameters!$B$57)^5</f>
        <v>-8.5207557471173971E-3</v>
      </c>
      <c r="AJ43" s="3">
        <f>+AI43*(1+Parameters!$B$57)^5</f>
        <v>-8.4782370907743199E-3</v>
      </c>
      <c r="AK43" s="3">
        <f>+AJ43*(1+Parameters!$B$57)^5</f>
        <v>-8.4359306029513671E-3</v>
      </c>
      <c r="AL43" s="3">
        <f>+AK43*(1+Parameters!$B$57)^5</f>
        <v>-8.3938352249255058E-3</v>
      </c>
      <c r="AM43" s="3">
        <f>+AL43*(1+Parameters!$B$57)^5</f>
        <v>-8.3519499032567359E-3</v>
      </c>
      <c r="AN43" s="3">
        <f>+AM43*(1+Parameters!$B$57)^5</f>
        <v>-8.3102735897617377E-3</v>
      </c>
      <c r="AO43" s="3">
        <f>+AN43*(1+Parameters!$B$57)^5</f>
        <v>-8.2688052414876343E-3</v>
      </c>
      <c r="AP43" s="3">
        <f>+AO43*(1+Parameters!$B$57)^5</f>
        <v>-8.2275438206858946E-3</v>
      </c>
      <c r="AQ43" s="3">
        <f>+AP43*(1+Parameters!$B$57)^5</f>
        <v>-8.1864882947863642E-3</v>
      </c>
      <c r="AR43" s="3">
        <f>+AQ43*(1+Parameters!$B$57)^5</f>
        <v>-8.1456376363714215E-3</v>
      </c>
      <c r="AS43" s="3">
        <f>+AR43*(1+Parameters!$B$57)^5</f>
        <v>-8.1049908231502713E-3</v>
      </c>
      <c r="AT43" s="3">
        <f>+AS43*(1+Parameters!$B$57)^5</f>
        <v>-8.0645468379333604E-3</v>
      </c>
      <c r="AU43" s="3">
        <f>+AT43*(1+Parameters!$B$57)^5</f>
        <v>-8.0243046686069193E-3</v>
      </c>
      <c r="AV43" s="3">
        <f>+AU43*(1+Parameters!$B$57)^5</f>
        <v>-7.9842633081076385E-3</v>
      </c>
      <c r="AW43" s="3">
        <f>+AV43*(1+Parameters!$B$57)^5</f>
        <v>-7.9444217543974613E-3</v>
      </c>
      <c r="AX43" s="3">
        <f>+AW43*(1+Parameters!$B$57)^5</f>
        <v>-7.9047790104385153E-3</v>
      </c>
      <c r="AY43" s="3">
        <f>+AX43*(1+Parameters!$B$57)^5</f>
        <v>-7.8653340841681532E-3</v>
      </c>
      <c r="AZ43" s="3">
        <f>+AY43*(1+Parameters!$B$57)^5</f>
        <v>-7.8260859884741324E-3</v>
      </c>
      <c r="BA43" s="3">
        <f>+AZ43*(1+Parameters!$B$57)^5</f>
        <v>-7.7870337411699089E-3</v>
      </c>
      <c r="BB43" s="3">
        <f>+BA43*(1+Parameters!$B$57)^5</f>
        <v>-7.748176364970061E-3</v>
      </c>
      <c r="BC43" s="3">
        <f>+BB43*(1+Parameters!$B$57)^5</f>
        <v>-7.70951288746583E-3</v>
      </c>
      <c r="BD43" s="3">
        <f>+BC43*(1+Parameters!$B$57)^5</f>
        <v>-7.6710423411007868E-3</v>
      </c>
      <c r="BE43" s="3">
        <f>+BD43*(1+Parameters!$B$57)^5</f>
        <v>-7.6327637631466178E-3</v>
      </c>
      <c r="BF43" s="3">
        <f>+BE43*(1+Parameters!$B$57)^5</f>
        <v>-7.5946761956790345E-3</v>
      </c>
      <c r="BG43" s="3">
        <f>+BF43*(1+Parameters!$B$57)^5</f>
        <v>-7.5567786855537996E-3</v>
      </c>
      <c r="BH43" s="3">
        <f>+BG43*(1+Parameters!$B$57)^5</f>
        <v>-7.5190702843828758E-3</v>
      </c>
      <c r="BI43" s="3">
        <f>+BH43*(1+Parameters!$B$57)^5</f>
        <v>-7.4815500485106903E-3</v>
      </c>
    </row>
    <row r="44" spans="1:124" ht="21" customHeight="1" x14ac:dyDescent="0.35">
      <c r="A44" s="92" t="s">
        <v>164</v>
      </c>
      <c r="B44" s="51">
        <f>+B45</f>
        <v>1.53972</v>
      </c>
      <c r="C44" s="3">
        <f>+B44*(1-Parameters!$C$55)</f>
        <v>1.231776</v>
      </c>
      <c r="D44" s="3">
        <f>+C44*(1-Parameters!$C$55)</f>
        <v>0.98542079999999999</v>
      </c>
      <c r="E44" s="3">
        <f>+D44*(1-Parameters!$C$55)</f>
        <v>0.78833664000000003</v>
      </c>
      <c r="F44" s="3">
        <f>+E44*(1-Parameters!$C$55)</f>
        <v>0.63066931200000009</v>
      </c>
      <c r="G44" s="3">
        <f>+F44*(1-Parameters!$C$55)</f>
        <v>0.50453544960000007</v>
      </c>
      <c r="H44" s="3">
        <f>+G44*(1-Parameters!$C$55)</f>
        <v>0.4036283596800001</v>
      </c>
      <c r="I44" s="3">
        <f>+H44*(1-Parameters!$C$55)</f>
        <v>0.32290268774400011</v>
      </c>
      <c r="J44" s="3">
        <f>+I44*(1-Parameters!$C$55)</f>
        <v>0.25832215019520011</v>
      </c>
      <c r="K44" s="3">
        <f>+J44*(1-Parameters!$C$55)</f>
        <v>0.2066577201561601</v>
      </c>
      <c r="L44" s="3">
        <f>+K44*(1-Parameters!$C$55)</f>
        <v>0.16532617612492809</v>
      </c>
      <c r="M44" s="3">
        <f>+L44*(1-Parameters!$C$55)</f>
        <v>0.13226094089994248</v>
      </c>
      <c r="N44" s="3">
        <f>+M44*(1-Parameters!$C$55)</f>
        <v>0.10580875271995399</v>
      </c>
      <c r="O44" s="3">
        <f>+N44*(1-Parameters!$C$55)</f>
        <v>8.4647002175963201E-2</v>
      </c>
      <c r="P44" s="3">
        <f>+O44*(1-Parameters!$C$55)</f>
        <v>6.7717601740770558E-2</v>
      </c>
      <c r="Q44" s="3">
        <f>+P44*(1-Parameters!$C$55)</f>
        <v>5.4174081392616452E-2</v>
      </c>
      <c r="R44" s="3">
        <f>+Q44*(1-Parameters!$C$55)</f>
        <v>4.3339265114093167E-2</v>
      </c>
      <c r="S44" s="3">
        <f>+R44*(1-Parameters!$C$55)</f>
        <v>3.4671412091274535E-2</v>
      </c>
      <c r="T44" s="3">
        <f>+S44*(1-Parameters!$C$55)</f>
        <v>2.7737129673019629E-2</v>
      </c>
      <c r="U44" s="3">
        <f>+T44*(1-Parameters!$C$55)</f>
        <v>2.2189703738415705E-2</v>
      </c>
      <c r="V44" s="3">
        <f>+U44*(1-Parameters!$C$55)</f>
        <v>1.7751762990732566E-2</v>
      </c>
      <c r="W44" s="3">
        <f>+V44*(1-Parameters!$C$55)</f>
        <v>1.4201410392586053E-2</v>
      </c>
      <c r="X44" s="3">
        <f>+W44*(1-Parameters!$C$55)</f>
        <v>1.1361128314068844E-2</v>
      </c>
      <c r="Y44" s="3">
        <f>+X44*(1-Parameters!$C$55)</f>
        <v>9.0889026512550753E-3</v>
      </c>
      <c r="Z44" s="3">
        <f>+Y44*(1-Parameters!$C$55)</f>
        <v>7.2711221210040606E-3</v>
      </c>
      <c r="AA44" s="3">
        <f>+Z44*(1-Parameters!$C$55)</f>
        <v>5.8168976968032485E-3</v>
      </c>
      <c r="AB44" s="3">
        <f>+AA44*(1-Parameters!$C$55)</f>
        <v>4.6535181574425986E-3</v>
      </c>
      <c r="AC44" s="3">
        <f>+AB44*(1-Parameters!$C$55)</f>
        <v>3.722814525954079E-3</v>
      </c>
      <c r="AD44" s="3">
        <f>+AC44*(1-Parameters!$C$55)</f>
        <v>2.9782516207632632E-3</v>
      </c>
      <c r="AE44" s="3">
        <f>+AD44*(1-Parameters!$C$55)</f>
        <v>2.3826012966106109E-3</v>
      </c>
      <c r="AF44" s="3">
        <f>+AE44*(1-Parameters!$C$55)</f>
        <v>1.9060810372884887E-3</v>
      </c>
      <c r="AG44" s="3">
        <f>+AF44*(1-Parameters!$C$55)</f>
        <v>1.524864829830791E-3</v>
      </c>
      <c r="AH44" s="3">
        <f>+AG44*(1-Parameters!$C$55)</f>
        <v>1.2198918638646329E-3</v>
      </c>
      <c r="AI44" s="3">
        <f>+AH44*(1-Parameters!$C$55)</f>
        <v>9.7591349109170638E-4</v>
      </c>
      <c r="AJ44" s="3">
        <f>+AI44*(1-Parameters!$C$55)</f>
        <v>7.8073079287336515E-4</v>
      </c>
      <c r="AK44" s="3">
        <f>+AJ44*(1-Parameters!$C$55)</f>
        <v>6.2458463429869221E-4</v>
      </c>
      <c r="AL44" s="3">
        <f>+AK44*(1-Parameters!$C$55)</f>
        <v>4.9966770743895374E-4</v>
      </c>
      <c r="AM44" s="3">
        <f>+AL44*(1-Parameters!$C$55)</f>
        <v>3.9973416595116303E-4</v>
      </c>
      <c r="AN44" s="3">
        <f>+AM44*(1-Parameters!$C$55)</f>
        <v>3.1978733276093044E-4</v>
      </c>
      <c r="AO44" s="3">
        <f>+AN44*(1-Parameters!$C$55)</f>
        <v>2.5582986620874439E-4</v>
      </c>
      <c r="AP44" s="3">
        <f>+AO44*(1-Parameters!$C$55)</f>
        <v>2.0466389296699552E-4</v>
      </c>
      <c r="AQ44" s="3">
        <f>+AP44*(1-Parameters!$C$55)</f>
        <v>1.6373111437359642E-4</v>
      </c>
      <c r="AR44" s="3">
        <f>+AQ44*(1-Parameters!$C$55)</f>
        <v>1.3098489149887714E-4</v>
      </c>
      <c r="AS44" s="3">
        <f>+AR44*(1-Parameters!$C$55)</f>
        <v>1.0478791319910172E-4</v>
      </c>
      <c r="AT44" s="3">
        <f>+AS44*(1-Parameters!$C$55)</f>
        <v>8.3830330559281379E-5</v>
      </c>
      <c r="AU44" s="3">
        <f>+AT44*(1-Parameters!$C$55)</f>
        <v>6.7064264447425106E-5</v>
      </c>
      <c r="AV44" s="3">
        <f>+AU44*(1-Parameters!$C$55)</f>
        <v>5.365141155794009E-5</v>
      </c>
      <c r="AW44" s="3">
        <f>+AV44*(1-Parameters!$C$55)</f>
        <v>4.2921129246352076E-5</v>
      </c>
      <c r="AX44" s="3">
        <f>+AW44*(1-Parameters!$C$55)</f>
        <v>3.4336903397081661E-5</v>
      </c>
      <c r="AY44" s="3">
        <f>+AX44*(1-Parameters!$C$55)</f>
        <v>2.7469522717665329E-5</v>
      </c>
      <c r="AZ44" s="3">
        <f>+AY44*(1-Parameters!$C$55)</f>
        <v>2.1975618174132264E-5</v>
      </c>
      <c r="BA44" s="3">
        <f>+AZ44*(1-Parameters!$C$55)</f>
        <v>1.7580494539305812E-5</v>
      </c>
      <c r="BB44" s="3">
        <f>+BA44*(1-Parameters!$C$55)</f>
        <v>1.4064395631444651E-5</v>
      </c>
      <c r="BC44" s="3">
        <f>+BB44*(1-Parameters!$C$55)</f>
        <v>1.1251516505155721E-5</v>
      </c>
      <c r="BD44" s="3">
        <f>+BC44*(1-Parameters!$C$55)</f>
        <v>9.0012132041245777E-6</v>
      </c>
      <c r="BE44" s="3">
        <f>+BD44*(1-Parameters!$C$55)</f>
        <v>7.2009705632996627E-6</v>
      </c>
      <c r="BF44" s="3">
        <f>+BE44*(1-Parameters!$C$55)</f>
        <v>5.7607764506397308E-6</v>
      </c>
      <c r="BG44" s="3">
        <f>+BF44*(1-Parameters!$C$55)</f>
        <v>4.6086211605117848E-6</v>
      </c>
      <c r="BH44" s="3">
        <f>+BG44*(1-Parameters!$C$55)</f>
        <v>3.6868969284094279E-6</v>
      </c>
      <c r="BI44" s="3">
        <f>+BH44*(1-Parameters!$C$55)</f>
        <v>2.9495175427275426E-6</v>
      </c>
    </row>
    <row r="45" spans="1:124" ht="22.25" customHeight="1" x14ac:dyDescent="0.35">
      <c r="A45" s="92" t="s">
        <v>213</v>
      </c>
      <c r="B45" s="51">
        <f>+Base!B45</f>
        <v>1.53972</v>
      </c>
    </row>
    <row r="46" spans="1:124" ht="21" customHeight="1" thickBot="1" x14ac:dyDescent="0.4">
      <c r="A46" s="94" t="s">
        <v>3</v>
      </c>
      <c r="B46" s="56"/>
    </row>
    <row r="47" spans="1:124" s="2" customFormat="1" ht="21" customHeight="1" thickTop="1" x14ac:dyDescent="0.35">
      <c r="A47" s="98" t="s">
        <v>308</v>
      </c>
      <c r="B47" s="35">
        <f>+Parameters!B120</f>
        <v>0.2</v>
      </c>
      <c r="C47" s="35">
        <f>+Parameters!C120</f>
        <v>0.39042308237041862</v>
      </c>
      <c r="D47" s="35">
        <f>+Parameters!D120</f>
        <v>0.37905179376764564</v>
      </c>
      <c r="E47" s="35">
        <f>+Parameters!E120</f>
        <v>0.43473126916605986</v>
      </c>
      <c r="F47" s="35">
        <f>+Parameters!F120</f>
        <v>0.42272215965229654</v>
      </c>
      <c r="G47" s="35">
        <f>+Parameters!G120</f>
        <v>0.41041677679745897</v>
      </c>
      <c r="H47" s="35">
        <f>+Parameters!H120</f>
        <v>0.70777654781630772</v>
      </c>
      <c r="I47" s="35">
        <f>+Parameters!I120</f>
        <v>0.69214823745197651</v>
      </c>
      <c r="J47" s="35">
        <f>+Parameters!J120</f>
        <v>0.84030690466839131</v>
      </c>
      <c r="K47" s="35">
        <f>+Parameters!K120</f>
        <v>0.83406435604192763</v>
      </c>
      <c r="L47" s="35">
        <f>+Parameters!L120</f>
        <v>0.93965885157528906</v>
      </c>
      <c r="M47" s="35">
        <f>+Parameters!M120</f>
        <v>0.93673108526966353</v>
      </c>
      <c r="N47" s="35">
        <f>+Parameters!N120</f>
        <v>0.9338812667959131</v>
      </c>
      <c r="O47" s="35">
        <f>+Parameters!O120</f>
        <v>0.93094420085045992</v>
      </c>
      <c r="P47" s="35">
        <f>+Parameters!P120</f>
        <v>0.92808804859366001</v>
      </c>
      <c r="Q47" s="35">
        <f>+Parameters!Q120</f>
        <v>0.92515381219960935</v>
      </c>
      <c r="R47" s="35">
        <f>+Parameters!R120</f>
        <v>0.92230100699291584</v>
      </c>
      <c r="S47" s="35">
        <f>+Parameters!S120</f>
        <v>0.91937849700563046</v>
      </c>
      <c r="T47" s="35">
        <f>+Parameters!T120</f>
        <v>1</v>
      </c>
      <c r="U47" s="35">
        <f>+Parameters!U120</f>
        <v>1</v>
      </c>
      <c r="V47" s="35">
        <f>+Parameters!V120</f>
        <v>1</v>
      </c>
      <c r="W47" s="35">
        <f>+Parameters!W120</f>
        <v>1</v>
      </c>
      <c r="X47" s="35">
        <f>+Parameters!X120</f>
        <v>1</v>
      </c>
      <c r="Y47" s="35">
        <f>+Parameters!Y120</f>
        <v>1</v>
      </c>
      <c r="Z47" s="35">
        <f>+Parameters!Z120</f>
        <v>1</v>
      </c>
      <c r="AA47" s="35">
        <f>+Parameters!AA120</f>
        <v>1</v>
      </c>
      <c r="AB47" s="35">
        <f>+Parameters!AB120</f>
        <v>1</v>
      </c>
      <c r="AC47" s="35">
        <f>+Parameters!AC120</f>
        <v>1</v>
      </c>
      <c r="AD47" s="35">
        <f>+Parameters!AD120</f>
        <v>1</v>
      </c>
      <c r="AE47" s="35">
        <f>+Parameters!AE120</f>
        <v>1</v>
      </c>
      <c r="AF47" s="35">
        <f>+Parameters!AF120</f>
        <v>1</v>
      </c>
      <c r="AG47" s="35">
        <f>+Parameters!AG120</f>
        <v>1</v>
      </c>
      <c r="AH47" s="35">
        <f>+Parameters!AH120</f>
        <v>1</v>
      </c>
      <c r="AI47" s="35">
        <f>+Parameters!AI120</f>
        <v>1</v>
      </c>
      <c r="AJ47" s="35">
        <f>+Parameters!AJ120</f>
        <v>1</v>
      </c>
      <c r="AK47" s="35">
        <f>+Parameters!AK120</f>
        <v>1</v>
      </c>
      <c r="AL47" s="35">
        <f>+Parameters!AL120</f>
        <v>1</v>
      </c>
      <c r="AM47" s="35">
        <f>+Parameters!AM120</f>
        <v>1</v>
      </c>
      <c r="AN47" s="35">
        <f>+Parameters!AN120</f>
        <v>1</v>
      </c>
      <c r="AO47" s="35">
        <f>+Parameters!AO120</f>
        <v>1</v>
      </c>
      <c r="AP47" s="35">
        <f>+Parameters!AP120</f>
        <v>1</v>
      </c>
      <c r="AQ47" s="35">
        <f>+Parameters!AQ120</f>
        <v>1</v>
      </c>
      <c r="AR47" s="35">
        <f>+Parameters!AR120</f>
        <v>1</v>
      </c>
      <c r="AS47" s="35">
        <f>+Parameters!AS120</f>
        <v>1</v>
      </c>
      <c r="AT47" s="35">
        <f>+Parameters!AT120</f>
        <v>1</v>
      </c>
      <c r="AU47" s="35">
        <f>+Parameters!AU120</f>
        <v>1</v>
      </c>
      <c r="AV47" s="35">
        <f>+Parameters!AV120</f>
        <v>1</v>
      </c>
      <c r="AW47" s="35">
        <f>+Parameters!AW120</f>
        <v>1</v>
      </c>
      <c r="AX47" s="35">
        <f>+Parameters!AX120</f>
        <v>1</v>
      </c>
      <c r="AY47" s="35">
        <f>+Parameters!AY120</f>
        <v>1</v>
      </c>
      <c r="AZ47" s="35">
        <f>+Parameters!AZ120</f>
        <v>1</v>
      </c>
      <c r="BA47" s="35">
        <f>+Parameters!BA120</f>
        <v>1</v>
      </c>
      <c r="BB47" s="35">
        <f>+Parameters!BB120</f>
        <v>1</v>
      </c>
      <c r="BC47" s="35">
        <f>+Parameters!BC120</f>
        <v>1</v>
      </c>
      <c r="BD47" s="35">
        <f>+Parameters!BD120</f>
        <v>1</v>
      </c>
      <c r="BE47" s="35">
        <f>+Parameters!BE120</f>
        <v>1</v>
      </c>
      <c r="BF47" s="35">
        <f>+Parameters!BF120</f>
        <v>1</v>
      </c>
      <c r="BG47" s="35">
        <f>+Parameters!BG120</f>
        <v>1</v>
      </c>
      <c r="BH47" s="35">
        <f>+Parameters!BH120</f>
        <v>1</v>
      </c>
      <c r="BI47" s="35">
        <f>+Parameters!BI120</f>
        <v>1</v>
      </c>
      <c r="BJ47" s="35"/>
      <c r="BK47" s="35"/>
      <c r="BL47" s="35"/>
      <c r="BM47" s="35"/>
      <c r="BN47" s="35"/>
      <c r="BO47" s="35"/>
      <c r="BP47" s="35"/>
      <c r="BQ47" s="35"/>
      <c r="BR47" s="35"/>
      <c r="BS47" s="35"/>
      <c r="BT47" s="35"/>
      <c r="BU47" s="35"/>
      <c r="BV47" s="35"/>
      <c r="BW47" s="35"/>
      <c r="BX47" s="35"/>
      <c r="BY47" s="35"/>
      <c r="BZ47" s="35"/>
      <c r="CA47" s="35"/>
      <c r="CB47" s="35"/>
      <c r="CC47" s="35"/>
      <c r="CD47" s="35"/>
      <c r="CE47" s="35"/>
      <c r="CF47" s="35"/>
      <c r="CG47" s="35"/>
      <c r="CH47" s="35"/>
      <c r="CI47" s="35"/>
      <c r="CJ47" s="35"/>
      <c r="CK47" s="35"/>
      <c r="CL47" s="35"/>
      <c r="CM47" s="35"/>
      <c r="CN47" s="35"/>
      <c r="CO47" s="35"/>
      <c r="CP47" s="35"/>
      <c r="CQ47" s="35"/>
      <c r="CR47" s="35"/>
      <c r="CS47" s="35"/>
      <c r="CT47" s="35"/>
      <c r="CU47" s="35"/>
      <c r="CV47" s="35"/>
      <c r="CW47" s="35"/>
      <c r="CX47" s="35"/>
      <c r="CY47" s="35"/>
      <c r="CZ47" s="35"/>
      <c r="DA47" s="35"/>
      <c r="DB47" s="35"/>
      <c r="DC47" s="35"/>
      <c r="DD47" s="35"/>
      <c r="DE47" s="35"/>
      <c r="DF47" s="35"/>
      <c r="DG47" s="35"/>
      <c r="DH47" s="35"/>
      <c r="DI47" s="35"/>
      <c r="DJ47" s="35"/>
      <c r="DK47" s="35"/>
      <c r="DL47" s="35"/>
      <c r="DM47" s="35"/>
      <c r="DN47" s="35"/>
      <c r="DO47" s="35"/>
      <c r="DP47" s="35"/>
      <c r="DQ47" s="35"/>
      <c r="DR47" s="35"/>
      <c r="DS47" s="35"/>
      <c r="DT47" s="35"/>
    </row>
    <row r="48" spans="1:124" ht="21" customHeight="1" thickBot="1" x14ac:dyDescent="0.4">
      <c r="A48" s="93" t="s">
        <v>98</v>
      </c>
      <c r="F48" s="51"/>
    </row>
    <row r="49" spans="1:124" ht="21" customHeight="1" thickTop="1" x14ac:dyDescent="0.35">
      <c r="A49" s="92" t="s">
        <v>54</v>
      </c>
      <c r="B49" s="51">
        <f>+Base!B49</f>
        <v>1.6396699869977365E-2</v>
      </c>
      <c r="C49" s="51"/>
    </row>
    <row r="50" spans="1:124" ht="21" customHeight="1" x14ac:dyDescent="0.35">
      <c r="A50" s="92" t="s">
        <v>55</v>
      </c>
      <c r="B50" s="51">
        <f>+Base!B50</f>
        <v>-3823.8684027386507</v>
      </c>
      <c r="C50" s="58"/>
      <c r="D50" s="58"/>
    </row>
    <row r="51" spans="1:124" ht="21" customHeight="1" thickBot="1" x14ac:dyDescent="0.4">
      <c r="A51" s="93" t="s">
        <v>253</v>
      </c>
      <c r="B51" s="51">
        <v>0</v>
      </c>
    </row>
    <row r="52" spans="1:124" ht="21" customHeight="1" thickTop="1" thickBot="1" x14ac:dyDescent="0.4">
      <c r="A52" s="93" t="s">
        <v>17</v>
      </c>
      <c r="C52" s="51"/>
      <c r="D52" s="51"/>
      <c r="E52" s="51"/>
      <c r="F52" s="51"/>
      <c r="G52" s="51"/>
      <c r="H52" s="51"/>
      <c r="I52" s="51"/>
      <c r="J52" s="51"/>
      <c r="K52" s="51"/>
      <c r="L52" s="51"/>
      <c r="M52" s="51"/>
      <c r="N52" s="51"/>
      <c r="O52" s="51"/>
      <c r="P52" s="51"/>
      <c r="Q52" s="51"/>
      <c r="R52" s="51"/>
      <c r="S52" s="51"/>
      <c r="T52" s="51"/>
      <c r="U52" s="51"/>
      <c r="V52" s="51"/>
      <c r="W52" s="51"/>
      <c r="X52" s="51"/>
      <c r="Y52" s="51"/>
      <c r="Z52" s="51"/>
      <c r="AA52" s="51"/>
      <c r="AB52" s="51"/>
      <c r="AC52" s="51"/>
      <c r="AD52" s="51"/>
      <c r="AE52" s="51"/>
      <c r="AF52" s="51"/>
      <c r="AG52" s="51"/>
      <c r="AH52" s="51"/>
      <c r="AI52" s="51"/>
      <c r="AJ52" s="51"/>
      <c r="AK52" s="51"/>
      <c r="AL52" s="51"/>
      <c r="AM52" s="51"/>
      <c r="AN52" s="51"/>
      <c r="AO52" s="51"/>
      <c r="AP52" s="51"/>
      <c r="AQ52" s="51"/>
      <c r="AR52" s="51"/>
      <c r="AS52" s="51"/>
      <c r="AT52" s="51"/>
      <c r="AU52" s="51"/>
      <c r="AV52" s="51"/>
      <c r="AW52" s="51"/>
      <c r="AX52" s="51"/>
      <c r="AY52" s="51"/>
      <c r="AZ52" s="51"/>
      <c r="BA52" s="51"/>
      <c r="BB52" s="51"/>
      <c r="BC52" s="51"/>
      <c r="BD52" s="51"/>
      <c r="BE52" s="51"/>
      <c r="BF52" s="51"/>
      <c r="BG52" s="51"/>
      <c r="BH52" s="51"/>
      <c r="BI52" s="51"/>
      <c r="BJ52" s="51"/>
      <c r="BK52" s="51"/>
      <c r="BL52" s="51"/>
      <c r="BM52" s="51"/>
      <c r="BN52" s="51"/>
      <c r="BO52" s="51"/>
      <c r="BP52" s="51"/>
      <c r="BQ52" s="51"/>
      <c r="BR52" s="51"/>
      <c r="BS52" s="51"/>
      <c r="BT52" s="51"/>
      <c r="BU52" s="51"/>
      <c r="BV52" s="51"/>
      <c r="BW52" s="51"/>
      <c r="BX52" s="51"/>
      <c r="BY52" s="51"/>
      <c r="BZ52" s="51"/>
      <c r="CA52" s="51"/>
      <c r="CB52" s="51"/>
      <c r="CC52" s="51"/>
      <c r="CD52" s="51"/>
      <c r="CE52" s="51"/>
      <c r="CF52" s="51"/>
      <c r="CG52" s="51"/>
      <c r="CH52" s="51"/>
      <c r="CI52" s="51"/>
      <c r="CJ52" s="51"/>
      <c r="CK52" s="51"/>
      <c r="CL52" s="51"/>
      <c r="CM52" s="51"/>
      <c r="CN52" s="51"/>
      <c r="CO52" s="51"/>
      <c r="CP52" s="51"/>
      <c r="CQ52" s="51"/>
      <c r="CR52" s="51"/>
      <c r="CS52" s="51"/>
      <c r="CT52" s="51"/>
      <c r="CU52" s="51"/>
      <c r="CV52" s="51"/>
      <c r="CW52" s="51"/>
      <c r="CX52" s="51"/>
      <c r="CY52" s="51"/>
      <c r="CZ52" s="51"/>
      <c r="DA52" s="51"/>
      <c r="DB52" s="51"/>
      <c r="DC52" s="51"/>
      <c r="DD52" s="51"/>
      <c r="DE52" s="51"/>
      <c r="DF52" s="51"/>
      <c r="DG52" s="51"/>
      <c r="DH52" s="51"/>
      <c r="DI52" s="51"/>
      <c r="DJ52" s="51"/>
      <c r="DK52" s="51"/>
      <c r="DL52" s="51"/>
      <c r="DM52" s="51"/>
      <c r="DN52" s="51"/>
      <c r="DO52" s="51"/>
      <c r="DP52" s="51"/>
      <c r="DQ52" s="51"/>
      <c r="DR52" s="51"/>
      <c r="DS52" s="51"/>
      <c r="DT52" s="51"/>
    </row>
    <row r="53" spans="1:124" s="79" customFormat="1" ht="21" customHeight="1" thickTop="1" x14ac:dyDescent="0.35">
      <c r="A53" s="104" t="s">
        <v>18</v>
      </c>
      <c r="B53" s="24">
        <f>+Base!B53</f>
        <v>6838</v>
      </c>
      <c r="C53" s="24">
        <f>+Base!C53</f>
        <v>7244.0131682715773</v>
      </c>
      <c r="D53" s="24">
        <f>+Base!D53</f>
        <v>7614.8328217481658</v>
      </c>
      <c r="E53" s="24">
        <f>+Base!E53</f>
        <v>7951.0707590505608</v>
      </c>
      <c r="F53" s="24">
        <f>+Base!F53</f>
        <v>8254.0505790007173</v>
      </c>
      <c r="G53" s="24">
        <f>+Base!G53</f>
        <v>8525.5874386257801</v>
      </c>
      <c r="H53" s="24">
        <f>+Base!H53</f>
        <v>8767.8063434235337</v>
      </c>
      <c r="I53" s="24">
        <f>+Base!I53</f>
        <v>8982.9978140746662</v>
      </c>
      <c r="J53" s="24">
        <f>+Base!J53</f>
        <v>9173.5073444878253</v>
      </c>
      <c r="K53" s="24">
        <f>+Base!K53</f>
        <v>9341.6539239806625</v>
      </c>
      <c r="L53" s="24">
        <f>+Base!L53</f>
        <v>9489.6726076231553</v>
      </c>
      <c r="M53" s="24">
        <f>+Base!M53</f>
        <v>9619.6763483350842</v>
      </c>
      <c r="N53" s="24">
        <f>+Base!N53</f>
        <v>9733.6328118544734</v>
      </c>
      <c r="O53" s="24">
        <f>+Base!O53</f>
        <v>9833.3525197035178</v>
      </c>
      <c r="P53" s="24">
        <f>+Base!P53</f>
        <v>9920.4853046792614</v>
      </c>
      <c r="Q53" s="24">
        <f>+Base!Q53</f>
        <v>9996.5226603527044</v>
      </c>
      <c r="R53" s="24">
        <f>+Base!R53</f>
        <v>10062.804091979313</v>
      </c>
      <c r="S53" s="24">
        <f>+Base!S53</f>
        <v>10120.526021146155</v>
      </c>
      <c r="T53" s="24">
        <f>+Base!T53</f>
        <v>10170.75216151042</v>
      </c>
      <c r="U53" s="24">
        <f>+Base!U53</f>
        <v>10214.424575159541</v>
      </c>
      <c r="V53" s="24">
        <f>+Base!V53</f>
        <v>10252.374848116402</v>
      </c>
      <c r="W53" s="24">
        <f>+Base!W53</f>
        <v>10285.334999620252</v>
      </c>
      <c r="X53" s="24">
        <f>+Base!X53</f>
        <v>10313.947872827168</v>
      </c>
      <c r="Y53" s="24">
        <f>+Base!Y53</f>
        <v>10338.776853219713</v>
      </c>
      <c r="Z53" s="24">
        <f>+Base!Z53</f>
        <v>10360.314832745784</v>
      </c>
      <c r="AA53" s="24">
        <f>+Base!AA53</f>
        <v>10378.992388692368</v>
      </c>
      <c r="AB53" s="24">
        <f>+Base!AB53</f>
        <v>10395.185181534063</v>
      </c>
      <c r="AC53" s="24">
        <f>+Base!AC53</f>
        <v>10409.220599442217</v>
      </c>
      <c r="AD53" s="24">
        <f>+Base!AD53</f>
        <v>10421.383691897539</v>
      </c>
      <c r="AE53" s="24">
        <f>+Base!AE53</f>
        <v>10431.922443305928</v>
      </c>
      <c r="AF53" s="24">
        <f>+Base!AF53</f>
        <v>10441.052441493106</v>
      </c>
      <c r="AG53" s="24">
        <f>+Base!AG53</f>
        <v>10448.960996817566</v>
      </c>
      <c r="AH53" s="24">
        <f>+Base!AH53</f>
        <v>10455.810766410352</v>
      </c>
      <c r="AI53" s="24">
        <f>+Base!AI53</f>
        <v>10461.742935471591</v>
      </c>
      <c r="AJ53" s="24">
        <f>+Base!AJ53</f>
        <v>10466.880004167821</v>
      </c>
      <c r="AK53" s="24">
        <f>+Base!AK53</f>
        <v>10471.3282248657</v>
      </c>
      <c r="AL53" s="24">
        <f>+Base!AL53</f>
        <v>10475.179730475338</v>
      </c>
      <c r="AM53" s="24">
        <f>+Base!AM53</f>
        <v>10478.514390742053</v>
      </c>
      <c r="AN53" s="24">
        <f>+Base!AN53</f>
        <v>10481.401429538373</v>
      </c>
      <c r="AO53" s="24">
        <f>+Base!AO53</f>
        <v>10483.900832641932</v>
      </c>
      <c r="AP53" s="24">
        <f>+Base!AP53</f>
        <v>10486.064572180732</v>
      </c>
      <c r="AQ53" s="24">
        <f>+Base!AQ53</f>
        <v>10487.937670903442</v>
      </c>
      <c r="AR53" s="24">
        <f>+Base!AR53</f>
        <v>10489.559126691636</v>
      </c>
      <c r="AS53" s="24">
        <f>+Base!AS53</f>
        <v>10490.962715265843</v>
      </c>
      <c r="AT53" s="24">
        <f>+Base!AT53</f>
        <v>10492.177686833749</v>
      </c>
      <c r="AU53" s="24">
        <f>+Base!AU53</f>
        <v>10493.229370469204</v>
      </c>
      <c r="AV53" s="24">
        <f>+Base!AV53</f>
        <v>10494.139698275025</v>
      </c>
      <c r="AW53" s="24">
        <f>+Base!AW53</f>
        <v>10494.927659850739</v>
      </c>
      <c r="AX53" s="24">
        <f>+Base!AX53</f>
        <v>10495.609696238218</v>
      </c>
      <c r="AY53" s="24">
        <f>+Base!AY53</f>
        <v>10496.200041334723</v>
      </c>
      <c r="AZ53" s="24">
        <f>+Base!AZ53</f>
        <v>10496.711017725867</v>
      </c>
      <c r="BA53" s="24">
        <f>+Base!BA53</f>
        <v>10497.153292984229</v>
      </c>
      <c r="BB53" s="24">
        <f>+Base!BB53</f>
        <v>10497.536101687356</v>
      </c>
      <c r="BC53" s="24">
        <f>+Base!BC53</f>
        <v>10497.867437718181</v>
      </c>
      <c r="BD53" s="24">
        <f>+Base!BD53</f>
        <v>10498.154220809072</v>
      </c>
      <c r="BE53" s="24">
        <f>+Base!BE53</f>
        <v>10498.402440766844</v>
      </c>
      <c r="BF53" s="24">
        <f>+Base!BF53</f>
        <v>10498.617282360547</v>
      </c>
      <c r="BG53" s="24">
        <f>+Base!BG53</f>
        <v>10498.803233457693</v>
      </c>
      <c r="BH53" s="24">
        <f>+Base!BH53</f>
        <v>10498.964178650702</v>
      </c>
      <c r="BI53" s="24">
        <f>+Base!BI53</f>
        <v>10499.103480316548</v>
      </c>
      <c r="BJ53" s="24"/>
      <c r="BK53" s="24"/>
      <c r="BL53" s="24"/>
      <c r="BM53" s="24"/>
      <c r="BN53" s="24"/>
      <c r="BO53" s="24"/>
      <c r="BP53" s="24"/>
      <c r="BQ53" s="24"/>
      <c r="BR53" s="24"/>
      <c r="BS53" s="24"/>
      <c r="BT53" s="24"/>
      <c r="BU53" s="24"/>
      <c r="BV53" s="24"/>
      <c r="BW53" s="24"/>
      <c r="BX53" s="24"/>
      <c r="BY53" s="24"/>
      <c r="BZ53" s="24"/>
      <c r="CA53" s="24"/>
      <c r="CB53" s="24"/>
      <c r="CC53" s="24"/>
      <c r="CD53" s="24"/>
      <c r="CE53" s="24"/>
      <c r="CF53" s="24"/>
      <c r="CG53" s="24"/>
      <c r="CH53" s="24"/>
      <c r="CI53" s="24"/>
      <c r="CJ53" s="24"/>
      <c r="CK53" s="24"/>
      <c r="CL53" s="24"/>
      <c r="CM53" s="24"/>
      <c r="CN53" s="24"/>
      <c r="CO53" s="24"/>
      <c r="CP53" s="24"/>
      <c r="CQ53" s="24"/>
      <c r="CR53" s="24"/>
      <c r="CS53" s="24"/>
      <c r="CT53" s="24"/>
      <c r="CU53" s="24"/>
      <c r="CV53" s="24"/>
      <c r="CW53" s="24"/>
      <c r="CX53" s="24"/>
      <c r="CY53" s="24"/>
      <c r="CZ53" s="24"/>
      <c r="DA53" s="24"/>
      <c r="DB53" s="24"/>
      <c r="DC53" s="24"/>
      <c r="DD53" s="24"/>
      <c r="DE53" s="24"/>
      <c r="DF53" s="24"/>
      <c r="DG53" s="24"/>
      <c r="DH53" s="24"/>
      <c r="DI53" s="24"/>
      <c r="DJ53" s="24"/>
      <c r="DK53" s="24"/>
      <c r="DL53" s="24"/>
      <c r="DM53" s="24"/>
      <c r="DN53" s="24"/>
      <c r="DO53" s="24"/>
      <c r="DP53" s="24"/>
      <c r="DQ53" s="24"/>
      <c r="DR53" s="24"/>
      <c r="DS53" s="24"/>
      <c r="DT53" s="24"/>
    </row>
    <row r="54" spans="1:124" ht="21" customHeight="1" x14ac:dyDescent="0.35">
      <c r="A54" s="92" t="s">
        <v>160</v>
      </c>
      <c r="C54" s="51">
        <f t="shared" ref="C54:BI54" si="7">+C53/B53-1</f>
        <v>5.9376011739043166E-2</v>
      </c>
      <c r="D54" s="51">
        <f t="shared" si="7"/>
        <v>5.1189809414035947E-2</v>
      </c>
      <c r="E54" s="51">
        <f t="shared" si="7"/>
        <v>4.4155655832927909E-2</v>
      </c>
      <c r="F54" s="51">
        <f t="shared" si="7"/>
        <v>3.8105536868135559E-2</v>
      </c>
      <c r="G54" s="51">
        <f t="shared" si="7"/>
        <v>3.2897406797564921E-2</v>
      </c>
      <c r="H54" s="51">
        <f t="shared" si="7"/>
        <v>2.841081703066739E-2</v>
      </c>
      <c r="I54" s="51">
        <f t="shared" si="7"/>
        <v>2.4543364921893129E-2</v>
      </c>
      <c r="J54" s="51">
        <f t="shared" si="7"/>
        <v>2.1207789911143804E-2</v>
      </c>
      <c r="K54" s="51">
        <f t="shared" si="7"/>
        <v>1.8329584659227738E-2</v>
      </c>
      <c r="L54" s="51">
        <f t="shared" si="7"/>
        <v>1.5845018970625624E-2</v>
      </c>
      <c r="M54" s="51">
        <f t="shared" si="7"/>
        <v>1.3699496925478227E-2</v>
      </c>
      <c r="N54" s="51">
        <f t="shared" si="7"/>
        <v>1.1846184777215774E-2</v>
      </c>
      <c r="O54" s="51">
        <f t="shared" si="7"/>
        <v>1.0244860246587217E-2</v>
      </c>
      <c r="P54" s="51">
        <f t="shared" si="7"/>
        <v>8.8609438948874519E-3</v>
      </c>
      <c r="Q54" s="51">
        <f t="shared" si="7"/>
        <v>7.6646810451479475E-3</v>
      </c>
      <c r="R54" s="51">
        <f t="shared" si="7"/>
        <v>6.6304487949082613E-3</v>
      </c>
      <c r="S54" s="51">
        <f t="shared" si="7"/>
        <v>5.736167437946138E-3</v>
      </c>
      <c r="T54" s="51">
        <f t="shared" si="7"/>
        <v>4.9627993900041023E-3</v>
      </c>
      <c r="U54" s="51">
        <f t="shared" si="7"/>
        <v>4.2939217233501914E-3</v>
      </c>
      <c r="V54" s="51">
        <f t="shared" si="7"/>
        <v>3.7153608289548501E-3</v>
      </c>
      <c r="W54" s="51">
        <f t="shared" si="7"/>
        <v>3.2148796734550178E-3</v>
      </c>
      <c r="X54" s="51">
        <f t="shared" si="7"/>
        <v>2.7819097003618509E-3</v>
      </c>
      <c r="Y54" s="51">
        <f t="shared" si="7"/>
        <v>2.4073207174102329E-3</v>
      </c>
      <c r="Z54" s="51">
        <f t="shared" si="7"/>
        <v>2.0832231734804196E-3</v>
      </c>
      <c r="AA54" s="51">
        <f t="shared" si="7"/>
        <v>1.8027981048944763E-3</v>
      </c>
      <c r="AB54" s="51">
        <f t="shared" si="7"/>
        <v>1.56015075792304E-3</v>
      </c>
      <c r="AC54" s="51">
        <f t="shared" si="7"/>
        <v>1.3501845001362422E-3</v>
      </c>
      <c r="AD54" s="51">
        <f t="shared" si="7"/>
        <v>1.1684921401295956E-3</v>
      </c>
      <c r="AE54" s="51">
        <f t="shared" si="7"/>
        <v>1.0112622008708883E-3</v>
      </c>
      <c r="AF54" s="51">
        <f t="shared" si="7"/>
        <v>8.7519805067537426E-4</v>
      </c>
      <c r="AG54" s="51">
        <f t="shared" si="7"/>
        <v>7.5744809910460731E-4</v>
      </c>
      <c r="AH54" s="51">
        <f t="shared" si="7"/>
        <v>6.5554552216928741E-4</v>
      </c>
      <c r="AI54" s="51">
        <f t="shared" si="7"/>
        <v>5.6735619970260665E-4</v>
      </c>
      <c r="AJ54" s="51">
        <f t="shared" si="7"/>
        <v>4.9103373385439575E-4</v>
      </c>
      <c r="AK54" s="51">
        <f t="shared" si="7"/>
        <v>4.249805764571235E-4</v>
      </c>
      <c r="AL54" s="51">
        <f t="shared" si="7"/>
        <v>3.6781442878397463E-4</v>
      </c>
      <c r="AM54" s="51">
        <f t="shared" si="7"/>
        <v>3.1833919345691797E-4</v>
      </c>
      <c r="AN54" s="51">
        <f t="shared" si="7"/>
        <v>2.7551985793627942E-4</v>
      </c>
      <c r="AO54" s="51">
        <f t="shared" si="7"/>
        <v>2.3846077457867487E-4</v>
      </c>
      <c r="AP54" s="51">
        <f t="shared" si="7"/>
        <v>2.0638687577667625E-4</v>
      </c>
      <c r="AQ54" s="51">
        <f t="shared" si="7"/>
        <v>1.7862742593433012E-4</v>
      </c>
      <c r="AR54" s="51">
        <f t="shared" si="7"/>
        <v>1.546019664755427E-4</v>
      </c>
      <c r="AS54" s="51">
        <f t="shared" si="7"/>
        <v>1.3380815697350279E-4</v>
      </c>
      <c r="AT54" s="51">
        <f t="shared" si="7"/>
        <v>1.1581125592385888E-4</v>
      </c>
      <c r="AU54" s="51">
        <f t="shared" si="7"/>
        <v>1.0023501953981828E-4</v>
      </c>
      <c r="AV54" s="51">
        <f t="shared" si="7"/>
        <v>8.6753827032826081E-5</v>
      </c>
      <c r="AW54" s="51">
        <f t="shared" si="7"/>
        <v>7.5085866814150748E-5</v>
      </c>
      <c r="AX54" s="51">
        <f t="shared" si="7"/>
        <v>6.498724046366533E-5</v>
      </c>
      <c r="AY54" s="51">
        <f t="shared" si="7"/>
        <v>5.6246860696163026E-5</v>
      </c>
      <c r="AZ54" s="51">
        <f t="shared" si="7"/>
        <v>4.8682036273284268E-5</v>
      </c>
      <c r="BA54" s="51">
        <f t="shared" si="7"/>
        <v>4.2134651283998181E-5</v>
      </c>
      <c r="BB54" s="51">
        <f t="shared" si="7"/>
        <v>3.6467858708144618E-5</v>
      </c>
      <c r="BC54" s="51">
        <f t="shared" si="7"/>
        <v>3.1563218989338893E-5</v>
      </c>
      <c r="BD54" s="51">
        <f t="shared" si="7"/>
        <v>2.7318223686068066E-5</v>
      </c>
      <c r="BE54" s="51">
        <f t="shared" si="7"/>
        <v>2.3644152348234471E-5</v>
      </c>
      <c r="BF54" s="51">
        <f t="shared" si="7"/>
        <v>2.0464217762139469E-5</v>
      </c>
      <c r="BG54" s="51">
        <f t="shared" si="7"/>
        <v>1.7711960741628729E-5</v>
      </c>
      <c r="BH54" s="51">
        <f t="shared" si="7"/>
        <v>1.5329860883150914E-5</v>
      </c>
      <c r="BI54" s="51">
        <f t="shared" si="7"/>
        <v>1.3268134215538296E-5</v>
      </c>
      <c r="BJ54" s="51"/>
      <c r="BK54" s="51"/>
      <c r="BL54" s="51"/>
      <c r="BM54" s="51"/>
      <c r="BN54" s="51"/>
      <c r="BO54" s="51"/>
      <c r="BP54" s="51"/>
      <c r="BQ54" s="51"/>
      <c r="BR54" s="51"/>
      <c r="BS54" s="51"/>
      <c r="BT54" s="51"/>
      <c r="BU54" s="51"/>
      <c r="BV54" s="51"/>
      <c r="BW54" s="51"/>
      <c r="BX54" s="51"/>
      <c r="BY54" s="51"/>
      <c r="BZ54" s="51"/>
      <c r="CA54" s="51"/>
      <c r="CB54" s="51"/>
      <c r="CC54" s="51"/>
      <c r="CD54" s="51"/>
      <c r="CE54" s="51"/>
      <c r="CF54" s="51"/>
      <c r="CG54" s="51"/>
      <c r="CH54" s="51"/>
      <c r="CI54" s="51"/>
      <c r="CJ54" s="51"/>
      <c r="CK54" s="51"/>
      <c r="CL54" s="51"/>
      <c r="CM54" s="51"/>
      <c r="CN54" s="51"/>
      <c r="CO54" s="51"/>
      <c r="CP54" s="51"/>
      <c r="CQ54" s="51"/>
      <c r="CR54" s="51"/>
      <c r="CS54" s="51"/>
      <c r="CT54" s="51"/>
      <c r="CU54" s="51"/>
      <c r="CV54" s="51"/>
      <c r="CW54" s="51"/>
      <c r="CX54" s="51"/>
      <c r="CY54" s="51"/>
      <c r="CZ54" s="51"/>
      <c r="DA54" s="51"/>
      <c r="DB54" s="51"/>
      <c r="DC54" s="51"/>
      <c r="DD54" s="51"/>
      <c r="DE54" s="51"/>
      <c r="DF54" s="51"/>
      <c r="DG54" s="51"/>
      <c r="DH54" s="51"/>
      <c r="DI54" s="51"/>
      <c r="DJ54" s="51"/>
      <c r="DK54" s="51"/>
      <c r="DL54" s="51"/>
      <c r="DM54" s="51"/>
      <c r="DN54" s="51"/>
      <c r="DO54" s="51"/>
      <c r="DP54" s="51"/>
      <c r="DQ54" s="51"/>
      <c r="DR54" s="51"/>
      <c r="DS54" s="51"/>
      <c r="DT54" s="51"/>
    </row>
    <row r="55" spans="1:124" s="59" customFormat="1" ht="38.4" customHeight="1" thickBot="1" x14ac:dyDescent="0.3">
      <c r="A55" s="88" t="s">
        <v>203</v>
      </c>
    </row>
    <row r="56" spans="1:124" s="23" customFormat="1" ht="21" customHeight="1" thickTop="1" thickBot="1" x14ac:dyDescent="0.35">
      <c r="A56" s="93" t="s">
        <v>8</v>
      </c>
      <c r="B56" s="60"/>
      <c r="C56" s="60"/>
      <c r="D56" s="60"/>
      <c r="E56" s="60"/>
      <c r="F56" s="60"/>
      <c r="G56" s="60"/>
      <c r="H56" s="60"/>
      <c r="I56" s="60"/>
      <c r="J56" s="60"/>
      <c r="K56" s="60"/>
      <c r="L56" s="60"/>
      <c r="M56" s="60"/>
      <c r="N56" s="60"/>
      <c r="O56" s="60"/>
      <c r="P56" s="60"/>
      <c r="Q56" s="60"/>
      <c r="R56" s="60"/>
      <c r="S56" s="60"/>
      <c r="T56" s="60"/>
      <c r="U56" s="60"/>
      <c r="V56" s="60"/>
      <c r="W56" s="60"/>
      <c r="X56" s="60"/>
      <c r="Y56" s="60"/>
      <c r="Z56" s="60"/>
      <c r="AA56" s="60"/>
      <c r="AB56" s="60"/>
      <c r="AC56" s="60"/>
      <c r="AD56" s="60"/>
      <c r="AE56" s="60"/>
      <c r="AF56" s="60"/>
      <c r="AG56" s="60"/>
      <c r="AH56" s="60"/>
      <c r="AI56" s="60"/>
      <c r="AJ56" s="60"/>
      <c r="AK56" s="60"/>
      <c r="AL56" s="60"/>
      <c r="AM56" s="60"/>
      <c r="AN56" s="60"/>
      <c r="AO56" s="60"/>
      <c r="AP56" s="60"/>
      <c r="AQ56" s="60"/>
      <c r="AR56" s="60"/>
      <c r="AS56" s="60"/>
      <c r="AT56" s="60"/>
      <c r="AU56" s="60"/>
      <c r="AV56" s="60"/>
      <c r="AW56" s="60"/>
      <c r="AX56" s="60"/>
      <c r="AY56" s="60"/>
      <c r="AZ56" s="60"/>
      <c r="BA56" s="60"/>
      <c r="BB56" s="60"/>
      <c r="BC56" s="60"/>
      <c r="BD56" s="60"/>
      <c r="BE56" s="60"/>
      <c r="BF56" s="60"/>
      <c r="BG56" s="60"/>
      <c r="BH56" s="60"/>
      <c r="BI56" s="60"/>
    </row>
    <row r="57" spans="1:124" s="23" customFormat="1" ht="21" customHeight="1" thickTop="1" x14ac:dyDescent="0.35">
      <c r="A57" s="92" t="s">
        <v>28</v>
      </c>
      <c r="B57" s="51">
        <f>+Base!B57</f>
        <v>6000</v>
      </c>
      <c r="C57" s="60"/>
      <c r="D57" s="60"/>
      <c r="E57" s="60"/>
      <c r="F57" s="60"/>
      <c r="G57" s="60"/>
      <c r="H57" s="60"/>
      <c r="I57" s="60"/>
      <c r="J57" s="60"/>
      <c r="K57" s="60"/>
      <c r="L57" s="60"/>
      <c r="M57" s="60"/>
      <c r="N57" s="60"/>
      <c r="O57" s="60"/>
      <c r="P57" s="60"/>
      <c r="Q57" s="60"/>
      <c r="R57" s="60"/>
      <c r="S57" s="60"/>
      <c r="T57" s="60"/>
      <c r="U57" s="60"/>
      <c r="V57" s="60"/>
      <c r="W57" s="60"/>
      <c r="X57" s="60"/>
      <c r="Y57" s="60"/>
      <c r="Z57" s="60"/>
      <c r="AA57" s="60"/>
      <c r="AB57" s="60"/>
      <c r="AC57" s="60"/>
      <c r="AD57" s="60"/>
      <c r="AE57" s="60"/>
      <c r="AF57" s="60"/>
      <c r="AG57" s="60"/>
      <c r="AH57" s="60"/>
      <c r="AI57" s="60"/>
      <c r="AJ57" s="60"/>
      <c r="AK57" s="60"/>
      <c r="AL57" s="60"/>
      <c r="AM57" s="60"/>
      <c r="AN57" s="60"/>
      <c r="AO57" s="60"/>
      <c r="AP57" s="60"/>
      <c r="AQ57" s="60"/>
      <c r="AR57" s="60"/>
      <c r="AS57" s="60"/>
      <c r="AT57" s="60"/>
      <c r="AU57" s="60"/>
      <c r="AV57" s="60"/>
      <c r="AW57" s="60"/>
      <c r="AX57" s="60"/>
      <c r="AY57" s="60"/>
      <c r="AZ57" s="60"/>
      <c r="BA57" s="60"/>
      <c r="BB57" s="60"/>
      <c r="BC57" s="60"/>
      <c r="BD57" s="60"/>
      <c r="BE57" s="60"/>
      <c r="BF57" s="60"/>
      <c r="BG57" s="60"/>
      <c r="BH57" s="60"/>
      <c r="BI57" s="60"/>
    </row>
    <row r="58" spans="1:124" s="23" customFormat="1" ht="21" customHeight="1" thickBot="1" x14ac:dyDescent="0.35">
      <c r="A58" s="93" t="s">
        <v>216</v>
      </c>
      <c r="B58" s="60"/>
      <c r="C58" s="60"/>
      <c r="D58" s="60"/>
      <c r="E58" s="60"/>
      <c r="F58" s="60"/>
      <c r="G58" s="60"/>
      <c r="H58" s="60"/>
      <c r="I58" s="60"/>
      <c r="J58" s="60"/>
      <c r="K58" s="60"/>
      <c r="L58" s="60"/>
      <c r="M58" s="60"/>
      <c r="N58" s="60"/>
      <c r="O58" s="60"/>
      <c r="P58" s="60"/>
      <c r="Q58" s="60"/>
      <c r="R58" s="60"/>
      <c r="S58" s="60"/>
      <c r="T58" s="60"/>
      <c r="U58" s="60"/>
      <c r="V58" s="60"/>
      <c r="W58" s="60"/>
      <c r="X58" s="60"/>
      <c r="Y58" s="60"/>
      <c r="Z58" s="60"/>
      <c r="AA58" s="60"/>
      <c r="AB58" s="60"/>
      <c r="AC58" s="60"/>
      <c r="AD58" s="60"/>
      <c r="AE58" s="60"/>
      <c r="AF58" s="60"/>
      <c r="AG58" s="60"/>
      <c r="AH58" s="60"/>
      <c r="AI58" s="60"/>
      <c r="AJ58" s="60"/>
      <c r="AK58" s="60"/>
      <c r="AL58" s="60"/>
      <c r="AM58" s="60"/>
      <c r="AN58" s="60"/>
      <c r="AO58" s="60"/>
      <c r="AP58" s="60"/>
      <c r="AQ58" s="60"/>
      <c r="AR58" s="60"/>
      <c r="AS58" s="60"/>
      <c r="AT58" s="60"/>
      <c r="AU58" s="60"/>
      <c r="AV58" s="60"/>
      <c r="AW58" s="60"/>
      <c r="AX58" s="60"/>
      <c r="AY58" s="60"/>
      <c r="AZ58" s="60"/>
      <c r="BA58" s="60"/>
      <c r="BB58" s="60"/>
      <c r="BC58" s="60"/>
      <c r="BD58" s="60"/>
      <c r="BE58" s="60"/>
      <c r="BF58" s="60"/>
      <c r="BG58" s="60"/>
      <c r="BH58" s="60"/>
      <c r="BI58" s="60"/>
    </row>
    <row r="59" spans="1:124" s="23" customFormat="1" ht="21" customHeight="1" thickTop="1" x14ac:dyDescent="0.3">
      <c r="A59" s="92" t="s">
        <v>46</v>
      </c>
      <c r="D59" s="60"/>
      <c r="E59" s="60"/>
      <c r="F59" s="60"/>
      <c r="G59" s="60"/>
      <c r="H59" s="60"/>
      <c r="I59" s="60"/>
      <c r="J59" s="60"/>
      <c r="K59" s="60"/>
      <c r="L59" s="60"/>
      <c r="M59" s="60"/>
      <c r="N59" s="60"/>
      <c r="O59" s="60"/>
      <c r="P59" s="60"/>
      <c r="Q59" s="60"/>
      <c r="R59" s="60"/>
      <c r="S59" s="60"/>
      <c r="T59" s="60"/>
      <c r="U59" s="60"/>
      <c r="V59" s="60"/>
      <c r="W59" s="60"/>
      <c r="X59" s="60"/>
      <c r="Y59" s="60"/>
      <c r="Z59" s="60"/>
      <c r="AA59" s="60"/>
      <c r="AB59" s="60"/>
      <c r="AC59" s="60"/>
      <c r="AD59" s="60"/>
      <c r="AE59" s="60"/>
      <c r="AF59" s="60"/>
      <c r="AG59" s="60"/>
      <c r="AH59" s="60"/>
      <c r="AI59" s="60"/>
      <c r="AJ59" s="60"/>
      <c r="AK59" s="60"/>
      <c r="AL59" s="60"/>
      <c r="AM59" s="60"/>
      <c r="AN59" s="60"/>
      <c r="AO59" s="60"/>
      <c r="AP59" s="60"/>
      <c r="AQ59" s="60"/>
      <c r="AR59" s="60"/>
      <c r="AS59" s="60"/>
      <c r="AT59" s="60"/>
      <c r="AU59" s="60"/>
      <c r="AV59" s="60"/>
      <c r="AW59" s="60"/>
      <c r="AX59" s="60"/>
      <c r="AY59" s="60"/>
      <c r="AZ59" s="60"/>
      <c r="BA59" s="60"/>
      <c r="BB59" s="60"/>
      <c r="BC59" s="60"/>
      <c r="BD59" s="60"/>
      <c r="BE59" s="60"/>
      <c r="BF59" s="60"/>
      <c r="BG59" s="60"/>
      <c r="BH59" s="60"/>
      <c r="BI59" s="60"/>
    </row>
    <row r="60" spans="1:124" s="23" customFormat="1" ht="21" customHeight="1" x14ac:dyDescent="0.35">
      <c r="A60" s="92" t="s">
        <v>271</v>
      </c>
      <c r="B60" s="51">
        <f>+Base!B60</f>
        <v>818.98500000000001</v>
      </c>
      <c r="C60" s="60"/>
      <c r="D60" s="60"/>
      <c r="E60" s="60"/>
      <c r="F60" s="60"/>
      <c r="G60" s="60"/>
      <c r="H60" s="60"/>
      <c r="I60" s="60"/>
      <c r="J60" s="60"/>
      <c r="K60" s="60"/>
      <c r="L60" s="60"/>
      <c r="M60" s="60"/>
      <c r="N60" s="60"/>
      <c r="O60" s="60"/>
      <c r="P60" s="60"/>
      <c r="Q60" s="60"/>
      <c r="R60" s="60"/>
      <c r="S60" s="60"/>
      <c r="T60" s="60"/>
      <c r="U60" s="60"/>
      <c r="V60" s="60"/>
      <c r="W60" s="60"/>
      <c r="X60" s="60"/>
      <c r="Y60" s="60"/>
      <c r="Z60" s="60"/>
      <c r="AA60" s="60"/>
      <c r="AB60" s="60"/>
      <c r="AC60" s="60"/>
      <c r="AD60" s="60"/>
      <c r="AE60" s="60"/>
      <c r="AF60" s="60"/>
      <c r="AG60" s="60"/>
      <c r="AH60" s="60"/>
      <c r="AI60" s="60"/>
      <c r="AJ60" s="60"/>
      <c r="AK60" s="60"/>
      <c r="AL60" s="60"/>
      <c r="AM60" s="60"/>
      <c r="AN60" s="60"/>
      <c r="AO60" s="60"/>
      <c r="AP60" s="60"/>
      <c r="AQ60" s="60"/>
      <c r="AR60" s="60"/>
      <c r="AS60" s="60"/>
      <c r="AT60" s="60"/>
      <c r="AU60" s="60"/>
      <c r="AV60" s="60"/>
      <c r="AW60" s="60"/>
      <c r="AX60" s="60"/>
      <c r="AY60" s="60"/>
      <c r="AZ60" s="60"/>
      <c r="BA60" s="60"/>
      <c r="BB60" s="60"/>
      <c r="BC60" s="60"/>
      <c r="BD60" s="60"/>
      <c r="BE60" s="60"/>
      <c r="BF60" s="60"/>
      <c r="BG60" s="60"/>
      <c r="BH60" s="60"/>
      <c r="BI60" s="60"/>
    </row>
    <row r="61" spans="1:124" s="23" customFormat="1" ht="21" customHeight="1" x14ac:dyDescent="0.35">
      <c r="A61" s="92" t="s">
        <v>272</v>
      </c>
      <c r="B61" s="51">
        <f>+Base!B61</f>
        <v>839.64599999999996</v>
      </c>
      <c r="C61" s="60"/>
      <c r="D61" s="60"/>
      <c r="E61" s="60"/>
      <c r="F61" s="60"/>
      <c r="G61" s="60"/>
      <c r="H61" s="60"/>
      <c r="I61" s="60"/>
      <c r="J61" s="60"/>
      <c r="K61" s="60"/>
      <c r="L61" s="60"/>
      <c r="M61" s="60"/>
      <c r="N61" s="60"/>
      <c r="O61" s="60"/>
      <c r="P61" s="60"/>
      <c r="Q61" s="60"/>
      <c r="R61" s="60"/>
      <c r="S61" s="60"/>
      <c r="T61" s="60"/>
      <c r="U61" s="60"/>
      <c r="V61" s="60"/>
      <c r="W61" s="60"/>
      <c r="X61" s="60"/>
      <c r="Y61" s="60"/>
      <c r="Z61" s="60"/>
      <c r="AA61" s="60"/>
      <c r="AB61" s="60"/>
      <c r="AC61" s="60"/>
      <c r="AD61" s="60"/>
      <c r="AE61" s="60"/>
      <c r="AF61" s="60"/>
      <c r="AG61" s="60"/>
      <c r="AH61" s="60"/>
      <c r="AI61" s="60"/>
      <c r="AJ61" s="60"/>
      <c r="AK61" s="60"/>
      <c r="AL61" s="60"/>
      <c r="AM61" s="60"/>
      <c r="AN61" s="60"/>
      <c r="AO61" s="60"/>
      <c r="AP61" s="60"/>
      <c r="AQ61" s="60"/>
      <c r="AR61" s="60"/>
      <c r="AS61" s="60"/>
      <c r="AT61" s="60"/>
      <c r="AU61" s="60"/>
      <c r="AV61" s="60"/>
      <c r="AW61" s="60"/>
      <c r="AX61" s="60"/>
      <c r="AY61" s="60"/>
      <c r="AZ61" s="60"/>
      <c r="BA61" s="60"/>
      <c r="BB61" s="60"/>
      <c r="BC61" s="60"/>
      <c r="BD61" s="60"/>
      <c r="BE61" s="60"/>
      <c r="BF61" s="60"/>
      <c r="BG61" s="60"/>
      <c r="BH61" s="60"/>
      <c r="BI61" s="60"/>
    </row>
    <row r="62" spans="1:124" s="23" customFormat="1" ht="21" customHeight="1" x14ac:dyDescent="0.35">
      <c r="A62" s="92" t="s">
        <v>214</v>
      </c>
      <c r="B62" s="51">
        <f>+Base!B62</f>
        <v>1527</v>
      </c>
      <c r="C62" s="60"/>
      <c r="D62" s="60"/>
      <c r="E62" s="60"/>
      <c r="F62" s="60"/>
      <c r="G62" s="60"/>
      <c r="H62" s="60"/>
      <c r="I62" s="60"/>
      <c r="J62" s="60"/>
      <c r="K62" s="60"/>
      <c r="L62" s="60"/>
      <c r="M62" s="60"/>
      <c r="N62" s="60"/>
      <c r="O62" s="60"/>
      <c r="P62" s="60"/>
      <c r="Q62" s="60"/>
      <c r="R62" s="60"/>
      <c r="S62" s="60"/>
      <c r="T62" s="60"/>
      <c r="U62" s="60"/>
      <c r="V62" s="60"/>
      <c r="W62" s="60"/>
      <c r="X62" s="60"/>
      <c r="Y62" s="60"/>
      <c r="Z62" s="60"/>
      <c r="AA62" s="60"/>
      <c r="AB62" s="60"/>
      <c r="AC62" s="60"/>
      <c r="AD62" s="60"/>
      <c r="AE62" s="60"/>
      <c r="AF62" s="60"/>
      <c r="AG62" s="60"/>
      <c r="AH62" s="60"/>
      <c r="AI62" s="60"/>
      <c r="AJ62" s="60"/>
      <c r="AK62" s="60"/>
      <c r="AL62" s="60"/>
      <c r="AM62" s="60"/>
      <c r="AN62" s="60"/>
      <c r="AO62" s="60"/>
      <c r="AP62" s="60"/>
      <c r="AQ62" s="60"/>
      <c r="AR62" s="60"/>
      <c r="AS62" s="60"/>
      <c r="AT62" s="60"/>
      <c r="AU62" s="60"/>
      <c r="AV62" s="60"/>
      <c r="AW62" s="60"/>
      <c r="AX62" s="60"/>
      <c r="AY62" s="60"/>
      <c r="AZ62" s="60"/>
      <c r="BA62" s="60"/>
      <c r="BB62" s="60"/>
      <c r="BC62" s="60"/>
      <c r="BD62" s="60"/>
      <c r="BE62" s="60"/>
      <c r="BF62" s="60"/>
      <c r="BG62" s="60"/>
      <c r="BH62" s="60"/>
      <c r="BI62" s="60"/>
    </row>
    <row r="63" spans="1:124" s="23" customFormat="1" ht="21" customHeight="1" x14ac:dyDescent="0.35">
      <c r="A63" s="92" t="s">
        <v>215</v>
      </c>
      <c r="B63" s="51">
        <f>+Base!B63</f>
        <v>10010</v>
      </c>
      <c r="C63" s="60"/>
      <c r="D63" s="60"/>
      <c r="E63" s="60"/>
      <c r="F63" s="60"/>
      <c r="G63" s="60"/>
      <c r="H63" s="60"/>
      <c r="I63" s="60"/>
      <c r="J63" s="60"/>
      <c r="K63" s="60"/>
      <c r="L63" s="60"/>
      <c r="M63" s="60"/>
      <c r="N63" s="60"/>
      <c r="O63" s="60"/>
      <c r="P63" s="60"/>
      <c r="Q63" s="60"/>
      <c r="R63" s="60"/>
      <c r="S63" s="60"/>
      <c r="T63" s="60"/>
      <c r="U63" s="60"/>
      <c r="V63" s="60"/>
      <c r="W63" s="60"/>
      <c r="X63" s="60"/>
      <c r="Y63" s="60"/>
      <c r="Z63" s="60"/>
      <c r="AA63" s="60"/>
      <c r="AB63" s="60"/>
      <c r="AC63" s="60"/>
      <c r="AD63" s="60"/>
      <c r="AE63" s="60"/>
      <c r="AF63" s="60"/>
      <c r="AG63" s="60"/>
      <c r="AH63" s="60"/>
      <c r="AI63" s="60"/>
      <c r="AJ63" s="60"/>
      <c r="AK63" s="60"/>
      <c r="AL63" s="60"/>
      <c r="AM63" s="60"/>
      <c r="AN63" s="60"/>
      <c r="AO63" s="60"/>
      <c r="AP63" s="60"/>
      <c r="AQ63" s="60"/>
      <c r="AR63" s="60"/>
      <c r="AS63" s="60"/>
      <c r="AT63" s="60"/>
      <c r="AU63" s="60"/>
      <c r="AV63" s="60"/>
      <c r="AW63" s="60"/>
      <c r="AX63" s="60"/>
      <c r="AY63" s="60"/>
      <c r="AZ63" s="60"/>
      <c r="BA63" s="60"/>
      <c r="BB63" s="60"/>
      <c r="BC63" s="60"/>
      <c r="BD63" s="60"/>
      <c r="BE63" s="60"/>
      <c r="BF63" s="60"/>
      <c r="BG63" s="60"/>
      <c r="BH63" s="60"/>
      <c r="BI63" s="60"/>
    </row>
    <row r="64" spans="1:124" s="23" customFormat="1" ht="21" customHeight="1" thickBot="1" x14ac:dyDescent="0.35">
      <c r="A64" s="93" t="s">
        <v>217</v>
      </c>
      <c r="B64" s="60"/>
      <c r="C64" s="60"/>
      <c r="D64" s="60"/>
      <c r="E64" s="60"/>
      <c r="F64" s="60"/>
      <c r="G64" s="60"/>
      <c r="H64" s="60"/>
      <c r="I64" s="60"/>
      <c r="J64" s="60"/>
      <c r="K64" s="60"/>
      <c r="L64" s="60"/>
      <c r="M64" s="60"/>
      <c r="N64" s="60"/>
      <c r="O64" s="60"/>
      <c r="P64" s="60"/>
      <c r="Q64" s="60"/>
      <c r="R64" s="60"/>
      <c r="S64" s="60"/>
      <c r="T64" s="60"/>
      <c r="U64" s="60"/>
      <c r="V64" s="60"/>
      <c r="W64" s="60"/>
      <c r="X64" s="60"/>
      <c r="Y64" s="60"/>
      <c r="Z64" s="60"/>
      <c r="AA64" s="60"/>
      <c r="AB64" s="60"/>
      <c r="AC64" s="60"/>
      <c r="AD64" s="60"/>
      <c r="AE64" s="60"/>
      <c r="AF64" s="60"/>
      <c r="AG64" s="60"/>
      <c r="AH64" s="60"/>
      <c r="AI64" s="60"/>
      <c r="AJ64" s="60"/>
      <c r="AK64" s="60"/>
      <c r="AL64" s="60"/>
      <c r="AM64" s="60"/>
      <c r="AN64" s="60"/>
      <c r="AO64" s="60"/>
      <c r="AP64" s="60"/>
      <c r="AQ64" s="60"/>
      <c r="AR64" s="60"/>
      <c r="AS64" s="60"/>
      <c r="AT64" s="60"/>
      <c r="AU64" s="60"/>
      <c r="AV64" s="60"/>
      <c r="AW64" s="60"/>
      <c r="AX64" s="60"/>
      <c r="AY64" s="60"/>
      <c r="AZ64" s="60"/>
      <c r="BA64" s="60"/>
      <c r="BB64" s="60"/>
      <c r="BC64" s="60"/>
      <c r="BD64" s="60"/>
      <c r="BE64" s="60"/>
      <c r="BF64" s="60"/>
      <c r="BG64" s="60"/>
      <c r="BH64" s="60"/>
      <c r="BI64" s="60"/>
    </row>
    <row r="65" spans="1:124" s="23" customFormat="1" ht="21" customHeight="1" thickTop="1" x14ac:dyDescent="0.35">
      <c r="A65" s="92" t="s">
        <v>218</v>
      </c>
      <c r="B65" s="51">
        <f>+Base!B65</f>
        <v>91.2</v>
      </c>
      <c r="C65" s="60"/>
      <c r="D65" s="60"/>
      <c r="E65" s="60"/>
      <c r="F65" s="60"/>
      <c r="G65" s="60"/>
      <c r="H65" s="60"/>
      <c r="I65" s="60"/>
      <c r="J65" s="60"/>
      <c r="K65" s="60"/>
      <c r="L65" s="60"/>
      <c r="M65" s="60"/>
      <c r="N65" s="60"/>
      <c r="O65" s="60"/>
      <c r="P65" s="60"/>
      <c r="Q65" s="60"/>
      <c r="R65" s="60"/>
      <c r="S65" s="60"/>
      <c r="T65" s="60"/>
      <c r="U65" s="60"/>
      <c r="V65" s="60"/>
      <c r="W65" s="60"/>
      <c r="X65" s="60"/>
      <c r="Y65" s="60"/>
      <c r="Z65" s="60"/>
      <c r="AA65" s="60"/>
      <c r="AB65" s="60"/>
      <c r="AC65" s="60"/>
      <c r="AD65" s="60"/>
      <c r="AE65" s="60"/>
      <c r="AF65" s="60"/>
      <c r="AG65" s="60"/>
      <c r="AH65" s="60"/>
      <c r="AI65" s="60"/>
      <c r="AJ65" s="60"/>
      <c r="AK65" s="60"/>
      <c r="AL65" s="60"/>
      <c r="AM65" s="60"/>
      <c r="AN65" s="60"/>
      <c r="AO65" s="60"/>
      <c r="AP65" s="60"/>
      <c r="AQ65" s="60"/>
      <c r="AR65" s="60"/>
      <c r="AS65" s="60"/>
      <c r="AT65" s="60"/>
      <c r="AU65" s="60"/>
      <c r="AV65" s="60"/>
      <c r="AW65" s="60"/>
      <c r="AX65" s="60"/>
      <c r="AY65" s="60"/>
      <c r="AZ65" s="60"/>
      <c r="BA65" s="60"/>
      <c r="BB65" s="60"/>
      <c r="BC65" s="60"/>
      <c r="BD65" s="60"/>
      <c r="BE65" s="60"/>
      <c r="BF65" s="60"/>
      <c r="BG65" s="60"/>
      <c r="BH65" s="60"/>
      <c r="BI65" s="60"/>
    </row>
    <row r="66" spans="1:124" s="23" customFormat="1" ht="21" customHeight="1" x14ac:dyDescent="0.35">
      <c r="A66" s="92" t="s">
        <v>219</v>
      </c>
      <c r="B66" s="51">
        <f>+Base!B66</f>
        <v>3.8328888888888892</v>
      </c>
      <c r="C66" s="60"/>
      <c r="D66" s="60"/>
      <c r="E66" s="60"/>
      <c r="F66" s="60"/>
      <c r="G66" s="60"/>
      <c r="H66" s="60"/>
      <c r="I66" s="60"/>
      <c r="J66" s="60"/>
      <c r="K66" s="60"/>
      <c r="L66" s="60"/>
      <c r="M66" s="60"/>
      <c r="N66" s="60"/>
      <c r="O66" s="60"/>
      <c r="P66" s="60"/>
      <c r="Q66" s="60"/>
      <c r="R66" s="60"/>
      <c r="S66" s="60"/>
      <c r="T66" s="60"/>
      <c r="U66" s="60"/>
      <c r="V66" s="60"/>
      <c r="W66" s="60"/>
      <c r="X66" s="60"/>
      <c r="Y66" s="60"/>
      <c r="Z66" s="60"/>
      <c r="AA66" s="60"/>
      <c r="AB66" s="60"/>
      <c r="AC66" s="60"/>
      <c r="AD66" s="60"/>
      <c r="AE66" s="60"/>
      <c r="AF66" s="60"/>
      <c r="AG66" s="60"/>
      <c r="AH66" s="60"/>
      <c r="AI66" s="60"/>
      <c r="AJ66" s="60"/>
      <c r="AK66" s="60"/>
      <c r="AL66" s="60"/>
      <c r="AM66" s="60"/>
      <c r="AN66" s="60"/>
      <c r="AO66" s="60"/>
      <c r="AP66" s="60"/>
      <c r="AQ66" s="60"/>
      <c r="AR66" s="60"/>
      <c r="AS66" s="60"/>
      <c r="AT66" s="60"/>
      <c r="AU66" s="60"/>
      <c r="AV66" s="60"/>
      <c r="AW66" s="60"/>
      <c r="AX66" s="60"/>
      <c r="AY66" s="60"/>
      <c r="AZ66" s="60"/>
      <c r="BA66" s="60"/>
      <c r="BB66" s="60"/>
      <c r="BC66" s="60"/>
      <c r="BD66" s="60"/>
      <c r="BE66" s="60"/>
      <c r="BF66" s="60"/>
      <c r="BG66" s="60"/>
      <c r="BH66" s="60"/>
      <c r="BI66" s="60"/>
    </row>
    <row r="67" spans="1:124" s="23" customFormat="1" ht="21" customHeight="1" x14ac:dyDescent="0.35">
      <c r="A67" s="92" t="s">
        <v>220</v>
      </c>
      <c r="B67" s="51">
        <f>+Base!B67</f>
        <v>8.8000000000000007</v>
      </c>
      <c r="C67" s="60"/>
      <c r="D67" s="60"/>
      <c r="E67" s="60"/>
      <c r="F67" s="60"/>
      <c r="G67" s="60"/>
      <c r="H67" s="60"/>
      <c r="I67" s="60"/>
      <c r="J67" s="60"/>
      <c r="K67" s="60"/>
      <c r="L67" s="60"/>
      <c r="M67" s="60"/>
      <c r="N67" s="60"/>
      <c r="O67" s="60"/>
      <c r="P67" s="60"/>
      <c r="Q67" s="60"/>
      <c r="R67" s="60"/>
      <c r="S67" s="60"/>
      <c r="T67" s="60"/>
      <c r="U67" s="60"/>
      <c r="V67" s="60"/>
      <c r="W67" s="60"/>
      <c r="X67" s="60"/>
      <c r="Y67" s="60"/>
      <c r="Z67" s="60"/>
      <c r="AA67" s="60"/>
      <c r="AB67" s="60"/>
      <c r="AC67" s="60"/>
      <c r="AD67" s="60"/>
      <c r="AE67" s="60"/>
      <c r="AF67" s="60"/>
      <c r="AG67" s="60"/>
      <c r="AH67" s="60"/>
      <c r="AI67" s="60"/>
      <c r="AJ67" s="60"/>
      <c r="AK67" s="60"/>
      <c r="AL67" s="60"/>
      <c r="AM67" s="60"/>
      <c r="AN67" s="60"/>
      <c r="AO67" s="60"/>
      <c r="AP67" s="60"/>
      <c r="AQ67" s="60"/>
      <c r="AR67" s="60"/>
      <c r="AS67" s="60"/>
      <c r="AT67" s="60"/>
      <c r="AU67" s="60"/>
      <c r="AV67" s="60"/>
      <c r="AW67" s="60"/>
      <c r="AX67" s="60"/>
      <c r="AY67" s="60"/>
      <c r="AZ67" s="60"/>
      <c r="BA67" s="60"/>
      <c r="BB67" s="60"/>
      <c r="BC67" s="60"/>
      <c r="BD67" s="60"/>
      <c r="BE67" s="60"/>
      <c r="BF67" s="60"/>
      <c r="BG67" s="60"/>
      <c r="BH67" s="60"/>
      <c r="BI67" s="60"/>
    </row>
    <row r="68" spans="1:124" s="23" customFormat="1" ht="21" customHeight="1" x14ac:dyDescent="0.35">
      <c r="A68" s="92" t="s">
        <v>224</v>
      </c>
      <c r="B68" s="51">
        <f>+Base!B68</f>
        <v>95.917111111111112</v>
      </c>
      <c r="C68" s="60"/>
      <c r="D68" s="60"/>
      <c r="E68" s="60"/>
      <c r="F68" s="60"/>
      <c r="G68" s="60"/>
      <c r="H68" s="60"/>
      <c r="I68" s="60"/>
      <c r="J68" s="60"/>
      <c r="K68" s="60"/>
      <c r="L68" s="60"/>
      <c r="M68" s="60"/>
      <c r="N68" s="60"/>
      <c r="O68" s="60"/>
      <c r="P68" s="60"/>
      <c r="Q68" s="60"/>
      <c r="R68" s="60"/>
      <c r="S68" s="60"/>
      <c r="T68" s="60"/>
      <c r="U68" s="60"/>
      <c r="V68" s="60"/>
      <c r="W68" s="60"/>
      <c r="X68" s="60"/>
      <c r="Y68" s="60"/>
      <c r="Z68" s="60"/>
      <c r="AA68" s="60"/>
      <c r="AB68" s="60"/>
      <c r="AC68" s="60"/>
      <c r="AD68" s="60"/>
      <c r="AE68" s="60"/>
      <c r="AF68" s="60"/>
      <c r="AG68" s="60"/>
      <c r="AH68" s="60"/>
      <c r="AI68" s="60"/>
      <c r="AJ68" s="60"/>
      <c r="AK68" s="60"/>
      <c r="AL68" s="60"/>
      <c r="AM68" s="60"/>
      <c r="AN68" s="60"/>
      <c r="AO68" s="60"/>
      <c r="AP68" s="60"/>
      <c r="AQ68" s="60"/>
      <c r="AR68" s="60"/>
      <c r="AS68" s="60"/>
      <c r="AT68" s="60"/>
      <c r="AU68" s="60"/>
      <c r="AV68" s="60"/>
      <c r="AW68" s="60"/>
      <c r="AX68" s="60"/>
      <c r="AY68" s="60"/>
      <c r="AZ68" s="60"/>
      <c r="BA68" s="60"/>
      <c r="BB68" s="60"/>
      <c r="BC68" s="60"/>
      <c r="BD68" s="60"/>
      <c r="BE68" s="60"/>
      <c r="BF68" s="60"/>
      <c r="BG68" s="60"/>
      <c r="BH68" s="60"/>
      <c r="BI68" s="60"/>
    </row>
    <row r="69" spans="1:124" s="23" customFormat="1" ht="21" customHeight="1" x14ac:dyDescent="0.35">
      <c r="A69" s="92" t="s">
        <v>221</v>
      </c>
      <c r="B69" s="51">
        <f>+Base!B69</f>
        <v>3.3750000000000002E-2</v>
      </c>
      <c r="C69" s="60"/>
      <c r="D69" s="60"/>
      <c r="E69" s="60"/>
      <c r="F69" s="60"/>
      <c r="G69" s="60"/>
      <c r="H69" s="60"/>
      <c r="I69" s="60"/>
      <c r="J69" s="60"/>
      <c r="K69" s="60"/>
      <c r="L69" s="60"/>
      <c r="M69" s="60"/>
      <c r="N69" s="60"/>
      <c r="O69" s="60"/>
      <c r="P69" s="60"/>
      <c r="Q69" s="60"/>
      <c r="R69" s="60"/>
      <c r="S69" s="60"/>
      <c r="T69" s="60"/>
      <c r="U69" s="60"/>
      <c r="V69" s="60"/>
      <c r="W69" s="60"/>
      <c r="X69" s="60"/>
      <c r="Y69" s="60"/>
      <c r="Z69" s="60"/>
      <c r="AA69" s="60"/>
      <c r="AB69" s="60"/>
      <c r="AC69" s="60"/>
      <c r="AD69" s="60"/>
      <c r="AE69" s="60"/>
      <c r="AF69" s="60"/>
      <c r="AG69" s="60"/>
      <c r="AH69" s="60"/>
      <c r="AI69" s="60"/>
      <c r="AJ69" s="60"/>
      <c r="AK69" s="60"/>
      <c r="AL69" s="60"/>
      <c r="AM69" s="60"/>
      <c r="AN69" s="60"/>
      <c r="AO69" s="60"/>
      <c r="AP69" s="60"/>
      <c r="AQ69" s="60"/>
      <c r="AR69" s="60"/>
      <c r="AS69" s="60"/>
      <c r="AT69" s="60"/>
      <c r="AU69" s="60"/>
      <c r="AV69" s="60"/>
      <c r="AW69" s="60"/>
      <c r="AX69" s="60"/>
      <c r="AY69" s="60"/>
      <c r="AZ69" s="60"/>
      <c r="BA69" s="60"/>
      <c r="BB69" s="60"/>
      <c r="BC69" s="60"/>
      <c r="BD69" s="60"/>
      <c r="BE69" s="60"/>
      <c r="BF69" s="60"/>
      <c r="BG69" s="60"/>
      <c r="BH69" s="60"/>
      <c r="BI69" s="60"/>
    </row>
    <row r="70" spans="1:124" s="23" customFormat="1" ht="21" customHeight="1" x14ac:dyDescent="0.35">
      <c r="A70" s="92" t="s">
        <v>222</v>
      </c>
      <c r="B70" s="51">
        <f>+Base!B70</f>
        <v>0.25</v>
      </c>
      <c r="C70" s="60"/>
      <c r="D70" s="60"/>
      <c r="E70" s="60"/>
      <c r="F70" s="60"/>
      <c r="G70" s="60"/>
      <c r="H70" s="60"/>
      <c r="I70" s="60"/>
      <c r="J70" s="60"/>
      <c r="K70" s="60"/>
      <c r="L70" s="60"/>
      <c r="M70" s="60"/>
      <c r="N70" s="60"/>
      <c r="O70" s="60"/>
      <c r="P70" s="60"/>
      <c r="Q70" s="60"/>
      <c r="R70" s="60"/>
      <c r="S70" s="60"/>
      <c r="T70" s="60"/>
      <c r="U70" s="60"/>
      <c r="V70" s="60"/>
      <c r="W70" s="60"/>
      <c r="X70" s="60"/>
      <c r="Y70" s="60"/>
      <c r="Z70" s="60"/>
      <c r="AA70" s="60"/>
      <c r="AB70" s="60"/>
      <c r="AC70" s="60"/>
      <c r="AD70" s="60"/>
      <c r="AE70" s="60"/>
      <c r="AF70" s="60"/>
      <c r="AG70" s="60"/>
      <c r="AH70" s="60"/>
      <c r="AI70" s="60"/>
      <c r="AJ70" s="60"/>
      <c r="AK70" s="60"/>
      <c r="AL70" s="60"/>
      <c r="AM70" s="60"/>
      <c r="AN70" s="60"/>
      <c r="AO70" s="60"/>
      <c r="AP70" s="60"/>
      <c r="AQ70" s="60"/>
      <c r="AR70" s="60"/>
      <c r="AS70" s="60"/>
      <c r="AT70" s="60"/>
      <c r="AU70" s="60"/>
      <c r="AV70" s="60"/>
      <c r="AW70" s="60"/>
      <c r="AX70" s="60"/>
      <c r="AY70" s="60"/>
      <c r="AZ70" s="60"/>
      <c r="BA70" s="60"/>
      <c r="BB70" s="60"/>
      <c r="BC70" s="60"/>
      <c r="BD70" s="60"/>
      <c r="BE70" s="60"/>
      <c r="BF70" s="60"/>
      <c r="BG70" s="60"/>
      <c r="BH70" s="60"/>
      <c r="BI70" s="60"/>
    </row>
    <row r="71" spans="1:124" s="23" customFormat="1" ht="21" customHeight="1" x14ac:dyDescent="0.35">
      <c r="A71" s="92" t="s">
        <v>223</v>
      </c>
      <c r="B71" s="51">
        <f>+Base!B71</f>
        <v>99.966250000000002</v>
      </c>
      <c r="C71" s="60"/>
      <c r="D71" s="60"/>
      <c r="E71" s="60"/>
      <c r="F71" s="60"/>
      <c r="G71" s="60"/>
      <c r="H71" s="60"/>
      <c r="I71" s="60"/>
      <c r="J71" s="60"/>
      <c r="K71" s="60"/>
      <c r="L71" s="60"/>
      <c r="M71" s="60"/>
      <c r="N71" s="60"/>
      <c r="O71" s="60"/>
      <c r="P71" s="60"/>
      <c r="Q71" s="60"/>
      <c r="R71" s="60"/>
      <c r="S71" s="60"/>
      <c r="T71" s="60"/>
      <c r="U71" s="60"/>
      <c r="V71" s="60"/>
      <c r="W71" s="60"/>
      <c r="X71" s="60"/>
      <c r="Y71" s="60"/>
      <c r="Z71" s="60"/>
      <c r="AA71" s="60"/>
      <c r="AB71" s="60"/>
      <c r="AC71" s="60"/>
      <c r="AD71" s="60"/>
      <c r="AE71" s="60"/>
      <c r="AF71" s="60"/>
      <c r="AG71" s="60"/>
      <c r="AH71" s="60"/>
      <c r="AI71" s="60"/>
      <c r="AJ71" s="60"/>
      <c r="AK71" s="60"/>
      <c r="AL71" s="60"/>
      <c r="AM71" s="60"/>
      <c r="AN71" s="60"/>
      <c r="AO71" s="60"/>
      <c r="AP71" s="60"/>
      <c r="AQ71" s="60"/>
      <c r="AR71" s="60"/>
      <c r="AS71" s="60"/>
      <c r="AT71" s="60"/>
      <c r="AU71" s="60"/>
      <c r="AV71" s="60"/>
      <c r="AW71" s="60"/>
      <c r="AX71" s="60"/>
      <c r="AY71" s="60"/>
      <c r="AZ71" s="60"/>
      <c r="BA71" s="60"/>
      <c r="BB71" s="60"/>
      <c r="BC71" s="60"/>
      <c r="BD71" s="60"/>
      <c r="BE71" s="60"/>
      <c r="BF71" s="60"/>
      <c r="BG71" s="60"/>
      <c r="BH71" s="60"/>
      <c r="BI71" s="60"/>
    </row>
    <row r="72" spans="1:124" s="23" customFormat="1" ht="21" customHeight="1" thickBot="1" x14ac:dyDescent="0.35">
      <c r="A72" s="93" t="s">
        <v>225</v>
      </c>
      <c r="B72" s="60"/>
      <c r="C72" s="60"/>
      <c r="D72" s="60"/>
      <c r="E72" s="60"/>
      <c r="F72" s="60"/>
      <c r="G72" s="60"/>
      <c r="H72" s="60"/>
      <c r="I72" s="60"/>
      <c r="J72" s="60"/>
      <c r="K72" s="60"/>
      <c r="L72" s="60"/>
      <c r="M72" s="60"/>
      <c r="N72" s="60"/>
      <c r="O72" s="60"/>
      <c r="P72" s="60"/>
      <c r="Q72" s="60"/>
      <c r="R72" s="60"/>
      <c r="S72" s="60"/>
      <c r="T72" s="60"/>
      <c r="U72" s="60"/>
      <c r="V72" s="60"/>
      <c r="W72" s="60"/>
      <c r="X72" s="60"/>
      <c r="Y72" s="60"/>
      <c r="Z72" s="60"/>
      <c r="AA72" s="60"/>
      <c r="AB72" s="60"/>
      <c r="AC72" s="60"/>
      <c r="AD72" s="60"/>
      <c r="AE72" s="60"/>
      <c r="AF72" s="60"/>
      <c r="AG72" s="60"/>
      <c r="AH72" s="60"/>
      <c r="AI72" s="60"/>
      <c r="AJ72" s="60"/>
      <c r="AK72" s="60"/>
      <c r="AL72" s="60"/>
      <c r="AM72" s="60"/>
      <c r="AN72" s="60"/>
      <c r="AO72" s="60"/>
      <c r="AP72" s="60"/>
      <c r="AQ72" s="60"/>
      <c r="AR72" s="60"/>
      <c r="AS72" s="60"/>
      <c r="AT72" s="60"/>
      <c r="AU72" s="60"/>
      <c r="AV72" s="60"/>
      <c r="AW72" s="60"/>
      <c r="AX72" s="60"/>
      <c r="AY72" s="60"/>
      <c r="AZ72" s="60"/>
      <c r="BA72" s="60"/>
      <c r="BB72" s="60"/>
      <c r="BC72" s="60"/>
      <c r="BD72" s="60"/>
      <c r="BE72" s="60"/>
      <c r="BF72" s="60"/>
      <c r="BG72" s="60"/>
      <c r="BH72" s="60"/>
      <c r="BI72" s="60"/>
    </row>
    <row r="73" spans="1:124" s="23" customFormat="1" ht="21" customHeight="1" thickTop="1" x14ac:dyDescent="0.35">
      <c r="A73" s="92" t="s">
        <v>42</v>
      </c>
      <c r="B73" s="51">
        <f>+Base!B73</f>
        <v>7.9999999999999932E-3</v>
      </c>
      <c r="C73" s="51">
        <f>+Base!C73</f>
        <v>4.1999999999999982E-2</v>
      </c>
      <c r="D73" s="51">
        <f>+Base!D73</f>
        <v>7.5999999999999984E-2</v>
      </c>
      <c r="E73" s="51">
        <f>+Base!E73</f>
        <v>0.10999999999999999</v>
      </c>
      <c r="F73" s="51">
        <f>+Base!F73</f>
        <v>0.14399999999999996</v>
      </c>
      <c r="G73" s="51">
        <f>+Base!G73</f>
        <v>0.17799999999999996</v>
      </c>
      <c r="H73" s="51">
        <f>+Base!H73</f>
        <v>0.21199999999999997</v>
      </c>
      <c r="I73" s="51">
        <f>+Base!I73</f>
        <v>0.24599999999999994</v>
      </c>
      <c r="J73" s="51">
        <f>+Base!J73</f>
        <v>0.27999999999999997</v>
      </c>
      <c r="K73" s="51">
        <f>+Base!K73</f>
        <v>0.31399999999999995</v>
      </c>
      <c r="L73" s="51">
        <f>+Base!L73</f>
        <v>0.34799999999999992</v>
      </c>
      <c r="M73" s="51">
        <f>+Base!M73</f>
        <v>0.38199999999999995</v>
      </c>
      <c r="N73" s="51">
        <f>+Base!N73</f>
        <v>0.41599999999999993</v>
      </c>
      <c r="O73" s="51">
        <f>+Base!O73</f>
        <v>0.4499999999999999</v>
      </c>
      <c r="P73" s="51">
        <f>+Base!P73</f>
        <v>0.48399999999999993</v>
      </c>
      <c r="Q73" s="51">
        <f>+Base!Q73</f>
        <v>0.51800000000000002</v>
      </c>
      <c r="R73" s="51">
        <f>+Base!R73</f>
        <v>0.55199999999999982</v>
      </c>
      <c r="S73" s="51">
        <f>+Base!S73</f>
        <v>0.58599999999999985</v>
      </c>
      <c r="T73" s="51">
        <f>+Base!T73</f>
        <v>0.62</v>
      </c>
      <c r="U73" s="51">
        <f>+Base!U73</f>
        <v>0.62</v>
      </c>
      <c r="V73" s="51">
        <f>+Base!V73</f>
        <v>0.62</v>
      </c>
      <c r="W73" s="51">
        <f>+Base!W73</f>
        <v>0.62</v>
      </c>
      <c r="X73" s="51">
        <f>+Base!X73</f>
        <v>0.62</v>
      </c>
      <c r="Y73" s="51">
        <f>+Base!Y73</f>
        <v>0.62</v>
      </c>
      <c r="Z73" s="51">
        <f>+Base!Z73</f>
        <v>0.62</v>
      </c>
      <c r="AA73" s="51">
        <f>+Base!AA73</f>
        <v>0.62</v>
      </c>
      <c r="AB73" s="51">
        <f>+Base!AB73</f>
        <v>0.62</v>
      </c>
      <c r="AC73" s="51">
        <f>+Base!AC73</f>
        <v>0.62</v>
      </c>
      <c r="AD73" s="51">
        <f>+Base!AD73</f>
        <v>0.62</v>
      </c>
      <c r="AE73" s="51">
        <f>+Base!AE73</f>
        <v>0.62</v>
      </c>
      <c r="AF73" s="51">
        <f>+Base!AF73</f>
        <v>0.62</v>
      </c>
      <c r="AG73" s="51">
        <f>+Base!AG73</f>
        <v>0.62</v>
      </c>
      <c r="AH73" s="51">
        <f>+Base!AH73</f>
        <v>0.62</v>
      </c>
      <c r="AI73" s="51">
        <f>+Base!AI73</f>
        <v>0.62</v>
      </c>
      <c r="AJ73" s="51">
        <f>+Base!AJ73</f>
        <v>0.62</v>
      </c>
      <c r="AK73" s="51">
        <f>+Base!AK73</f>
        <v>0.62</v>
      </c>
      <c r="AL73" s="51">
        <f>+Base!AL73</f>
        <v>0.62</v>
      </c>
      <c r="AM73" s="51">
        <f>+Base!AM73</f>
        <v>0.62</v>
      </c>
      <c r="AN73" s="51">
        <f>+Base!AN73</f>
        <v>0.62</v>
      </c>
      <c r="AO73" s="51">
        <f>+Base!AO73</f>
        <v>0.62</v>
      </c>
      <c r="AP73" s="51">
        <f>+Base!AP73</f>
        <v>0.62</v>
      </c>
      <c r="AQ73" s="51">
        <f>+Base!AQ73</f>
        <v>0.62</v>
      </c>
      <c r="AR73" s="51">
        <f>+Base!AR73</f>
        <v>0.62</v>
      </c>
      <c r="AS73" s="51">
        <f>+Base!AS73</f>
        <v>0.62</v>
      </c>
      <c r="AT73" s="51">
        <f>+Base!AT73</f>
        <v>0.62</v>
      </c>
      <c r="AU73" s="51">
        <f>+Base!AU73</f>
        <v>0.62</v>
      </c>
      <c r="AV73" s="51">
        <f>+Base!AV73</f>
        <v>0.62</v>
      </c>
      <c r="AW73" s="51">
        <f>+Base!AW73</f>
        <v>0.62</v>
      </c>
      <c r="AX73" s="51">
        <f>+Base!AX73</f>
        <v>0.62</v>
      </c>
      <c r="AY73" s="51">
        <f>+Base!AY73</f>
        <v>0.62</v>
      </c>
      <c r="AZ73" s="51">
        <f>+Base!AZ73</f>
        <v>0.62</v>
      </c>
      <c r="BA73" s="51">
        <f>+Base!BA73</f>
        <v>0.62</v>
      </c>
      <c r="BB73" s="51">
        <f>+Base!BB73</f>
        <v>0.62</v>
      </c>
      <c r="BC73" s="51">
        <f>+Base!BC73</f>
        <v>0.62</v>
      </c>
      <c r="BD73" s="51">
        <f>+Base!BD73</f>
        <v>0.62</v>
      </c>
      <c r="BE73" s="51">
        <f>+Base!BE73</f>
        <v>0.62</v>
      </c>
      <c r="BF73" s="51">
        <f>+Base!BF73</f>
        <v>0.62</v>
      </c>
      <c r="BG73" s="51">
        <f>+Base!BG73</f>
        <v>0.62</v>
      </c>
      <c r="BH73" s="51">
        <f>+Base!BH73</f>
        <v>0.62</v>
      </c>
      <c r="BI73" s="51">
        <f>+Base!BI73</f>
        <v>0.62</v>
      </c>
      <c r="BJ73" s="60"/>
      <c r="BK73" s="60"/>
      <c r="BL73" s="60"/>
      <c r="BM73" s="60"/>
      <c r="BN73" s="60"/>
      <c r="BO73" s="60"/>
      <c r="BP73" s="60"/>
      <c r="BQ73" s="60"/>
      <c r="BR73" s="60"/>
      <c r="BS73" s="60"/>
      <c r="BT73" s="60"/>
      <c r="BU73" s="60"/>
      <c r="BV73" s="60"/>
      <c r="BW73" s="60"/>
      <c r="BX73" s="60"/>
      <c r="BY73" s="60"/>
      <c r="BZ73" s="60"/>
      <c r="CA73" s="60"/>
      <c r="CB73" s="60"/>
      <c r="CC73" s="60"/>
      <c r="CD73" s="60"/>
      <c r="CE73" s="60"/>
      <c r="CF73" s="60"/>
      <c r="CG73" s="60"/>
      <c r="CH73" s="60"/>
      <c r="CI73" s="60"/>
      <c r="CJ73" s="60"/>
      <c r="CK73" s="60"/>
      <c r="CL73" s="60"/>
      <c r="CM73" s="60"/>
      <c r="CN73" s="60"/>
      <c r="CO73" s="60"/>
      <c r="CP73" s="60"/>
      <c r="CQ73" s="60"/>
      <c r="CR73" s="60"/>
      <c r="CS73" s="60"/>
      <c r="CT73" s="60"/>
      <c r="CU73" s="60"/>
      <c r="CV73" s="60"/>
      <c r="CW73" s="60"/>
      <c r="CX73" s="60"/>
      <c r="CY73" s="60"/>
      <c r="CZ73" s="60"/>
      <c r="DA73" s="60"/>
      <c r="DB73" s="60"/>
      <c r="DC73" s="60"/>
      <c r="DD73" s="60"/>
      <c r="DE73" s="60"/>
      <c r="DF73" s="60"/>
      <c r="DG73" s="60"/>
      <c r="DH73" s="60"/>
      <c r="DI73" s="60"/>
      <c r="DJ73" s="60"/>
      <c r="DK73" s="60"/>
      <c r="DL73" s="60"/>
      <c r="DM73" s="60"/>
      <c r="DN73" s="60"/>
      <c r="DO73" s="60"/>
      <c r="DP73" s="60"/>
      <c r="DQ73" s="60"/>
      <c r="DR73" s="60"/>
      <c r="DS73" s="60"/>
      <c r="DT73" s="60"/>
    </row>
    <row r="74" spans="1:124" s="23" customFormat="1" ht="21" customHeight="1" x14ac:dyDescent="0.35">
      <c r="A74" s="92" t="s">
        <v>186</v>
      </c>
      <c r="B74" s="51">
        <f>+Base!B74</f>
        <v>-0.06</v>
      </c>
      <c r="C74" s="60"/>
      <c r="D74" s="60"/>
      <c r="E74" s="60"/>
      <c r="F74" s="60"/>
      <c r="G74" s="60"/>
      <c r="H74" s="60"/>
      <c r="I74" s="60"/>
      <c r="J74" s="60"/>
      <c r="K74" s="60"/>
      <c r="L74" s="60"/>
      <c r="M74" s="60"/>
      <c r="N74" s="60"/>
      <c r="O74" s="60"/>
      <c r="P74" s="60"/>
      <c r="Q74" s="60"/>
      <c r="R74" s="60"/>
      <c r="S74" s="60"/>
      <c r="T74" s="60"/>
      <c r="U74" s="60"/>
      <c r="V74" s="60"/>
      <c r="W74" s="60"/>
      <c r="X74" s="60"/>
      <c r="Y74" s="60"/>
      <c r="Z74" s="60"/>
      <c r="AA74" s="60"/>
      <c r="AB74" s="60"/>
      <c r="AC74" s="60"/>
      <c r="AD74" s="60"/>
      <c r="AE74" s="60"/>
      <c r="AF74" s="60"/>
      <c r="AG74" s="60"/>
      <c r="AH74" s="60"/>
      <c r="AI74" s="60"/>
      <c r="AJ74" s="60"/>
      <c r="AK74" s="60"/>
      <c r="AL74" s="60"/>
      <c r="AM74" s="60"/>
      <c r="AN74" s="60"/>
      <c r="AO74" s="60"/>
      <c r="AP74" s="60"/>
      <c r="AQ74" s="60"/>
      <c r="AR74" s="60"/>
      <c r="AS74" s="60"/>
      <c r="AT74" s="60"/>
      <c r="AU74" s="60"/>
      <c r="AV74" s="60"/>
      <c r="AW74" s="60"/>
      <c r="AX74" s="60"/>
      <c r="AY74" s="60"/>
      <c r="AZ74" s="60"/>
      <c r="BA74" s="60"/>
      <c r="BB74" s="60"/>
      <c r="BC74" s="60"/>
      <c r="BD74" s="60"/>
      <c r="BE74" s="60"/>
      <c r="BF74" s="60"/>
      <c r="BG74" s="60"/>
      <c r="BH74" s="60"/>
      <c r="BI74" s="60"/>
    </row>
    <row r="75" spans="1:124" s="23" customFormat="1" ht="21" customHeight="1" x14ac:dyDescent="0.35">
      <c r="A75" s="92" t="s">
        <v>187</v>
      </c>
      <c r="B75" s="51">
        <f>+Base!B75</f>
        <v>0.62</v>
      </c>
      <c r="C75" s="60"/>
      <c r="D75" s="60"/>
      <c r="E75" s="60"/>
      <c r="F75" s="60"/>
      <c r="G75" s="60"/>
      <c r="H75" s="60"/>
      <c r="I75" s="60"/>
      <c r="J75" s="60"/>
      <c r="K75" s="60"/>
      <c r="L75" s="60"/>
      <c r="M75" s="60"/>
      <c r="N75" s="60"/>
      <c r="O75" s="60"/>
      <c r="P75" s="60"/>
      <c r="Q75" s="60"/>
      <c r="R75" s="60"/>
      <c r="S75" s="60"/>
      <c r="T75" s="60"/>
      <c r="U75" s="60"/>
      <c r="V75" s="60"/>
      <c r="W75" s="60"/>
      <c r="X75" s="60"/>
      <c r="Y75" s="60"/>
      <c r="Z75" s="60"/>
      <c r="AA75" s="60"/>
      <c r="AB75" s="60"/>
      <c r="AC75" s="60"/>
      <c r="AD75" s="60"/>
      <c r="AE75" s="60"/>
      <c r="AF75" s="60"/>
      <c r="AG75" s="60"/>
      <c r="AH75" s="60"/>
      <c r="AI75" s="60"/>
      <c r="AJ75" s="60"/>
      <c r="AK75" s="60"/>
      <c r="AL75" s="60"/>
      <c r="AM75" s="60"/>
      <c r="AN75" s="60"/>
      <c r="AO75" s="60"/>
      <c r="AP75" s="60"/>
      <c r="AQ75" s="60"/>
      <c r="AR75" s="60"/>
      <c r="AS75" s="60"/>
      <c r="AT75" s="60"/>
      <c r="AU75" s="60"/>
      <c r="AV75" s="60"/>
      <c r="AW75" s="60"/>
      <c r="AX75" s="60"/>
      <c r="AY75" s="60"/>
      <c r="AZ75" s="60"/>
      <c r="BA75" s="60"/>
      <c r="BB75" s="60"/>
      <c r="BC75" s="60"/>
      <c r="BD75" s="60"/>
      <c r="BE75" s="60"/>
      <c r="BF75" s="60"/>
      <c r="BG75" s="60"/>
      <c r="BH75" s="60"/>
      <c r="BI75" s="60"/>
    </row>
    <row r="76" spans="1:124" s="23" customFormat="1" ht="21" customHeight="1" x14ac:dyDescent="0.35">
      <c r="A76" s="92" t="s">
        <v>188</v>
      </c>
      <c r="B76" s="51">
        <f>+Base!B76</f>
        <v>0.83</v>
      </c>
      <c r="C76" s="60"/>
      <c r="D76" s="60"/>
      <c r="E76" s="60"/>
      <c r="F76" s="60"/>
      <c r="G76" s="60"/>
      <c r="H76" s="60"/>
      <c r="I76" s="60"/>
      <c r="J76" s="60"/>
      <c r="K76" s="60"/>
      <c r="L76" s="60"/>
      <c r="M76" s="60"/>
      <c r="N76" s="60"/>
      <c r="O76" s="60"/>
      <c r="P76" s="60"/>
      <c r="Q76" s="60"/>
      <c r="R76" s="60"/>
      <c r="S76" s="60"/>
      <c r="T76" s="60"/>
      <c r="U76" s="60"/>
      <c r="V76" s="60"/>
      <c r="W76" s="60"/>
      <c r="X76" s="60"/>
      <c r="Y76" s="60"/>
      <c r="Z76" s="60"/>
      <c r="AA76" s="60"/>
      <c r="AB76" s="60"/>
      <c r="AC76" s="60"/>
      <c r="AD76" s="60"/>
      <c r="AE76" s="60"/>
      <c r="AF76" s="60"/>
      <c r="AG76" s="60"/>
      <c r="AH76" s="60"/>
      <c r="AI76" s="60"/>
      <c r="AJ76" s="60"/>
      <c r="AK76" s="60"/>
      <c r="AL76" s="60"/>
      <c r="AM76" s="60"/>
      <c r="AN76" s="60"/>
      <c r="AO76" s="60"/>
      <c r="AP76" s="60"/>
      <c r="AQ76" s="60"/>
      <c r="AR76" s="60"/>
      <c r="AS76" s="60"/>
      <c r="AT76" s="60"/>
      <c r="AU76" s="60"/>
      <c r="AV76" s="60"/>
      <c r="AW76" s="60"/>
      <c r="AX76" s="60"/>
      <c r="AY76" s="60"/>
      <c r="AZ76" s="60"/>
      <c r="BA76" s="60"/>
      <c r="BB76" s="60"/>
      <c r="BC76" s="60"/>
      <c r="BD76" s="60"/>
      <c r="BE76" s="60"/>
      <c r="BF76" s="60"/>
      <c r="BG76" s="60"/>
      <c r="BH76" s="60"/>
      <c r="BI76" s="60"/>
    </row>
    <row r="77" spans="1:124" s="23" customFormat="1" ht="21" customHeight="1" x14ac:dyDescent="0.35">
      <c r="A77" s="92" t="s">
        <v>5</v>
      </c>
      <c r="B77" s="51">
        <f>+Base!B77</f>
        <v>6.7999999999999996E-3</v>
      </c>
      <c r="C77" s="60"/>
      <c r="D77" s="60"/>
      <c r="E77" s="60"/>
      <c r="F77" s="60"/>
      <c r="G77" s="60"/>
      <c r="H77" s="60"/>
      <c r="I77" s="60"/>
      <c r="J77" s="60"/>
      <c r="K77" s="60"/>
      <c r="L77" s="60"/>
      <c r="M77" s="60"/>
      <c r="N77" s="60"/>
      <c r="O77" s="60"/>
      <c r="P77" s="60"/>
      <c r="Q77" s="60"/>
      <c r="R77" s="60"/>
      <c r="S77" s="60"/>
      <c r="T77" s="60"/>
      <c r="U77" s="60"/>
      <c r="V77" s="60"/>
      <c r="W77" s="60"/>
      <c r="X77" s="60"/>
      <c r="Y77" s="60"/>
      <c r="Z77" s="60"/>
      <c r="AA77" s="60"/>
      <c r="AB77" s="60"/>
      <c r="AC77" s="60"/>
      <c r="AD77" s="60"/>
      <c r="AE77" s="60"/>
      <c r="AF77" s="60"/>
      <c r="AG77" s="60"/>
      <c r="AH77" s="60"/>
      <c r="AI77" s="60"/>
      <c r="AJ77" s="60"/>
      <c r="AK77" s="60"/>
      <c r="AL77" s="60"/>
      <c r="AM77" s="60"/>
      <c r="AN77" s="60"/>
      <c r="AO77" s="60"/>
      <c r="AP77" s="60"/>
      <c r="AQ77" s="60"/>
      <c r="AR77" s="60"/>
      <c r="AS77" s="60"/>
      <c r="AT77" s="60"/>
      <c r="AU77" s="60"/>
      <c r="AV77" s="60"/>
      <c r="AW77" s="60"/>
      <c r="AX77" s="60"/>
      <c r="AY77" s="60"/>
      <c r="AZ77" s="60"/>
      <c r="BA77" s="60"/>
      <c r="BB77" s="60"/>
      <c r="BC77" s="60"/>
      <c r="BD77" s="60"/>
      <c r="BE77" s="60"/>
      <c r="BF77" s="60"/>
      <c r="BG77" s="60"/>
      <c r="BH77" s="60"/>
      <c r="BI77" s="60"/>
    </row>
    <row r="78" spans="1:124" s="23" customFormat="1" ht="21" customHeight="1" thickBot="1" x14ac:dyDescent="0.35">
      <c r="A78" s="93" t="s">
        <v>227</v>
      </c>
      <c r="B78" s="60"/>
      <c r="C78" s="60"/>
      <c r="D78" s="60"/>
      <c r="E78" s="60"/>
      <c r="F78" s="60"/>
      <c r="G78" s="60"/>
      <c r="H78" s="60"/>
      <c r="I78" s="60"/>
      <c r="J78" s="60"/>
      <c r="K78" s="60"/>
      <c r="L78" s="60"/>
      <c r="M78" s="60"/>
      <c r="N78" s="60"/>
      <c r="O78" s="60"/>
      <c r="P78" s="60"/>
      <c r="Q78" s="60"/>
      <c r="R78" s="60"/>
      <c r="S78" s="60"/>
      <c r="T78" s="60"/>
      <c r="U78" s="60"/>
      <c r="V78" s="60"/>
      <c r="W78" s="60"/>
      <c r="X78" s="60"/>
      <c r="Y78" s="60"/>
      <c r="Z78" s="60"/>
      <c r="AA78" s="60"/>
      <c r="AB78" s="60"/>
      <c r="AC78" s="60"/>
      <c r="AD78" s="60"/>
      <c r="AE78" s="60"/>
      <c r="AF78" s="60"/>
      <c r="AG78" s="60"/>
      <c r="AH78" s="60"/>
      <c r="AI78" s="60"/>
      <c r="AJ78" s="60"/>
      <c r="AK78" s="60"/>
      <c r="AL78" s="60"/>
      <c r="AM78" s="60"/>
      <c r="AN78" s="60"/>
      <c r="AO78" s="60"/>
      <c r="AP78" s="60"/>
      <c r="AQ78" s="60"/>
      <c r="AR78" s="60"/>
      <c r="AS78" s="60"/>
      <c r="AT78" s="60"/>
      <c r="AU78" s="60"/>
      <c r="AV78" s="60"/>
      <c r="AW78" s="60"/>
      <c r="AX78" s="60"/>
      <c r="AY78" s="60"/>
      <c r="AZ78" s="60"/>
      <c r="BA78" s="60"/>
      <c r="BB78" s="60"/>
      <c r="BC78" s="60"/>
      <c r="BD78" s="60"/>
      <c r="BE78" s="60"/>
      <c r="BF78" s="60"/>
      <c r="BG78" s="60"/>
      <c r="BH78" s="60"/>
      <c r="BI78" s="60"/>
    </row>
    <row r="79" spans="1:124" s="23" customFormat="1" ht="21" customHeight="1" thickTop="1" x14ac:dyDescent="0.35">
      <c r="A79" s="92" t="s">
        <v>72</v>
      </c>
      <c r="B79" s="51">
        <f>+Base!B79</f>
        <v>3.2</v>
      </c>
      <c r="C79" s="60"/>
      <c r="D79" s="60"/>
      <c r="E79" s="60"/>
      <c r="F79" s="60"/>
      <c r="G79" s="60"/>
      <c r="H79" s="60"/>
      <c r="I79" s="60"/>
      <c r="J79" s="60"/>
      <c r="K79" s="60"/>
      <c r="L79" s="60"/>
      <c r="M79" s="60"/>
      <c r="N79" s="60"/>
      <c r="O79" s="60"/>
      <c r="P79" s="60"/>
      <c r="Q79" s="60"/>
      <c r="R79" s="60"/>
      <c r="S79" s="60"/>
      <c r="T79" s="60"/>
      <c r="U79" s="60"/>
      <c r="V79" s="60"/>
      <c r="W79" s="60"/>
      <c r="X79" s="60"/>
      <c r="Y79" s="60"/>
      <c r="Z79" s="60"/>
      <c r="AA79" s="60"/>
      <c r="AB79" s="60"/>
      <c r="AC79" s="60"/>
      <c r="AD79" s="60"/>
      <c r="AE79" s="60"/>
      <c r="AF79" s="60"/>
      <c r="AG79" s="60"/>
      <c r="AH79" s="60"/>
      <c r="AI79" s="60"/>
      <c r="AJ79" s="60"/>
      <c r="AK79" s="60"/>
      <c r="AL79" s="60"/>
      <c r="AM79" s="60"/>
      <c r="AN79" s="60"/>
      <c r="AO79" s="60"/>
      <c r="AP79" s="60"/>
      <c r="AQ79" s="60"/>
      <c r="AR79" s="60"/>
      <c r="AS79" s="60"/>
      <c r="AT79" s="60"/>
      <c r="AU79" s="60"/>
      <c r="AV79" s="60"/>
      <c r="AW79" s="60"/>
      <c r="AX79" s="60"/>
      <c r="AY79" s="60"/>
      <c r="AZ79" s="60"/>
      <c r="BA79" s="60"/>
      <c r="BB79" s="60"/>
      <c r="BC79" s="60"/>
      <c r="BD79" s="60"/>
      <c r="BE79" s="60"/>
      <c r="BF79" s="60"/>
      <c r="BG79" s="60"/>
      <c r="BH79" s="60"/>
      <c r="BI79" s="60"/>
    </row>
    <row r="80" spans="1:124" s="23" customFormat="1" ht="21" customHeight="1" x14ac:dyDescent="0.35">
      <c r="A80" s="92" t="s">
        <v>226</v>
      </c>
      <c r="B80" s="51">
        <f>+Base!B80</f>
        <v>3.8</v>
      </c>
      <c r="C80" s="60"/>
      <c r="D80" s="60"/>
      <c r="E80" s="60"/>
      <c r="F80" s="60"/>
      <c r="G80" s="60"/>
      <c r="H80" s="60"/>
      <c r="I80" s="60"/>
      <c r="J80" s="60"/>
      <c r="K80" s="60"/>
      <c r="L80" s="60"/>
      <c r="M80" s="60"/>
      <c r="N80" s="60"/>
      <c r="O80" s="60"/>
      <c r="P80" s="60"/>
      <c r="Q80" s="60"/>
      <c r="R80" s="60"/>
      <c r="S80" s="60"/>
      <c r="T80" s="60"/>
      <c r="U80" s="60"/>
      <c r="V80" s="60"/>
      <c r="W80" s="60"/>
      <c r="X80" s="60"/>
      <c r="Y80" s="60"/>
      <c r="Z80" s="60"/>
      <c r="AA80" s="60"/>
      <c r="AB80" s="60"/>
      <c r="AC80" s="60"/>
      <c r="AD80" s="60"/>
      <c r="AE80" s="60"/>
      <c r="AF80" s="60"/>
      <c r="AG80" s="60"/>
      <c r="AH80" s="60"/>
      <c r="AI80" s="60"/>
      <c r="AJ80" s="60"/>
      <c r="AK80" s="60"/>
      <c r="AL80" s="60"/>
      <c r="AM80" s="60"/>
      <c r="AN80" s="60"/>
      <c r="AO80" s="60"/>
      <c r="AP80" s="60"/>
      <c r="AQ80" s="60"/>
      <c r="AR80" s="60"/>
      <c r="AS80" s="60"/>
      <c r="AT80" s="60"/>
      <c r="AU80" s="60"/>
      <c r="AV80" s="60"/>
      <c r="AW80" s="60"/>
      <c r="AX80" s="60"/>
      <c r="AY80" s="60"/>
      <c r="AZ80" s="60"/>
      <c r="BA80" s="60"/>
      <c r="BB80" s="60"/>
      <c r="BC80" s="60"/>
      <c r="BD80" s="60"/>
      <c r="BE80" s="60"/>
      <c r="BF80" s="60"/>
      <c r="BG80" s="60"/>
      <c r="BH80" s="60"/>
      <c r="BI80" s="60"/>
    </row>
    <row r="81" spans="1:61" s="23" customFormat="1" ht="21" customHeight="1" thickBot="1" x14ac:dyDescent="0.35">
      <c r="A81" s="93" t="s">
        <v>228</v>
      </c>
      <c r="B81" s="60"/>
      <c r="C81" s="60"/>
      <c r="D81" s="60"/>
      <c r="E81" s="60"/>
      <c r="F81" s="60"/>
      <c r="G81" s="60"/>
      <c r="H81" s="60"/>
      <c r="I81" s="60"/>
      <c r="J81" s="60"/>
      <c r="K81" s="60"/>
      <c r="L81" s="60"/>
      <c r="M81" s="60"/>
      <c r="N81" s="60"/>
      <c r="O81" s="60"/>
      <c r="P81" s="60"/>
      <c r="Q81" s="60"/>
      <c r="R81" s="60"/>
      <c r="S81" s="60"/>
      <c r="T81" s="60"/>
      <c r="U81" s="60"/>
      <c r="V81" s="60"/>
      <c r="W81" s="60"/>
      <c r="X81" s="60"/>
      <c r="Y81" s="60"/>
      <c r="Z81" s="60"/>
      <c r="AA81" s="60"/>
      <c r="AB81" s="60"/>
      <c r="AC81" s="60"/>
      <c r="AD81" s="60"/>
      <c r="AE81" s="60"/>
      <c r="AF81" s="60"/>
      <c r="AG81" s="60"/>
      <c r="AH81" s="60"/>
      <c r="AI81" s="60"/>
      <c r="AJ81" s="60"/>
      <c r="AK81" s="60"/>
      <c r="AL81" s="60"/>
      <c r="AM81" s="60"/>
      <c r="AN81" s="60"/>
      <c r="AO81" s="60"/>
      <c r="AP81" s="60"/>
      <c r="AQ81" s="60"/>
      <c r="AR81" s="60"/>
      <c r="AS81" s="60"/>
      <c r="AT81" s="60"/>
      <c r="AU81" s="60"/>
      <c r="AV81" s="60"/>
      <c r="AW81" s="60"/>
      <c r="AX81" s="60"/>
      <c r="AY81" s="60"/>
      <c r="AZ81" s="60"/>
      <c r="BA81" s="60"/>
      <c r="BB81" s="60"/>
      <c r="BC81" s="60"/>
      <c r="BD81" s="60"/>
      <c r="BE81" s="60"/>
      <c r="BF81" s="60"/>
      <c r="BG81" s="60"/>
      <c r="BH81" s="60"/>
      <c r="BI81" s="60"/>
    </row>
    <row r="82" spans="1:61" s="23" customFormat="1" ht="21" customHeight="1" thickTop="1" x14ac:dyDescent="0.35">
      <c r="A82" s="92" t="s">
        <v>39</v>
      </c>
      <c r="B82" s="51">
        <f>+Base!B82</f>
        <v>0.104</v>
      </c>
      <c r="C82" s="60"/>
      <c r="D82" s="60"/>
      <c r="E82" s="60"/>
      <c r="F82" s="60"/>
      <c r="G82" s="60"/>
      <c r="H82" s="60"/>
      <c r="I82" s="60"/>
      <c r="J82" s="60"/>
      <c r="K82" s="60"/>
      <c r="L82" s="60"/>
      <c r="M82" s="60"/>
      <c r="N82" s="60"/>
      <c r="O82" s="60"/>
      <c r="P82" s="60"/>
      <c r="Q82" s="60"/>
      <c r="R82" s="60"/>
      <c r="S82" s="60"/>
      <c r="T82" s="60"/>
      <c r="U82" s="60"/>
      <c r="V82" s="60"/>
      <c r="W82" s="60"/>
      <c r="X82" s="60"/>
      <c r="Y82" s="60"/>
      <c r="Z82" s="60"/>
      <c r="AA82" s="60"/>
      <c r="AB82" s="60"/>
      <c r="AC82" s="60"/>
      <c r="AD82" s="60"/>
      <c r="AE82" s="60"/>
      <c r="AF82" s="60"/>
      <c r="AG82" s="60"/>
      <c r="AH82" s="60"/>
      <c r="AI82" s="60"/>
      <c r="AJ82" s="60"/>
      <c r="AK82" s="60"/>
      <c r="AL82" s="60"/>
      <c r="AM82" s="60"/>
      <c r="AN82" s="60"/>
      <c r="AO82" s="60"/>
      <c r="AP82" s="60"/>
      <c r="AQ82" s="60"/>
      <c r="AR82" s="60"/>
      <c r="AS82" s="60"/>
      <c r="AT82" s="60"/>
      <c r="AU82" s="60"/>
      <c r="AV82" s="60"/>
      <c r="AW82" s="60"/>
      <c r="AX82" s="60"/>
      <c r="AY82" s="60"/>
      <c r="AZ82" s="60"/>
      <c r="BA82" s="60"/>
      <c r="BB82" s="60"/>
      <c r="BC82" s="60"/>
      <c r="BD82" s="60"/>
      <c r="BE82" s="60"/>
      <c r="BF82" s="60"/>
      <c r="BG82" s="60"/>
      <c r="BH82" s="60"/>
      <c r="BI82" s="60"/>
    </row>
    <row r="83" spans="1:61" s="23" customFormat="1" ht="21" customHeight="1" x14ac:dyDescent="0.35">
      <c r="A83" s="92" t="s">
        <v>73</v>
      </c>
      <c r="B83" s="51">
        <f>+Base!B83</f>
        <v>8.7999999999999995E-2</v>
      </c>
      <c r="C83" s="60"/>
      <c r="D83" s="60"/>
      <c r="E83" s="60"/>
      <c r="F83" s="60"/>
      <c r="G83" s="60"/>
      <c r="H83" s="60"/>
      <c r="I83" s="60"/>
      <c r="J83" s="60"/>
      <c r="K83" s="60"/>
      <c r="L83" s="60"/>
      <c r="M83" s="60"/>
      <c r="N83" s="60"/>
      <c r="O83" s="60"/>
      <c r="P83" s="60"/>
      <c r="Q83" s="60"/>
      <c r="R83" s="60"/>
      <c r="S83" s="60"/>
      <c r="T83" s="60"/>
      <c r="U83" s="60"/>
      <c r="V83" s="60"/>
      <c r="W83" s="60"/>
      <c r="X83" s="60"/>
      <c r="Y83" s="60"/>
      <c r="Z83" s="60"/>
      <c r="AA83" s="60"/>
      <c r="AB83" s="60"/>
      <c r="AC83" s="60"/>
      <c r="AD83" s="60"/>
      <c r="AE83" s="60"/>
      <c r="AF83" s="60"/>
      <c r="AG83" s="60"/>
      <c r="AH83" s="60"/>
      <c r="AI83" s="60"/>
      <c r="AJ83" s="60"/>
      <c r="AK83" s="60"/>
      <c r="AL83" s="60"/>
      <c r="AM83" s="60"/>
      <c r="AN83" s="60"/>
      <c r="AO83" s="60"/>
      <c r="AP83" s="60"/>
      <c r="AQ83" s="60"/>
      <c r="AR83" s="60"/>
      <c r="AS83" s="60"/>
      <c r="AT83" s="60"/>
      <c r="AU83" s="60"/>
      <c r="AV83" s="60"/>
      <c r="AW83" s="60"/>
      <c r="AX83" s="60"/>
      <c r="AY83" s="60"/>
      <c r="AZ83" s="60"/>
      <c r="BA83" s="60"/>
      <c r="BB83" s="60"/>
      <c r="BC83" s="60"/>
      <c r="BD83" s="60"/>
      <c r="BE83" s="60"/>
      <c r="BF83" s="60"/>
      <c r="BG83" s="60"/>
      <c r="BH83" s="60"/>
      <c r="BI83" s="60"/>
    </row>
    <row r="84" spans="1:61" s="23" customFormat="1" ht="21" customHeight="1" x14ac:dyDescent="0.35">
      <c r="A84" s="92" t="s">
        <v>16</v>
      </c>
      <c r="B84" s="51">
        <f>+Base!B84</f>
        <v>2.5000000000000001E-2</v>
      </c>
      <c r="C84" s="60"/>
      <c r="D84" s="60"/>
      <c r="E84" s="60"/>
      <c r="F84" s="60"/>
      <c r="G84" s="60"/>
      <c r="H84" s="60"/>
      <c r="I84" s="60"/>
      <c r="J84" s="60"/>
      <c r="K84" s="60"/>
      <c r="L84" s="60"/>
      <c r="M84" s="60"/>
      <c r="N84" s="60"/>
      <c r="O84" s="60"/>
      <c r="P84" s="60"/>
      <c r="Q84" s="60"/>
      <c r="R84" s="60"/>
      <c r="S84" s="60"/>
      <c r="T84" s="60"/>
      <c r="U84" s="60"/>
      <c r="V84" s="60"/>
      <c r="W84" s="60"/>
      <c r="X84" s="60"/>
      <c r="Y84" s="60"/>
      <c r="Z84" s="60"/>
      <c r="AA84" s="60"/>
      <c r="AB84" s="60"/>
      <c r="AC84" s="60"/>
      <c r="AD84" s="60"/>
      <c r="AE84" s="60"/>
      <c r="AF84" s="60"/>
      <c r="AG84" s="60"/>
      <c r="AH84" s="60"/>
      <c r="AI84" s="60"/>
      <c r="AJ84" s="60"/>
      <c r="AK84" s="60"/>
      <c r="AL84" s="60"/>
      <c r="AM84" s="60"/>
      <c r="AN84" s="60"/>
      <c r="AO84" s="60"/>
      <c r="AP84" s="60"/>
      <c r="AQ84" s="60"/>
      <c r="AR84" s="60"/>
      <c r="AS84" s="60"/>
      <c r="AT84" s="60"/>
      <c r="AU84" s="60"/>
      <c r="AV84" s="60"/>
      <c r="AW84" s="60"/>
      <c r="AX84" s="60"/>
      <c r="AY84" s="60"/>
      <c r="AZ84" s="60"/>
      <c r="BA84" s="60"/>
      <c r="BB84" s="60"/>
      <c r="BC84" s="60"/>
      <c r="BD84" s="60"/>
      <c r="BE84" s="60"/>
      <c r="BF84" s="60"/>
      <c r="BG84" s="60"/>
      <c r="BH84" s="60"/>
      <c r="BI84" s="60"/>
    </row>
    <row r="85" spans="1:61" s="59" customFormat="1" ht="23" thickBot="1" x14ac:dyDescent="0.3">
      <c r="A85" s="88" t="s">
        <v>204</v>
      </c>
      <c r="B85" s="61"/>
    </row>
    <row r="86" spans="1:61" s="23" customFormat="1" ht="20.5" thickTop="1" thickBot="1" x14ac:dyDescent="0.35">
      <c r="A86" s="95" t="s">
        <v>153</v>
      </c>
    </row>
    <row r="87" spans="1:61" s="23" customFormat="1" ht="15" thickTop="1" x14ac:dyDescent="0.3">
      <c r="A87" s="92" t="s">
        <v>140</v>
      </c>
      <c r="B87" s="23">
        <f>+Base!B60</f>
        <v>818.98500000000001</v>
      </c>
      <c r="C87" s="23">
        <f>Base!$B65*B87/100+Base!$B66*B89/100+B113*5/3.666</f>
        <v>849.58946812766169</v>
      </c>
      <c r="D87" s="23">
        <f>Base!$B65*C87/100+Base!$B66*C89/100+C113*5/3.666</f>
        <v>880.96033738820415</v>
      </c>
      <c r="E87" s="23">
        <f>Base!$B65*D87/100+Base!$B66*D89/100+D113*5/3.666</f>
        <v>912.48167964635059</v>
      </c>
      <c r="F87" s="23">
        <f>Base!$B65*E87/100+Base!$B66*E89/100+E113*5/3.666</f>
        <v>943.94048079884908</v>
      </c>
      <c r="G87" s="23">
        <f>Base!$B65*F87/100+Base!$B66*F89/100+F113*5/3.666</f>
        <v>975.52956271041251</v>
      </c>
      <c r="H87" s="23">
        <f>Base!$B65*G87/100+Base!$B66*G89/100+G113*5/3.666</f>
        <v>1007.3885108645156</v>
      </c>
      <c r="I87" s="23">
        <f>Base!$B65*H87/100+Base!$B66*H89/100+H113*5/3.666</f>
        <v>1037.2366410817617</v>
      </c>
      <c r="J87" s="23">
        <f>Base!$B65*I87/100+Base!$B66*I89/100+I113*5/3.666</f>
        <v>1064.3842612759413</v>
      </c>
      <c r="K87" s="23">
        <f>Base!$B65*J87/100+Base!$B66*J89/100+J113*5/3.666</f>
        <v>1088.6203450282785</v>
      </c>
      <c r="L87" s="23">
        <f>Base!$B65*K87/100+Base!$B66*K89/100+K113*5/3.666</f>
        <v>1109.9425531745876</v>
      </c>
      <c r="M87" s="23">
        <f>Base!$B65*L87/100+Base!$B66*L89/100+L113*5/3.666</f>
        <v>1127.7933887023673</v>
      </c>
      <c r="N87" s="23">
        <f>Base!$B65*M87/100+Base!$B66*M89/100+M113*5/3.666</f>
        <v>1141.9824150872507</v>
      </c>
      <c r="O87" s="23">
        <f>Base!$B65*N87/100+Base!$B66*N89/100+N113*5/3.666</f>
        <v>1153.1412134506156</v>
      </c>
      <c r="P87" s="23">
        <f>Base!$B65*O87/100+Base!$B66*O89/100+O113*5/3.666</f>
        <v>1161.7622859063083</v>
      </c>
      <c r="Q87" s="23">
        <f>Base!$B65*P87/100+Base!$B66*P89/100+P113*5/3.666</f>
        <v>1168.3490757302168</v>
      </c>
      <c r="R87" s="23">
        <f>Base!$B65*Q87/100+Base!$B66*Q89/100+Q113*5/3.666</f>
        <v>1173.3034682537409</v>
      </c>
      <c r="S87" s="23">
        <f>Base!$B65*R87/100+Base!$B66*R89/100+R113*5/3.666</f>
        <v>1177.0121913602118</v>
      </c>
      <c r="T87" s="23">
        <f>Base!$B65*S87/100+Base!$B66*S89/100+S113*5/3.666</f>
        <v>1179.7871820349496</v>
      </c>
      <c r="U87" s="23">
        <f>Base!$B65*T87/100+Base!$B66*T89/100+T113*5/3.666</f>
        <v>1181.7433706833867</v>
      </c>
      <c r="V87" s="23">
        <f>Base!$B65*U87/100+Base!$B66*U89/100+U113*5/3.666</f>
        <v>1181.2020553837449</v>
      </c>
      <c r="W87" s="23">
        <f>Base!$B65*V87/100+Base!$B66*V89/100+V113*5/3.666</f>
        <v>1179.7802392182887</v>
      </c>
      <c r="X87" s="23">
        <f>Base!$B65*W87/100+Base!$B66*W89/100+W113*5/3.666</f>
        <v>1177.5960726410935</v>
      </c>
      <c r="Y87" s="23">
        <f>Base!$B65*X87/100+Base!$B66*X89/100+X113*5/3.666</f>
        <v>1174.7974679807203</v>
      </c>
      <c r="Z87" s="23">
        <f>Base!$B65*Y87/100+Base!$B66*Y89/100+Y113*5/3.666</f>
        <v>1171.4804324528147</v>
      </c>
      <c r="AA87" s="23">
        <f>Base!$B65*Z87/100+Base!$B66*Z89/100+Z113*5/3.666</f>
        <v>1167.7469847508346</v>
      </c>
      <c r="AB87" s="23">
        <f>Base!$B65*AA87/100+Base!$B66*AA89/100+AA113*5/3.666</f>
        <v>1163.6759028561296</v>
      </c>
      <c r="AC87" s="23">
        <f>Base!$B65*AB87/100+Base!$B66*AB89/100+AB113*5/3.666</f>
        <v>1161.2053990687575</v>
      </c>
      <c r="AD87" s="23">
        <f>Base!$B65*AC87/100+Base!$B66*AC89/100+AC113*5/3.666</f>
        <v>1159.8338792826876</v>
      </c>
      <c r="AE87" s="23">
        <f>Base!$B65*AD87/100+Base!$B66*AD89/100+AD113*5/3.666</f>
        <v>1159.4045342642783</v>
      </c>
      <c r="AF87" s="23">
        <f>Base!$B65*AE87/100+Base!$B66*AE89/100+AE113*5/3.666</f>
        <v>1159.779624030472</v>
      </c>
      <c r="AG87" s="23">
        <f>Base!$B65*AF87/100+Base!$B66*AF89/100+AF113*5/3.666</f>
        <v>1160.8382034353872</v>
      </c>
      <c r="AH87" s="23">
        <f>Base!$B65*AG87/100+Base!$B66*AG89/100+AG113*5/3.666</f>
        <v>1162.4741184049324</v>
      </c>
      <c r="AI87" s="23">
        <f>Base!$B65*AH87/100+Base!$B66*AH89/100+AH113*5/3.666</f>
        <v>1164.5942430840221</v>
      </c>
      <c r="AJ87" s="23">
        <f>Base!$B65*AI87/100+Base!$B66*AI89/100+AI113*5/3.666</f>
        <v>1167.1169299958026</v>
      </c>
      <c r="AK87" s="23">
        <f>Base!$B65*AJ87/100+Base!$B66*AJ89/100+AJ113*5/3.666</f>
        <v>1169.9706477209259</v>
      </c>
      <c r="AL87" s="23">
        <f>Base!$B65*AK87/100+Base!$B66*AK89/100+AK113*5/3.666</f>
        <v>1173.0927831754705</v>
      </c>
      <c r="AM87" s="23">
        <f>Base!$B65*AL87/100+Base!$B66*AL89/100+AL113*5/3.666</f>
        <v>1176.4285880465379</v>
      </c>
      <c r="AN87" s="23">
        <f>Base!$B65*AM87/100+Base!$B66*AM89/100+AM113*5/3.666</f>
        <v>1179.9302512087547</v>
      </c>
      <c r="AO87" s="23">
        <f>Base!$B65*AN87/100+Base!$B66*AN89/100+AN113*5/3.666</f>
        <v>1183.5560808869973</v>
      </c>
      <c r="AP87" s="23">
        <f>Base!$B65*AO87/100+Base!$B66*AO89/100+AO113*5/3.666</f>
        <v>1187.2697818961817</v>
      </c>
      <c r="AQ87" s="23">
        <f>Base!$B65*AP87/100+Base!$B66*AP89/100+AP113*5/3.666</f>
        <v>1191.0398142880263</v>
      </c>
      <c r="AR87" s="23">
        <f>Base!$B65*AQ87/100+Base!$B66*AQ89/100+AQ113*5/3.666</f>
        <v>1194.8388201010257</v>
      </c>
      <c r="AS87" s="23">
        <f>Base!$B65*AR87/100+Base!$B66*AR89/100+AR113*5/3.666</f>
        <v>1198.6431040986242</v>
      </c>
      <c r="AT87" s="23">
        <f>Base!$B65*AS87/100+Base!$B66*AS89/100+AS113*5/3.666</f>
        <v>1202.4321519215555</v>
      </c>
      <c r="AU87" s="23">
        <f>Base!$B65*AT87/100+Base!$B66*AT89/100+AT113*5/3.666</f>
        <v>1206.1881637410704</v>
      </c>
      <c r="AV87" s="23">
        <f>Base!$B65*AU87/100+Base!$B66*AU89/100+AU113*5/3.666</f>
        <v>1209.8955712855977</v>
      </c>
      <c r="AW87" s="23">
        <f>Base!$B65*AV87/100+Base!$B66*AV89/100+AV113*5/3.666</f>
        <v>1213.5404874313499</v>
      </c>
      <c r="AX87" s="23">
        <f>Base!$B65*AW87/100+Base!$B66*AW89/100+AW113*5/3.666</f>
        <v>1217.1100036889065</v>
      </c>
      <c r="AY87" s="23">
        <f>Base!$B65*AX87/100+Base!$B66*AX89/100+AX113*5/3.666</f>
        <v>1220.5911894452724</v>
      </c>
      <c r="AZ87" s="23">
        <f>Base!$B65*AY87/100+Base!$B66*AY89/100+AY113*5/3.666</f>
        <v>1223.9695320293069</v>
      </c>
      <c r="BA87" s="23">
        <f>Base!$B65*AZ87/100+Base!$B66*AZ89/100+AZ113*5/3.666</f>
        <v>1227.2263329091136</v>
      </c>
      <c r="BB87" s="23">
        <f>Base!$B65*BA87/100+Base!$B66*BA89/100+BA113*5/3.666</f>
        <v>1230.5006616085209</v>
      </c>
      <c r="BC87" s="23">
        <f>Base!$B65*BB87/100+Base!$B66*BB89/100+BB113*5/3.666</f>
        <v>1233.7421083568361</v>
      </c>
      <c r="BD87" s="23">
        <f>Base!$B65*BC87/100+Base!$B66*BC89/100+BC113*5/3.666</f>
        <v>1236.9171244039981</v>
      </c>
      <c r="BE87" s="23">
        <f>Base!$B65*BD87/100+Base!$B66*BD89/100+BD113*5/3.666</f>
        <v>1240.0037171732786</v>
      </c>
      <c r="BF87" s="23">
        <f>Base!$B65*BE87/100+Base!$B66*BE89/100+BE113*5/3.666</f>
        <v>1242.987842032011</v>
      </c>
      <c r="BG87" s="23">
        <f>Base!$B65*BF87/100+Base!$B66*BF89/100+BF113*5/3.666</f>
        <v>1245.8609325082082</v>
      </c>
      <c r="BH87" s="23">
        <f>Base!$B65*BG87/100+Base!$B66*BG89/100+BG113*5/3.666</f>
        <v>1248.6182019994237</v>
      </c>
      <c r="BI87" s="23">
        <f>Base!$B65*BH87/100+Base!$B66*BH89/100+BH113*5/3.666</f>
        <v>1251.2574719292591</v>
      </c>
    </row>
    <row r="88" spans="1:61" s="23" customFormat="1" x14ac:dyDescent="0.3">
      <c r="A88" s="92" t="s">
        <v>60</v>
      </c>
      <c r="B88" s="23">
        <f t="shared" ref="B88:BI88" si="8">+B87/2.13</f>
        <v>384.5</v>
      </c>
      <c r="C88" s="23">
        <f t="shared" si="8"/>
        <v>398.86829489561586</v>
      </c>
      <c r="D88" s="23">
        <f t="shared" si="8"/>
        <v>413.59640252967336</v>
      </c>
      <c r="E88" s="23">
        <f t="shared" si="8"/>
        <v>428.39515476354489</v>
      </c>
      <c r="F88" s="23">
        <f t="shared" si="8"/>
        <v>443.16454497598551</v>
      </c>
      <c r="G88" s="23">
        <f t="shared" si="8"/>
        <v>457.99509986404342</v>
      </c>
      <c r="H88" s="23">
        <f t="shared" si="8"/>
        <v>472.95235251855195</v>
      </c>
      <c r="I88" s="23">
        <f t="shared" si="8"/>
        <v>486.96555919331536</v>
      </c>
      <c r="J88" s="23">
        <f t="shared" si="8"/>
        <v>499.71092078682693</v>
      </c>
      <c r="K88" s="23">
        <f t="shared" si="8"/>
        <v>511.08936386304157</v>
      </c>
      <c r="L88" s="23">
        <f t="shared" si="8"/>
        <v>521.09979022281107</v>
      </c>
      <c r="M88" s="23">
        <f t="shared" si="8"/>
        <v>529.48046417951525</v>
      </c>
      <c r="N88" s="23">
        <f t="shared" si="8"/>
        <v>536.14197891420224</v>
      </c>
      <c r="O88" s="23">
        <f t="shared" si="8"/>
        <v>541.3808513852656</v>
      </c>
      <c r="P88" s="23">
        <f t="shared" si="8"/>
        <v>545.42830324239833</v>
      </c>
      <c r="Q88" s="23">
        <f t="shared" si="8"/>
        <v>548.52069283108767</v>
      </c>
      <c r="R88" s="23">
        <f t="shared" si="8"/>
        <v>550.84669871067649</v>
      </c>
      <c r="S88" s="23">
        <f t="shared" si="8"/>
        <v>552.58788326770514</v>
      </c>
      <c r="T88" s="23">
        <f t="shared" si="8"/>
        <v>553.89069579105615</v>
      </c>
      <c r="U88" s="23">
        <f t="shared" si="8"/>
        <v>554.80909421755246</v>
      </c>
      <c r="V88" s="23">
        <f t="shared" si="8"/>
        <v>554.55495557922302</v>
      </c>
      <c r="W88" s="23">
        <f t="shared" si="8"/>
        <v>553.88743625271775</v>
      </c>
      <c r="X88" s="23">
        <f t="shared" si="8"/>
        <v>552.86200593478577</v>
      </c>
      <c r="Y88" s="23">
        <f t="shared" si="8"/>
        <v>551.54810703320209</v>
      </c>
      <c r="Z88" s="23">
        <f t="shared" si="8"/>
        <v>549.990813358129</v>
      </c>
      <c r="AA88" s="23">
        <f t="shared" si="8"/>
        <v>548.23802100978151</v>
      </c>
      <c r="AB88" s="23">
        <f t="shared" si="8"/>
        <v>546.32671495592945</v>
      </c>
      <c r="AC88" s="23">
        <f t="shared" si="8"/>
        <v>545.1668540228909</v>
      </c>
      <c r="AD88" s="23">
        <f t="shared" si="8"/>
        <v>544.5229480200411</v>
      </c>
      <c r="AE88" s="23">
        <f t="shared" si="8"/>
        <v>544.32137758886302</v>
      </c>
      <c r="AF88" s="23">
        <f t="shared" si="8"/>
        <v>544.4974760706441</v>
      </c>
      <c r="AG88" s="23">
        <f t="shared" si="8"/>
        <v>544.99446170675458</v>
      </c>
      <c r="AH88" s="23">
        <f t="shared" si="8"/>
        <v>545.76249690372413</v>
      </c>
      <c r="AI88" s="23">
        <f t="shared" si="8"/>
        <v>546.75786060282735</v>
      </c>
      <c r="AJ88" s="23">
        <f t="shared" si="8"/>
        <v>547.94222065530641</v>
      </c>
      <c r="AK88" s="23">
        <f t="shared" si="8"/>
        <v>549.28199423517651</v>
      </c>
      <c r="AL88" s="23">
        <f t="shared" si="8"/>
        <v>550.74778552838995</v>
      </c>
      <c r="AM88" s="23">
        <f t="shared" si="8"/>
        <v>552.31389110166106</v>
      </c>
      <c r="AN88" s="23">
        <f t="shared" si="8"/>
        <v>553.95786441725579</v>
      </c>
      <c r="AO88" s="23">
        <f t="shared" si="8"/>
        <v>555.66013187182978</v>
      </c>
      <c r="AP88" s="23">
        <f t="shared" si="8"/>
        <v>557.40365347238583</v>
      </c>
      <c r="AQ88" s="23">
        <f t="shared" si="8"/>
        <v>559.17362173146773</v>
      </c>
      <c r="AR88" s="23">
        <f t="shared" si="8"/>
        <v>560.9571925356928</v>
      </c>
      <c r="AS88" s="23">
        <f t="shared" si="8"/>
        <v>562.74324136085647</v>
      </c>
      <c r="AT88" s="23">
        <f t="shared" si="8"/>
        <v>564.52213705237352</v>
      </c>
      <c r="AU88" s="23">
        <f t="shared" si="8"/>
        <v>566.28552288313165</v>
      </c>
      <c r="AV88" s="23">
        <f t="shared" si="8"/>
        <v>568.02608980544494</v>
      </c>
      <c r="AW88" s="23">
        <f t="shared" si="8"/>
        <v>569.7373180428873</v>
      </c>
      <c r="AX88" s="23">
        <f t="shared" si="8"/>
        <v>571.41314727178712</v>
      </c>
      <c r="AY88" s="23">
        <f t="shared" si="8"/>
        <v>573.04750678181813</v>
      </c>
      <c r="AZ88" s="23">
        <f t="shared" si="8"/>
        <v>574.63358311235072</v>
      </c>
      <c r="BA88" s="23">
        <f t="shared" si="8"/>
        <v>576.1625976099125</v>
      </c>
      <c r="BB88" s="23">
        <f t="shared" si="8"/>
        <v>577.699841130761</v>
      </c>
      <c r="BC88" s="23">
        <f t="shared" si="8"/>
        <v>579.2216471158855</v>
      </c>
      <c r="BD88" s="23">
        <f t="shared" si="8"/>
        <v>580.71226497840291</v>
      </c>
      <c r="BE88" s="23">
        <f t="shared" si="8"/>
        <v>582.1613695649196</v>
      </c>
      <c r="BF88" s="23">
        <f t="shared" si="8"/>
        <v>583.56236715117893</v>
      </c>
      <c r="BG88" s="23">
        <f t="shared" si="8"/>
        <v>584.91123591934661</v>
      </c>
      <c r="BH88" s="23">
        <f t="shared" si="8"/>
        <v>586.20572863822713</v>
      </c>
      <c r="BI88" s="23">
        <f t="shared" si="8"/>
        <v>587.44482250199962</v>
      </c>
    </row>
    <row r="89" spans="1:61" s="23" customFormat="1" x14ac:dyDescent="0.3">
      <c r="A89" s="92" t="s">
        <v>1</v>
      </c>
      <c r="B89" s="23">
        <f>Base!B62</f>
        <v>1527</v>
      </c>
      <c r="C89" s="23">
        <f>B87* Base!$B67/100+B89* Base!$B68/100+B90* Base!$B69/100</f>
        <v>1540.1033416666669</v>
      </c>
      <c r="D89" s="23">
        <f>C87* Base!$B67/100+C89* Base!$B68/100+C90* Base!$B69/100</f>
        <v>1555.3650298522739</v>
      </c>
      <c r="E89" s="23">
        <f>D87* Base!$B67/100+D89* Base!$B68/100+D90* Base!$B69/100</f>
        <v>1572.7643959722345</v>
      </c>
      <c r="F89" s="23">
        <f>E87* Base!$B67/100+E89* Base!$B68/100+E90* Base!$B69/100</f>
        <v>1592.2274154587919</v>
      </c>
      <c r="G89" s="23">
        <f>F87* Base!$B67/100+F89* Base!$B68/100+F90* Base!$B69/100</f>
        <v>1613.6643426432929</v>
      </c>
      <c r="H89" s="23">
        <f>G87* Base!$B67/100+G89* Base!$B68/100+G90* Base!$B69/100</f>
        <v>1637.0060661333844</v>
      </c>
      <c r="I89" s="23">
        <f>H87* Base!$B67/100+H89* Base!$B68/100+H90* Base!$B69/100</f>
        <v>1662.198581460583</v>
      </c>
      <c r="J89" s="23">
        <f>I87* Base!$B67/100+I89* Base!$B68/100+I90* Base!$B69/100</f>
        <v>1688.9893904921521</v>
      </c>
      <c r="K89" s="23">
        <f>J87* Base!$B67/100+J89* Base!$B68/100+J90* Base!$B69/100</f>
        <v>1717.0756129649574</v>
      </c>
      <c r="L89" s="23">
        <f>K87* Base!$B67/100+K89* Base!$B68/100+K90* Base!$B69/100</f>
        <v>1746.1481658970376</v>
      </c>
      <c r="M89" s="23">
        <f>L87* Base!$B67/100+L89* Base!$B68/100+L90* Base!$B69/100</f>
        <v>1775.9103810601164</v>
      </c>
      <c r="N89" s="23">
        <f>M87* Base!$B67/100+M89* Base!$B68/100+M90* Base!$B69/100</f>
        <v>1806.0286439471968</v>
      </c>
      <c r="O89" s="23">
        <f>N87* Base!$B67/100+N89* Base!$B68/100+N90* Base!$B69/100</f>
        <v>1836.1662033204345</v>
      </c>
      <c r="P89" s="23">
        <f>O87* Base!$B67/100+O89* Base!$B68/100+O90* Base!$B69/100</f>
        <v>1866.0556365515181</v>
      </c>
      <c r="Q89" s="23">
        <f>P87* Base!$B67/100+P89* Base!$B68/100+P90* Base!$B69/100</f>
        <v>1895.4837797746763</v>
      </c>
      <c r="R89" s="23">
        <f>Q87* Base!$B67/100+Q89* Base!$B68/100+Q90* Base!$B69/100</f>
        <v>1924.2904751583133</v>
      </c>
      <c r="S89" s="23">
        <f>R87* Base!$B67/100+R89* Base!$B68/100+R90* Base!$B69/100</f>
        <v>1952.3574694486281</v>
      </c>
      <c r="T89" s="23">
        <f>S87* Base!$B67/100+S89* Base!$B68/100+S90* Base!$B69/100</f>
        <v>1979.6053690618353</v>
      </c>
      <c r="U89" s="23">
        <f>T87* Base!$B67/100+T89* Base!$B68/100+T90* Base!$B69/100</f>
        <v>2005.9854717883952</v>
      </c>
      <c r="V89" s="23">
        <f>U87* Base!$B67/100+U89* Base!$B68/100+U90* Base!$B69/100</f>
        <v>2031.4611770524996</v>
      </c>
      <c r="W89" s="23">
        <f>V87* Base!$B67/100+V89* Base!$B68/100+V90* Base!$B69/100</f>
        <v>2055.8496521301608</v>
      </c>
      <c r="X89" s="23">
        <f>W87* Base!$B67/100+W89* Base!$B68/100+W90* Base!$B69/100</f>
        <v>2079.1178246550667</v>
      </c>
      <c r="Y89" s="23">
        <f>X87* Base!$B67/100+X89* Base!$B68/100+X90* Base!$B69/100</f>
        <v>2101.24436888429</v>
      </c>
      <c r="Z89" s="23">
        <f>Y87* Base!$B67/100+Y89* Base!$B68/100+Y90* Base!$B69/100</f>
        <v>2122.2218451140707</v>
      </c>
      <c r="AA89" s="23">
        <f>Z87* Base!$B67/100+Z89* Base!$B68/100+Z90* Base!$B69/100</f>
        <v>2142.0515650606567</v>
      </c>
      <c r="AB89" s="23">
        <f>AA87* Base!$B67/100+AA89* Base!$B68/100+AA90* Base!$B69/100</f>
        <v>2160.7437635536444</v>
      </c>
      <c r="AC89" s="23">
        <f>AB87* Base!$B67/100+AB89* Base!$B68/100+AB90* Base!$B69/100</f>
        <v>2178.3151890339491</v>
      </c>
      <c r="AD89" s="23">
        <f>AC87* Base!$B67/100+AC89* Base!$B68/100+AC90* Base!$B69/100</f>
        <v>2194.9524678393</v>
      </c>
      <c r="AE89" s="23">
        <f>AD87* Base!$B67/100+AD89* Base!$B68/100+AD90* Base!$B69/100</f>
        <v>2210.7904653291898</v>
      </c>
      <c r="AF89" s="23">
        <f>AE87* Base!$B67/100+AE89* Base!$B68/100+AE90* Base!$B69/100</f>
        <v>2225.9447404546604</v>
      </c>
      <c r="AG89" s="23">
        <f>AF87* Base!$B67/100+AF89* Base!$B68/100+AF90* Base!$B69/100</f>
        <v>2240.5140122256198</v>
      </c>
      <c r="AH89" s="23">
        <f>AG87* Base!$B67/100+AG89* Base!$B68/100+AG90* Base!$B69/100</f>
        <v>2254.5823253103322</v>
      </c>
      <c r="AI89" s="23">
        <f>AH87* Base!$B67/100+AH89* Base!$B68/100+AH90* Base!$B69/100</f>
        <v>2268.2209508702881</v>
      </c>
      <c r="AJ89" s="23">
        <f>AI87* Base!$B67/100+AI89* Base!$B68/100+AI90* Base!$B69/100</f>
        <v>2281.4900546426488</v>
      </c>
      <c r="AK89" s="23">
        <f>AJ87* Base!$B67/100+AJ89* Base!$B68/100+AJ90* Base!$B69/100</f>
        <v>2294.4401605199455</v>
      </c>
      <c r="AL89" s="23">
        <f>AK87* Base!$B67/100+AK89* Base!$B68/100+AK90* Base!$B69/100</f>
        <v>2307.1134344798302</v>
      </c>
      <c r="AM89" s="23">
        <f>AL87* Base!$B67/100+AL89* Base!$B68/100+AL90* Base!$B69/100</f>
        <v>2319.5448106857075</v>
      </c>
      <c r="AN89" s="23">
        <f>AM87* Base!$B67/100+AM89* Base!$B68/100+AM90* Base!$B69/100</f>
        <v>2331.7629788891959</v>
      </c>
      <c r="AO89" s="23">
        <f>AN87* Base!$B67/100+AN89* Base!$B68/100+AN90* Base!$B69/100</f>
        <v>2343.7912498845781</v>
      </c>
      <c r="AP89" s="23">
        <f>AO87* Base!$B67/100+AO89* Base!$B68/100+AO90* Base!$B69/100</f>
        <v>2355.648313652755</v>
      </c>
      <c r="AQ89" s="23">
        <f>AP87* Base!$B67/100+AP89* Base!$B68/100+AP90* Base!$B69/100</f>
        <v>2367.3489029435723</v>
      </c>
      <c r="AR89" s="23">
        <f>AQ87* Base!$B67/100+AQ89* Base!$B68/100+AQ90* Base!$B69/100</f>
        <v>2378.9043733218341</v>
      </c>
      <c r="AS89" s="23">
        <f>AR87* Base!$B67/100+AR89* Base!$B68/100+AR90* Base!$B69/100</f>
        <v>2390.3232090813303</v>
      </c>
      <c r="AT89" s="23">
        <f>AS87* Base!$B67/100+AS89* Base!$B68/100+AS90* Base!$B69/100</f>
        <v>2401.611462805065</v>
      </c>
      <c r="AU89" s="23">
        <f>AT87* Base!$B67/100+AT89* Base!$B68/100+AT90* Base!$B69/100</f>
        <v>2412.7731345737088</v>
      </c>
      <c r="AV89" s="23">
        <f>AU87* Base!$B67/100+AU89* Base!$B68/100+AU90* Base!$B69/100</f>
        <v>2423.8104946508215</v>
      </c>
      <c r="AW89" s="23">
        <f>AV87* Base!$B67/100+AV89* Base!$B68/100+AV90* Base!$B69/100</f>
        <v>2434.7243504898056</v>
      </c>
      <c r="AX89" s="23">
        <f>AW87* Base!$B67/100+AW89* Base!$B68/100+AW90* Base!$B69/100</f>
        <v>2445.5142544017795</v>
      </c>
      <c r="AY89" s="23">
        <f>AX87* Base!$B67/100+AX89* Base!$B68/100+AX90* Base!$B69/100</f>
        <v>2456.1786409221827</v>
      </c>
      <c r="AZ89" s="23">
        <f>AY87* Base!$B67/100+AY89* Base!$B68/100+AY90* Base!$B69/100</f>
        <v>2466.7148705011014</v>
      </c>
      <c r="BA89" s="23">
        <f>AZ87* Base!$B67/100+AZ89* Base!$B68/100+AZ90* Base!$B69/100</f>
        <v>2477.1191341345734</v>
      </c>
      <c r="BB89" s="23">
        <f>BA87* Base!$B67/100+BA89* Base!$B68/100+BA90* Base!$B69/100</f>
        <v>2487.3861327541672</v>
      </c>
      <c r="BC89" s="23">
        <f>BB87* Base!$B67/100+BB89* Base!$B68/100+BB90* Base!$B69/100</f>
        <v>2497.523021650381</v>
      </c>
      <c r="BD89" s="23">
        <f>BC87* Base!$B67/100+BC89* Base!$B68/100+BC90* Base!$B69/100</f>
        <v>2507.5322277926584</v>
      </c>
      <c r="BE89" s="23">
        <f>BD87* Base!$B67/100+BD89* Base!$B68/100+BD90* Base!$B69/100</f>
        <v>2517.4131266573741</v>
      </c>
      <c r="BF89" s="23">
        <f>BE87* Base!$B67/100+BE89* Base!$B68/100+BE90* Base!$B69/100</f>
        <v>2527.1631837622458</v>
      </c>
      <c r="BG89" s="23">
        <f>BF87* Base!$B67/100+BF89* Base!$B68/100+BF90* Base!$B69/100</f>
        <v>2536.7787320664111</v>
      </c>
      <c r="BH89" s="23">
        <f>BG87* Base!$B67/100+BG89* Base!$B68/100+BG90* Base!$B69/100</f>
        <v>2546.2555002875761</v>
      </c>
      <c r="BI89" s="23">
        <f>BH87* Base!$B67/100+BH89* Base!$B68/100+BH90* Base!$B69/100</f>
        <v>2555.5889701979836</v>
      </c>
    </row>
    <row r="90" spans="1:61" s="23" customFormat="1" x14ac:dyDescent="0.3">
      <c r="A90" s="92" t="s">
        <v>2</v>
      </c>
      <c r="B90" s="23">
        <f xml:space="preserve"> Base!B63</f>
        <v>10010</v>
      </c>
      <c r="C90" s="23">
        <f>( Base!$B70/100)*B89+( Base!$B71/100)*B90</f>
        <v>10010.439124999999</v>
      </c>
      <c r="D90" s="23">
        <f>( Base!$B70/100)*C89+( Base!$B71/100)*C90</f>
        <v>10010.910860149479</v>
      </c>
      <c r="E90" s="23">
        <f>( Base!$B70/100)*D89+( Base!$B71/100)*D90</f>
        <v>10011.420590308808</v>
      </c>
      <c r="F90" s="23">
        <f>( Base!$B70/100)*E89+( Base!$B71/100)*E90</f>
        <v>10011.973646849508</v>
      </c>
      <c r="G90" s="23">
        <f>( Base!$B70/100)*F89+( Base!$B71/100)*F90</f>
        <v>10012.575174282345</v>
      </c>
      <c r="H90" s="23">
        <f>( Base!$B70/100)*G89+( Base!$B71/100)*G90</f>
        <v>10013.230091017633</v>
      </c>
      <c r="I90" s="23">
        <f>( Base!$B70/100)*H89+( Base!$B71/100)*H90</f>
        <v>10013.943141027248</v>
      </c>
      <c r="J90" s="23">
        <f>( Base!$B70/100)*I89+( Base!$B71/100)*I90</f>
        <v>10014.718931670803</v>
      </c>
      <c r="K90" s="23">
        <f>( Base!$B70/100)*J89+( Base!$B71/100)*J90</f>
        <v>10015.561437507595</v>
      </c>
      <c r="L90" s="23">
        <f>( Base!$B70/100)*K89+( Base!$B71/100)*K90</f>
        <v>10016.473874554849</v>
      </c>
      <c r="M90" s="23">
        <f>( Base!$B70/100)*L89+( Base!$B71/100)*L90</f>
        <v>10017.458685036929</v>
      </c>
      <c r="N90" s="23">
        <f>( Base!$B70/100)*M89+( Base!$B71/100)*M90</f>
        <v>10018.517568683379</v>
      </c>
      <c r="O90" s="23">
        <f>( Base!$B70/100)*N89+( Base!$B71/100)*N90</f>
        <v>10019.651390613817</v>
      </c>
      <c r="P90" s="23">
        <f>( Base!$B70/100)*O89+( Base!$B71/100)*O90</f>
        <v>10020.860173777786</v>
      </c>
      <c r="Q90" s="23">
        <f>( Base!$B70/100)*P89+( Base!$B71/100)*P90</f>
        <v>10022.143272560515</v>
      </c>
      <c r="R90" s="23">
        <f>( Base!$B70/100)*Q89+( Base!$B71/100)*Q90</f>
        <v>10023.499508655463</v>
      </c>
      <c r="S90" s="23">
        <f>( Base!$B70/100)*R89+( Base!$B71/100)*R90</f>
        <v>10024.927303759187</v>
      </c>
      <c r="T90" s="23">
        <f>( Base!$B70/100)*S89+( Base!$B71/100)*S90</f>
        <v>10026.42478446779</v>
      </c>
      <c r="U90" s="23">
        <f>( Base!$B70/100)*T89+( Base!$B71/100)*T90</f>
        <v>10027.989879525687</v>
      </c>
      <c r="V90" s="23">
        <f>( Base!$B70/100)*U89+( Base!$B71/100)*U90</f>
        <v>10029.620396620818</v>
      </c>
      <c r="W90" s="23">
        <f>( Base!$B70/100)*V89+( Base!$B71/100)*V90</f>
        <v>10031.314052679591</v>
      </c>
      <c r="X90" s="23">
        <f>( Base!$B70/100)*W89+( Base!$B71/100)*W90</f>
        <v>10033.068108317137</v>
      </c>
      <c r="Y90" s="23">
        <f>( Base!$B70/100)*X89+( Base!$B71/100)*X90</f>
        <v>10034.879742392219</v>
      </c>
      <c r="Z90" s="23">
        <f>( Base!$B70/100)*Y89+( Base!$B71/100)*Y90</f>
        <v>10036.746081401372</v>
      </c>
      <c r="AA90" s="23">
        <f>( Base!$B70/100)*Z89+( Base!$B71/100)*Z90</f>
        <v>10038.664234211685</v>
      </c>
      <c r="AB90" s="23">
        <f>( Base!$B70/100)*AA89+( Base!$B71/100)*AA90</f>
        <v>10040.63131394529</v>
      </c>
      <c r="AC90" s="23">
        <f>( Base!$B70/100)*AB89+( Base!$B71/100)*AB90</f>
        <v>10042.644460285719</v>
      </c>
      <c r="AD90" s="23">
        <f>( Base!$B70/100)*AC89+( Base!$B71/100)*AC90</f>
        <v>10044.700855752957</v>
      </c>
      <c r="AE90" s="23">
        <f>( Base!$B70/100)*AD89+( Base!$B71/100)*AD90</f>
        <v>10046.798150383738</v>
      </c>
      <c r="AF90" s="23">
        <f>( Base!$B70/100)*AE89+( Base!$B71/100)*AE90</f>
        <v>10048.934332171306</v>
      </c>
      <c r="AG90" s="23">
        <f>( Base!$B70/100)*AF89+( Base!$B71/100)*AF90</f>
        <v>10051.107678685335</v>
      </c>
      <c r="AH90" s="23">
        <f>( Base!$B70/100)*AG89+( Base!$B71/100)*AG90</f>
        <v>10053.316714874343</v>
      </c>
      <c r="AI90" s="23">
        <f>( Base!$B70/100)*AH89+( Base!$B71/100)*AH90</f>
        <v>10055.560176296349</v>
      </c>
      <c r="AJ90" s="23">
        <f>( Base!$B70/100)*AI89+( Base!$B71/100)*AI90</f>
        <v>10057.836977114024</v>
      </c>
      <c r="AK90" s="23">
        <f>( Base!$B70/100)*AJ89+( Base!$B71/100)*AJ90</f>
        <v>10060.146182270855</v>
      </c>
      <c r="AL90" s="23">
        <f>( Base!$B70/100)*AK89+( Base!$B71/100)*AK90</f>
        <v>10062.486983335639</v>
      </c>
      <c r="AM90" s="23">
        <f>( Base!$B70/100)*AL89+( Base!$B71/100)*AL90</f>
        <v>10064.858677564962</v>
      </c>
      <c r="AN90" s="23">
        <f>( Base!$B70/100)*AM89+( Base!$B71/100)*AM90</f>
        <v>10067.260649787999</v>
      </c>
      <c r="AO90" s="23">
        <f>( Base!$B70/100)*AN89+( Base!$B71/100)*AN90</f>
        <v>10069.692356765918</v>
      </c>
      <c r="AP90" s="23">
        <f>( Base!$B70/100)*AO89+( Base!$B71/100)*AO90</f>
        <v>10072.153313720222</v>
      </c>
      <c r="AQ90" s="23">
        <f>( Base!$B70/100)*AP89+( Base!$B71/100)*AP90</f>
        <v>10074.643082760973</v>
      </c>
      <c r="AR90" s="23">
        <f>( Base!$B70/100)*AQ89+( Base!$B71/100)*AQ90</f>
        <v>10077.161262977901</v>
      </c>
      <c r="AS90" s="23">
        <f>( Base!$B70/100)*AR89+( Base!$B71/100)*AR90</f>
        <v>10079.707481984951</v>
      </c>
      <c r="AT90" s="23">
        <f>( Base!$B70/100)*AS89+( Base!$B71/100)*AS90</f>
        <v>10082.281388732485</v>
      </c>
      <c r="AU90" s="23">
        <f>( Base!$B70/100)*AT89+( Base!$B71/100)*AT90</f>
        <v>10084.8826474208</v>
      </c>
      <c r="AV90" s="23">
        <f>( Base!$B70/100)*AU89+( Base!$B71/100)*AU90</f>
        <v>10087.51093236373</v>
      </c>
      <c r="AW90" s="23">
        <f>( Base!$B70/100)*AV89+( Base!$B71/100)*AV90</f>
        <v>10090.165923660685</v>
      </c>
      <c r="AX90" s="23">
        <f>( Base!$B70/100)*AW89+( Base!$B71/100)*AW90</f>
        <v>10092.847303537674</v>
      </c>
      <c r="AY90" s="23">
        <f>( Base!$B70/100)*AX89+( Base!$B71/100)*AX90</f>
        <v>10095.554753208733</v>
      </c>
      <c r="AZ90" s="23">
        <f>( Base!$B70/100)*AY89+( Base!$B71/100)*AY90</f>
        <v>10098.287950081831</v>
      </c>
      <c r="BA90" s="23">
        <f>( Base!$B70/100)*AZ89+( Base!$B71/100)*AZ90</f>
        <v>10101.046565074932</v>
      </c>
      <c r="BB90" s="23">
        <f>( Base!$B70/100)*BA89+( Base!$B71/100)*BA90</f>
        <v>10103.830259694556</v>
      </c>
      <c r="BC90" s="23">
        <f>( Base!$B70/100)*BB89+( Base!$B71/100)*BB90</f>
        <v>10106.638682313795</v>
      </c>
      <c r="BD90" s="23">
        <f>( Base!$B70/100)*BC89+( Base!$B71/100)*BC90</f>
        <v>10109.47149931264</v>
      </c>
      <c r="BE90" s="23">
        <f>( Base!$B70/100)*BD89+( Base!$B71/100)*BD90</f>
        <v>10112.328383251102</v>
      </c>
      <c r="BF90" s="23">
        <f>( Base!$B70/100)*BE89+( Base!$B71/100)*BE90</f>
        <v>10115.209005238399</v>
      </c>
      <c r="BG90" s="23">
        <f>( Base!$B70/100)*BF89+( Base!$B71/100)*BF90</f>
        <v>10118.113030158538</v>
      </c>
      <c r="BH90" s="23">
        <f>( Base!$B70/100)*BG89+( Base!$B71/100)*BG90</f>
        <v>10121.040113841025</v>
      </c>
      <c r="BI90" s="23">
        <f>( Base!$B70/100)*BH89+( Base!$B71/100)*BH90</f>
        <v>10123.989901553323</v>
      </c>
    </row>
    <row r="91" spans="1:61" s="23" customFormat="1" ht="20" thickBot="1" x14ac:dyDescent="0.35">
      <c r="A91" s="95" t="s">
        <v>234</v>
      </c>
    </row>
    <row r="92" spans="1:61" s="23" customFormat="1" ht="15" thickTop="1" x14ac:dyDescent="0.3">
      <c r="A92" s="92" t="s">
        <v>6</v>
      </c>
      <c r="B92" s="23">
        <f>+Base!B92</f>
        <v>90</v>
      </c>
      <c r="C92" s="23">
        <f>+Parameters!C89+B114*5/3.666+B92</f>
        <v>132.04693479432834</v>
      </c>
      <c r="D92" s="23">
        <f>+Parameters!D89+C114*5/3.666+C92</f>
        <v>177.47122738995682</v>
      </c>
      <c r="E92" s="23">
        <f>+Parameters!E89+D114*5/3.666+D92</f>
        <v>225.55766592739394</v>
      </c>
      <c r="F92" s="23">
        <f>+Parameters!F89+E114*5/3.666+E92</f>
        <v>275.95734310715108</v>
      </c>
      <c r="G92" s="23">
        <f>+Parameters!G89+F114*5/3.666+F92</f>
        <v>328.72471963605039</v>
      </c>
      <c r="H92" s="23">
        <f>+Parameters!H89+G114*5/3.666+G92</f>
        <v>383.89218001553303</v>
      </c>
      <c r="I92" s="23">
        <f>+Parameters!I89+H114*5/3.666+H92</f>
        <v>439.09537316959285</v>
      </c>
      <c r="J92" s="23">
        <f>+Parameters!J89+I114*5/3.666+I92</f>
        <v>493.36919111889591</v>
      </c>
      <c r="K92" s="23">
        <f>+Parameters!K89+J114*5/3.666+J92</f>
        <v>546.18168164483006</v>
      </c>
      <c r="L92" s="23">
        <f>+Parameters!L89+K114*5/3.666+K92</f>
        <v>597.20702254167281</v>
      </c>
      <c r="M92" s="23">
        <f>+Parameters!M89+L114*5/3.666+L92</f>
        <v>645.57939793157152</v>
      </c>
      <c r="N92" s="23">
        <f>+Parameters!N89+M114*5/3.666+M92</f>
        <v>690.76518222355355</v>
      </c>
      <c r="O92" s="23">
        <f>+Parameters!O89+N114*5/3.666+N92</f>
        <v>733.05105098944819</v>
      </c>
      <c r="P92" s="23">
        <f>+Parameters!P89+O114*5/3.666+O92</f>
        <v>772.65489111927661</v>
      </c>
      <c r="Q92" s="23">
        <f>+Parameters!Q89+P114*5/3.666+P92</f>
        <v>809.86056397233892</v>
      </c>
      <c r="R92" s="23">
        <f>+Parameters!R89+Q114*5/3.666+Q92</f>
        <v>844.90400079306096</v>
      </c>
      <c r="S92" s="23">
        <f>+Parameters!S89+R114*5/3.666+R92</f>
        <v>878.04840354846169</v>
      </c>
      <c r="T92" s="23">
        <f>+Parameters!T89+S114*5/3.666+S92</f>
        <v>909.52148674892192</v>
      </c>
      <c r="U92" s="23">
        <f>+Parameters!U89+T114*5/3.666+T92</f>
        <v>939.38504294494567</v>
      </c>
      <c r="V92" s="23">
        <f>+Parameters!V89+U114*5/3.666+U92</f>
        <v>965.91968581504318</v>
      </c>
      <c r="W92" s="23">
        <f>+Parameters!W89+V114*5/3.666+V92</f>
        <v>990.55578943442299</v>
      </c>
      <c r="X92" s="23">
        <f>+Parameters!X89+W114*5/3.666+W92</f>
        <v>1013.3744819384019</v>
      </c>
      <c r="Y92" s="23">
        <f>+Parameters!Y89+X114*5/3.666+X92</f>
        <v>1034.4985603173106</v>
      </c>
      <c r="Z92" s="23">
        <f>+Parameters!Z89+Y114*5/3.666+Y92</f>
        <v>1054.0129438163217</v>
      </c>
      <c r="AA92" s="23">
        <f>+Parameters!AA89+Z114*5/3.666+Z92</f>
        <v>1072.017451901625</v>
      </c>
      <c r="AB92" s="23">
        <f>+Parameters!AB89+AA114*5/3.666+AA92</f>
        <v>1088.5977146578218</v>
      </c>
      <c r="AC92" s="23">
        <f>+Parameters!AC89+AB114*5/3.666+AB92</f>
        <v>1105.7054358306289</v>
      </c>
      <c r="AD92" s="23">
        <f>+Parameters!AD89+AC114*5/3.666+AC92</f>
        <v>1123.0225128287061</v>
      </c>
      <c r="AE92" s="23">
        <f>+Parameters!AE89+AD114*5/3.666+AD92</f>
        <v>1140.5243979402144</v>
      </c>
      <c r="AF92" s="23">
        <f>+Parameters!AF89+AE114*5/3.666+AE92</f>
        <v>1158.1866950268438</v>
      </c>
      <c r="AG92" s="23">
        <f>+Parameters!AG89+AF114*5/3.666+AF92</f>
        <v>1175.985293042665</v>
      </c>
      <c r="AH92" s="23">
        <f>+Parameters!AH89+AG114*5/3.666+AG92</f>
        <v>1193.8964775466638</v>
      </c>
      <c r="AI92" s="23">
        <f>+Parameters!AI89+AH114*5/3.666+AH92</f>
        <v>1211.8970254163021</v>
      </c>
      <c r="AJ92" s="23">
        <f>+Parameters!AJ89+AI114*5/3.666+AI92</f>
        <v>1229.9642858849891</v>
      </c>
      <c r="AK92" s="23">
        <f>+Parameters!AK89+AJ114*5/3.666+AJ92</f>
        <v>1248.0762498177355</v>
      </c>
      <c r="AL92" s="23">
        <f>+Parameters!AL89+AK114*5/3.666+AK92</f>
        <v>1266.2116084357447</v>
      </c>
      <c r="AM92" s="23">
        <f>+Parameters!AM89+AL114*5/3.666+AL92</f>
        <v>1284.3498022530507</v>
      </c>
      <c r="AN92" s="23">
        <f>+Parameters!AN89+AM114*5/3.666+AM92</f>
        <v>1302.4710606506212</v>
      </c>
      <c r="AO92" s="23">
        <f>+Parameters!AO89+AN114*5/3.666+AN92</f>
        <v>1320.5564321492295</v>
      </c>
      <c r="AP92" s="23">
        <f>+Parameters!AP89+AO114*5/3.666+AO92</f>
        <v>1338.5878049585447</v>
      </c>
      <c r="AQ92" s="23">
        <f>+Parameters!AQ89+AP114*5/3.666+AP92</f>
        <v>1356.547916544079</v>
      </c>
      <c r="AR92" s="23">
        <f>+Parameters!AR89+AQ114*5/3.666+AQ92</f>
        <v>1374.4203496419643</v>
      </c>
      <c r="AS92" s="23">
        <f>+Parameters!AS89+AR114*5/3.666+AR92</f>
        <v>1392.1895097578661</v>
      </c>
      <c r="AT92" s="23">
        <f>+Parameters!AT89+AS114*5/3.666+AS92</f>
        <v>1409.8405751334712</v>
      </c>
      <c r="AU92" s="23">
        <f>+Parameters!AU89+AT114*5/3.666+AT92</f>
        <v>1427.3594030750705</v>
      </c>
      <c r="AV92" s="23">
        <f>+Parameters!AV89+AU114*5/3.666+AU92</f>
        <v>1444.7323641717401</v>
      </c>
      <c r="AW92" s="23">
        <f>+Parameters!AW89+AV114*5/3.666+AV92</f>
        <v>1461.9460542791105</v>
      </c>
      <c r="AX92" s="23">
        <f>+Parameters!AX89+AW114*5/3.666+AW92</f>
        <v>1478.9867957861738</v>
      </c>
      <c r="AY92" s="23">
        <f>+Parameters!AY89+AX114*5/3.666+AX92</f>
        <v>1495.8397709024389</v>
      </c>
      <c r="AZ92" s="23">
        <f>+Parameters!AZ89+AY114*5/3.666+AY92</f>
        <v>1512.4875024732371</v>
      </c>
      <c r="BA92" s="23">
        <f>+Parameters!BA89+AZ114*5/3.666+AZ92</f>
        <v>1528.9071520074147</v>
      </c>
      <c r="BB92" s="23">
        <f>+Parameters!BB89+BA114*5/3.666+BA92</f>
        <v>1545.2321499682778</v>
      </c>
      <c r="BC92" s="23">
        <f>+Parameters!BC89+BB114*5/3.666+BB92</f>
        <v>1561.4188890498363</v>
      </c>
      <c r="BD92" s="23">
        <f>+Parameters!BD89+BC114*5/3.666+BC92</f>
        <v>1577.4359128923531</v>
      </c>
      <c r="BE92" s="23">
        <f>+Parameters!BE89+BD114*5/3.666+BD92</f>
        <v>1593.260276188199</v>
      </c>
      <c r="BF92" s="23">
        <f>+Parameters!BF89+BE114*5/3.666+BE92</f>
        <v>1608.875070317808</v>
      </c>
      <c r="BG92" s="23">
        <f>+Parameters!BG89+BF114*5/3.666+BF92</f>
        <v>1624.2677261612755</v>
      </c>
      <c r="BH92" s="23">
        <f>+Parameters!BH89+BG114*5/3.666+BG92</f>
        <v>1639.4288412705171</v>
      </c>
      <c r="BI92" s="23">
        <f>+Parameters!BI89+BH114*5/3.666+BH92</f>
        <v>1654.3513637945559</v>
      </c>
    </row>
    <row r="93" spans="1:61" s="23" customFormat="1" x14ac:dyDescent="0.3">
      <c r="A93" s="92" t="s">
        <v>7</v>
      </c>
      <c r="B93" s="23">
        <f>+B92/ Base!$B$57</f>
        <v>1.4999999999999999E-2</v>
      </c>
      <c r="C93" s="23">
        <f>+C92/ Base!$B$57</f>
        <v>2.2007822465721388E-2</v>
      </c>
      <c r="D93" s="23">
        <f>+D92/ Base!$B$57</f>
        <v>2.9578537898326138E-2</v>
      </c>
      <c r="E93" s="23">
        <f>+E92/ Base!$B$57</f>
        <v>3.7592944321232322E-2</v>
      </c>
      <c r="F93" s="23">
        <f>+F92/ Base!$B$57</f>
        <v>4.5992890517858515E-2</v>
      </c>
      <c r="G93" s="23">
        <f>+G92/ Base!$B$57</f>
        <v>5.4787453272675063E-2</v>
      </c>
      <c r="H93" s="23">
        <f>+H92/ Base!$B$57</f>
        <v>6.3982030002588841E-2</v>
      </c>
      <c r="I93" s="23">
        <f>+I92/ Base!$B$57</f>
        <v>7.3182562194932146E-2</v>
      </c>
      <c r="J93" s="23">
        <f>+J92/ Base!$B$57</f>
        <v>8.2228198519815984E-2</v>
      </c>
      <c r="K93" s="23">
        <f>+K92/ Base!$B$57</f>
        <v>9.1030280274138342E-2</v>
      </c>
      <c r="L93" s="23">
        <f>+L92/ Base!$B$57</f>
        <v>9.9534503756945475E-2</v>
      </c>
      <c r="M93" s="23">
        <f>+M92/ Base!$B$57</f>
        <v>0.10759656632192859</v>
      </c>
      <c r="N93" s="23">
        <f>+N92/ Base!$B$57</f>
        <v>0.11512753037059226</v>
      </c>
      <c r="O93" s="23">
        <f>+O92/ Base!$B$57</f>
        <v>0.12217517516490803</v>
      </c>
      <c r="P93" s="23">
        <f>+P92/ Base!$B$57</f>
        <v>0.1287758151865461</v>
      </c>
      <c r="Q93" s="23">
        <f>+Q92/ Base!$B$57</f>
        <v>0.13497676066205649</v>
      </c>
      <c r="R93" s="23">
        <f>+R92/ Base!$B$57</f>
        <v>0.14081733346551015</v>
      </c>
      <c r="S93" s="23">
        <f>+S92/ Base!$B$57</f>
        <v>0.14634140059141029</v>
      </c>
      <c r="T93" s="23">
        <f>+T92/ Base!$B$57</f>
        <v>0.15158691445815364</v>
      </c>
      <c r="U93" s="23">
        <f>+U92/ Base!$B$57</f>
        <v>0.1565641738241576</v>
      </c>
      <c r="V93" s="23">
        <f>+V92/ Base!$B$57</f>
        <v>0.16098661430250719</v>
      </c>
      <c r="W93" s="23">
        <f>+W92/ Base!$B$57</f>
        <v>0.16509263157240384</v>
      </c>
      <c r="X93" s="23">
        <f>+X92/ Base!$B$57</f>
        <v>0.16889574698973364</v>
      </c>
      <c r="Y93" s="23">
        <f>+Y92/ Base!$B$57</f>
        <v>0.17241642671955176</v>
      </c>
      <c r="Z93" s="23">
        <f>+Z92/ Base!$B$57</f>
        <v>0.17566882396938696</v>
      </c>
      <c r="AA93" s="23">
        <f>+AA92/ Base!$B$57</f>
        <v>0.1786695753169375</v>
      </c>
      <c r="AB93" s="23">
        <f>+AB92/ Base!$B$57</f>
        <v>0.18143295244297031</v>
      </c>
      <c r="AC93" s="23">
        <f>+AC92/ Base!$B$57</f>
        <v>0.18428423930510482</v>
      </c>
      <c r="AD93" s="23">
        <f>+AD92/ Base!$B$57</f>
        <v>0.18717041880478436</v>
      </c>
      <c r="AE93" s="23">
        <f>+AE92/ Base!$B$57</f>
        <v>0.1900873996567024</v>
      </c>
      <c r="AF93" s="23">
        <f>+AF92/ Base!$B$57</f>
        <v>0.1930311158378073</v>
      </c>
      <c r="AG93" s="23">
        <f>+AG92/ Base!$B$57</f>
        <v>0.19599754884044418</v>
      </c>
      <c r="AH93" s="23">
        <f>+AH92/ Base!$B$57</f>
        <v>0.19898274625777732</v>
      </c>
      <c r="AI93" s="23">
        <f>+AI92/ Base!$B$57</f>
        <v>0.20198283756938368</v>
      </c>
      <c r="AJ93" s="23">
        <f>+AJ92/ Base!$B$57</f>
        <v>0.20499404764749818</v>
      </c>
      <c r="AK93" s="23">
        <f>+AK92/ Base!$B$57</f>
        <v>0.20801270830295593</v>
      </c>
      <c r="AL93" s="23">
        <f>+AL92/ Base!$B$57</f>
        <v>0.2110352680726241</v>
      </c>
      <c r="AM93" s="23">
        <f>+AM92/ Base!$B$57</f>
        <v>0.21405830037550846</v>
      </c>
      <c r="AN93" s="23">
        <f>+AN92/ Base!$B$57</f>
        <v>0.21707851010843687</v>
      </c>
      <c r="AO93" s="23">
        <f>+AO92/ Base!$B$57</f>
        <v>0.22009273869153825</v>
      </c>
      <c r="AP93" s="23">
        <f>+AP92/ Base!$B$57</f>
        <v>0.22309796749309077</v>
      </c>
      <c r="AQ93" s="23">
        <f>+AQ92/ Base!$B$57</f>
        <v>0.22609131942401317</v>
      </c>
      <c r="AR93" s="23">
        <f>+AR92/ Base!$B$57</f>
        <v>0.22907005827366073</v>
      </c>
      <c r="AS93" s="23">
        <f>+AS92/ Base!$B$57</f>
        <v>0.23203158495964435</v>
      </c>
      <c r="AT93" s="23">
        <f>+AT92/ Base!$B$57</f>
        <v>0.23497342918891187</v>
      </c>
      <c r="AU93" s="23">
        <f>+AU92/ Base!$B$57</f>
        <v>0.2378932338458451</v>
      </c>
      <c r="AV93" s="23">
        <f>+AV92/ Base!$B$57</f>
        <v>0.24078872736195667</v>
      </c>
      <c r="AW93" s="23">
        <f>+AW92/ Base!$B$57</f>
        <v>0.24365767571318508</v>
      </c>
      <c r="AX93" s="23">
        <f>+AX92/ Base!$B$57</f>
        <v>0.24649779929769564</v>
      </c>
      <c r="AY93" s="23">
        <f>+AY92/ Base!$B$57</f>
        <v>0.2493066284837398</v>
      </c>
      <c r="AZ93" s="23">
        <f>+AZ92/ Base!$B$57</f>
        <v>0.25208125041220619</v>
      </c>
      <c r="BA93" s="23">
        <f>+BA92/ Base!$B$57</f>
        <v>0.25481785866790246</v>
      </c>
      <c r="BB93" s="23">
        <f>+BB92/ Base!$B$57</f>
        <v>0.2575386916613796</v>
      </c>
      <c r="BC93" s="23">
        <f>+BC92/ Base!$B$57</f>
        <v>0.26023648150830603</v>
      </c>
      <c r="BD93" s="23">
        <f>+BD92/ Base!$B$57</f>
        <v>0.26290598548205885</v>
      </c>
      <c r="BE93" s="23">
        <f>+BE92/ Base!$B$57</f>
        <v>0.26554337936469985</v>
      </c>
      <c r="BF93" s="23">
        <f>+BF92/ Base!$B$57</f>
        <v>0.26814584505296801</v>
      </c>
      <c r="BG93" s="23">
        <f>+BG92/ Base!$B$57</f>
        <v>0.27071128769354591</v>
      </c>
      <c r="BH93" s="23">
        <f>+BH92/ Base!$B$57</f>
        <v>0.27323814021175286</v>
      </c>
      <c r="BI93" s="23">
        <f>+BI92/ Base!$B$57</f>
        <v>0.27572522729909266</v>
      </c>
    </row>
    <row r="94" spans="1:61" s="23" customFormat="1" x14ac:dyDescent="0.3">
      <c r="A94" s="92" t="s">
        <v>29</v>
      </c>
      <c r="B94" s="23">
        <f>+MAX(B93:BI93)</f>
        <v>0.27572522729909266</v>
      </c>
    </row>
    <row r="95" spans="1:61" s="23" customFormat="1" x14ac:dyDescent="0.3">
      <c r="A95" s="92" t="s">
        <v>109</v>
      </c>
      <c r="B95" s="23">
        <v>20</v>
      </c>
    </row>
    <row r="96" spans="1:61" s="23" customFormat="1" x14ac:dyDescent="0.3">
      <c r="A96" s="92" t="s">
        <v>101</v>
      </c>
      <c r="B96" s="23">
        <v>2.5</v>
      </c>
    </row>
    <row r="97" spans="1:309" s="65" customFormat="1" ht="23.4" customHeight="1" x14ac:dyDescent="0.35">
      <c r="A97" s="56" t="s">
        <v>254</v>
      </c>
      <c r="B97" s="64">
        <v>0</v>
      </c>
      <c r="C97" s="65">
        <f>+B97*(1+0.05)^5</f>
        <v>0</v>
      </c>
      <c r="D97" s="65">
        <f t="shared" ref="D97:I97" si="9">+C97*(1+0.05)^5</f>
        <v>0</v>
      </c>
      <c r="E97" s="65">
        <f t="shared" si="9"/>
        <v>0</v>
      </c>
      <c r="F97" s="65">
        <f t="shared" si="9"/>
        <v>0</v>
      </c>
      <c r="G97" s="65">
        <f t="shared" si="9"/>
        <v>0</v>
      </c>
      <c r="H97" s="65">
        <f t="shared" si="9"/>
        <v>0</v>
      </c>
      <c r="I97" s="65">
        <f t="shared" si="9"/>
        <v>0</v>
      </c>
      <c r="J97" s="65">
        <f>+I97*(1+0.04)^5</f>
        <v>0</v>
      </c>
      <c r="K97" s="65">
        <f t="shared" ref="K97:T97" si="10">+J97*(1+0.04)^5</f>
        <v>0</v>
      </c>
      <c r="L97" s="65">
        <f t="shared" si="10"/>
        <v>0</v>
      </c>
      <c r="M97" s="65">
        <f t="shared" si="10"/>
        <v>0</v>
      </c>
      <c r="N97" s="65">
        <f t="shared" si="10"/>
        <v>0</v>
      </c>
      <c r="O97" s="65">
        <f t="shared" si="10"/>
        <v>0</v>
      </c>
      <c r="P97" s="65">
        <f t="shared" si="10"/>
        <v>0</v>
      </c>
      <c r="Q97" s="65">
        <f t="shared" si="10"/>
        <v>0</v>
      </c>
      <c r="R97" s="65">
        <f t="shared" si="10"/>
        <v>0</v>
      </c>
      <c r="S97" s="65">
        <f t="shared" si="10"/>
        <v>0</v>
      </c>
      <c r="T97" s="65">
        <f t="shared" si="10"/>
        <v>0</v>
      </c>
      <c r="U97" s="65">
        <f>+T97*(1+0.03)^5</f>
        <v>0</v>
      </c>
      <c r="V97" s="65">
        <f t="shared" ref="V97:AN97" si="11">+U97*(1+0.03)^5</f>
        <v>0</v>
      </c>
      <c r="W97" s="65">
        <f t="shared" si="11"/>
        <v>0</v>
      </c>
      <c r="X97" s="65">
        <f t="shared" si="11"/>
        <v>0</v>
      </c>
      <c r="Y97" s="65">
        <f t="shared" si="11"/>
        <v>0</v>
      </c>
      <c r="Z97" s="65">
        <f t="shared" si="11"/>
        <v>0</v>
      </c>
      <c r="AA97" s="65">
        <f t="shared" si="11"/>
        <v>0</v>
      </c>
      <c r="AB97" s="65">
        <f t="shared" si="11"/>
        <v>0</v>
      </c>
      <c r="AC97" s="65">
        <f t="shared" si="11"/>
        <v>0</v>
      </c>
      <c r="AD97" s="65">
        <f t="shared" si="11"/>
        <v>0</v>
      </c>
      <c r="AE97" s="65">
        <f t="shared" si="11"/>
        <v>0</v>
      </c>
      <c r="AF97" s="65">
        <f t="shared" si="11"/>
        <v>0</v>
      </c>
      <c r="AG97" s="65">
        <f t="shared" si="11"/>
        <v>0</v>
      </c>
      <c r="AH97" s="65">
        <f t="shared" si="11"/>
        <v>0</v>
      </c>
      <c r="AI97" s="65">
        <f t="shared" si="11"/>
        <v>0</v>
      </c>
      <c r="AJ97" s="65">
        <f t="shared" si="11"/>
        <v>0</v>
      </c>
      <c r="AK97" s="65">
        <f t="shared" si="11"/>
        <v>0</v>
      </c>
      <c r="AL97" s="65">
        <f t="shared" si="11"/>
        <v>0</v>
      </c>
      <c r="AM97" s="65">
        <f t="shared" si="11"/>
        <v>0</v>
      </c>
      <c r="AN97" s="65">
        <f t="shared" si="11"/>
        <v>0</v>
      </c>
      <c r="AO97" s="65">
        <f>+AN97*(1+$B$16+$B$17)^5</f>
        <v>0</v>
      </c>
      <c r="AP97" s="65">
        <f t="shared" ref="AP97:BI97" si="12">+AO97*(1+$B$16+$B$17)^5</f>
        <v>0</v>
      </c>
      <c r="AQ97" s="65">
        <f t="shared" si="12"/>
        <v>0</v>
      </c>
      <c r="AR97" s="65">
        <f t="shared" si="12"/>
        <v>0</v>
      </c>
      <c r="AS97" s="65">
        <f t="shared" si="12"/>
        <v>0</v>
      </c>
      <c r="AT97" s="65">
        <f t="shared" si="12"/>
        <v>0</v>
      </c>
      <c r="AU97" s="65">
        <f t="shared" si="12"/>
        <v>0</v>
      </c>
      <c r="AV97" s="65">
        <f t="shared" si="12"/>
        <v>0</v>
      </c>
      <c r="AW97" s="65">
        <f t="shared" si="12"/>
        <v>0</v>
      </c>
      <c r="AX97" s="65">
        <f t="shared" si="12"/>
        <v>0</v>
      </c>
      <c r="AY97" s="65">
        <f t="shared" si="12"/>
        <v>0</v>
      </c>
      <c r="AZ97" s="65">
        <f t="shared" si="12"/>
        <v>0</v>
      </c>
      <c r="BA97" s="65">
        <f t="shared" si="12"/>
        <v>0</v>
      </c>
      <c r="BB97" s="65">
        <f t="shared" si="12"/>
        <v>0</v>
      </c>
      <c r="BC97" s="65">
        <f t="shared" si="12"/>
        <v>0</v>
      </c>
      <c r="BD97" s="65">
        <f t="shared" si="12"/>
        <v>0</v>
      </c>
      <c r="BE97" s="65">
        <f t="shared" si="12"/>
        <v>0</v>
      </c>
      <c r="BF97" s="65">
        <f t="shared" si="12"/>
        <v>0</v>
      </c>
      <c r="BG97" s="65">
        <f t="shared" si="12"/>
        <v>0</v>
      </c>
      <c r="BH97" s="65">
        <f t="shared" si="12"/>
        <v>0</v>
      </c>
      <c r="BI97" s="65">
        <f t="shared" si="12"/>
        <v>0</v>
      </c>
      <c r="DS97" s="60"/>
      <c r="DT97" s="60"/>
      <c r="DU97" s="60"/>
      <c r="DV97" s="60"/>
      <c r="DW97" s="60"/>
      <c r="DX97" s="60"/>
      <c r="DY97" s="60"/>
      <c r="DZ97" s="60"/>
      <c r="EA97" s="60"/>
      <c r="EB97" s="60"/>
      <c r="EC97" s="60"/>
      <c r="ED97" s="60"/>
      <c r="EE97" s="60"/>
      <c r="EF97" s="60"/>
      <c r="EG97" s="60"/>
      <c r="EH97" s="60"/>
      <c r="EI97" s="60"/>
      <c r="EJ97" s="60"/>
      <c r="EK97" s="60"/>
      <c r="EL97" s="60"/>
      <c r="EM97" s="60"/>
      <c r="EN97" s="60"/>
      <c r="EO97" s="60"/>
      <c r="EP97" s="60"/>
      <c r="EQ97" s="60"/>
      <c r="ER97" s="60"/>
      <c r="ES97" s="60"/>
      <c r="ET97" s="60"/>
      <c r="EU97" s="60"/>
      <c r="EV97" s="60"/>
      <c r="EW97" s="60"/>
      <c r="EX97" s="60"/>
      <c r="EY97" s="60"/>
      <c r="EZ97" s="60"/>
      <c r="FA97" s="60"/>
      <c r="FB97" s="60"/>
      <c r="FC97" s="60"/>
      <c r="FD97" s="60"/>
      <c r="FE97" s="60"/>
      <c r="FF97" s="60"/>
      <c r="FG97" s="60"/>
      <c r="FH97" s="60"/>
      <c r="FI97" s="60"/>
      <c r="FJ97" s="60"/>
      <c r="FK97" s="60"/>
      <c r="FL97" s="60"/>
      <c r="FM97" s="60"/>
      <c r="FN97" s="60"/>
      <c r="FO97" s="60"/>
      <c r="FP97" s="60"/>
      <c r="FQ97" s="60"/>
      <c r="FR97" s="60"/>
      <c r="FS97" s="60"/>
      <c r="FT97" s="60"/>
      <c r="FU97" s="60"/>
      <c r="FV97" s="60"/>
      <c r="FW97" s="60"/>
      <c r="FX97" s="60"/>
      <c r="FY97" s="60"/>
      <c r="FZ97" s="60"/>
      <c r="GA97" s="60"/>
      <c r="GB97" s="60"/>
      <c r="GC97" s="60"/>
      <c r="GD97" s="60"/>
      <c r="GE97" s="60"/>
      <c r="GF97" s="60"/>
      <c r="GG97" s="60"/>
      <c r="GH97" s="60"/>
      <c r="GI97" s="60"/>
      <c r="GJ97" s="60"/>
      <c r="GK97" s="60"/>
      <c r="GL97" s="60"/>
      <c r="GM97" s="60"/>
      <c r="GN97" s="60"/>
      <c r="GO97" s="60"/>
      <c r="GP97" s="60"/>
      <c r="GQ97" s="60"/>
      <c r="GR97" s="60"/>
      <c r="GS97" s="60"/>
      <c r="GT97" s="60"/>
      <c r="GU97" s="60"/>
      <c r="GV97" s="60"/>
      <c r="GW97" s="60"/>
      <c r="GX97" s="60"/>
      <c r="GY97" s="60"/>
      <c r="GZ97" s="60"/>
      <c r="HA97" s="60"/>
      <c r="HB97" s="60"/>
      <c r="HC97" s="60"/>
      <c r="HD97" s="60"/>
      <c r="HE97" s="60"/>
      <c r="HF97" s="60"/>
      <c r="HG97" s="60"/>
      <c r="HH97" s="60"/>
      <c r="HI97" s="60"/>
      <c r="HJ97" s="60"/>
      <c r="HK97" s="60"/>
      <c r="HL97" s="60"/>
      <c r="HM97" s="60"/>
      <c r="HN97" s="60"/>
      <c r="HO97" s="60"/>
      <c r="HP97" s="60"/>
      <c r="HQ97" s="60"/>
      <c r="HR97" s="60"/>
      <c r="HS97" s="60"/>
      <c r="HT97" s="60"/>
      <c r="HU97" s="60"/>
      <c r="HV97" s="60"/>
      <c r="HW97" s="60"/>
      <c r="HX97" s="60"/>
      <c r="HY97" s="60"/>
      <c r="HZ97" s="60"/>
      <c r="IA97" s="60"/>
      <c r="IB97" s="60"/>
      <c r="IC97" s="60"/>
      <c r="ID97" s="60"/>
      <c r="IE97" s="60"/>
      <c r="IF97" s="60"/>
      <c r="IG97" s="60"/>
      <c r="IH97" s="60"/>
      <c r="II97" s="60"/>
      <c r="IJ97" s="60"/>
      <c r="IK97" s="60"/>
      <c r="IL97" s="60"/>
      <c r="IM97" s="60"/>
      <c r="IN97" s="60"/>
      <c r="IO97" s="60"/>
      <c r="IP97" s="60"/>
      <c r="IQ97" s="60"/>
      <c r="IR97" s="60"/>
      <c r="IS97" s="60"/>
      <c r="IT97" s="60"/>
      <c r="IU97" s="60"/>
      <c r="IV97" s="60"/>
      <c r="IW97" s="60"/>
      <c r="IX97" s="60"/>
      <c r="IY97" s="60"/>
      <c r="IZ97" s="60"/>
      <c r="JA97" s="60"/>
      <c r="JB97" s="60"/>
      <c r="JC97" s="60"/>
      <c r="JD97" s="60"/>
      <c r="JE97" s="60"/>
      <c r="JF97" s="60"/>
      <c r="JG97" s="60"/>
      <c r="JH97" s="60"/>
      <c r="JI97" s="60"/>
      <c r="JJ97" s="60"/>
      <c r="JK97" s="60"/>
      <c r="JL97" s="60"/>
      <c r="JM97" s="60"/>
      <c r="JN97" s="60"/>
      <c r="JO97" s="60"/>
      <c r="JP97" s="60"/>
      <c r="JQ97" s="60"/>
      <c r="JR97" s="60"/>
      <c r="JS97" s="60"/>
      <c r="JT97" s="60"/>
      <c r="JU97" s="60"/>
      <c r="JV97" s="60"/>
      <c r="JW97" s="60"/>
      <c r="JX97" s="60"/>
      <c r="JY97" s="60"/>
      <c r="JZ97" s="60"/>
      <c r="KA97" s="60"/>
      <c r="KB97" s="60"/>
      <c r="KC97" s="60"/>
      <c r="KD97" s="60"/>
      <c r="KE97" s="60"/>
      <c r="KF97" s="60"/>
      <c r="KG97" s="60"/>
      <c r="KH97" s="60"/>
      <c r="KI97" s="60"/>
      <c r="KJ97" s="60"/>
      <c r="KK97" s="60"/>
      <c r="KL97" s="60"/>
      <c r="KM97" s="60"/>
      <c r="KN97" s="60"/>
      <c r="KO97" s="60"/>
      <c r="KP97" s="60"/>
      <c r="KQ97" s="60"/>
      <c r="KR97" s="60"/>
      <c r="KS97" s="60"/>
      <c r="KT97" s="60"/>
      <c r="KU97" s="60"/>
      <c r="KV97" s="60"/>
      <c r="KW97" s="60"/>
    </row>
    <row r="98" spans="1:309" s="23" customFormat="1" ht="18" customHeight="1" x14ac:dyDescent="0.3">
      <c r="A98" s="96"/>
    </row>
    <row r="99" spans="1:309" s="23" customFormat="1" ht="18" customHeight="1" thickBot="1" x14ac:dyDescent="0.35">
      <c r="A99" s="95" t="s">
        <v>205</v>
      </c>
    </row>
    <row r="100" spans="1:309" s="23" customFormat="1" ht="18" customHeight="1" thickTop="1" x14ac:dyDescent="0.3">
      <c r="A100" s="92" t="s">
        <v>14</v>
      </c>
      <c r="B100" s="23">
        <f xml:space="preserve"> Base!B76</f>
        <v>0.83</v>
      </c>
      <c r="C100" s="67">
        <f>B100+Base!$B82*(C101-(Base!$B$80/Base!$B79)*B100-Base!$B83*(B100-B102))</f>
        <v>0.93416040568275083</v>
      </c>
      <c r="D100" s="67">
        <f>C100+Base!$B82*(D101-(Base!$B$80/Base!$B79)*C100-Base!$B83*(C100-C102))</f>
        <v>1.048901453929969</v>
      </c>
      <c r="E100" s="67">
        <f>D100+Base!$B82*(E101-(Base!$B$80/Base!$B79)*D100-Base!$B83*(D100-D102))</f>
        <v>1.1722093054338378</v>
      </c>
      <c r="F100" s="67">
        <f>E100+Base!$B82*(F101-(Base!$B$80/Base!$B79)*E100-Base!$B83*(E100-E102))</f>
        <v>1.3022500602337435</v>
      </c>
      <c r="G100" s="67">
        <f>F100+Base!$B82*(G101-(Base!$B$80/Base!$B79)*F100-Base!$B83*(F100-F102))</f>
        <v>1.4375956144111675</v>
      </c>
      <c r="H100" s="67">
        <f>G100+Base!$B82*(H101-(Base!$B$80/Base!$B79)*G100-Base!$B83*(G100-G102))</f>
        <v>1.57712035699679</v>
      </c>
      <c r="I100" s="67">
        <f>H100+Base!$B82*(I101-(Base!$B$80/Base!$B79)*H100-Base!$B83*(H100-H102))</f>
        <v>1.7186192398516469</v>
      </c>
      <c r="J100" s="67">
        <f>I100+Base!$B82*(J101-(Base!$B$80/Base!$B79)*I100-Base!$B83*(I100-I102))</f>
        <v>1.8599377764387746</v>
      </c>
      <c r="K100" s="67">
        <f>J100+Base!$B82*(K101-(Base!$B$80/Base!$B79)*J100-Base!$B83*(J100-J102))</f>
        <v>1.9992303162592937</v>
      </c>
      <c r="L100" s="67">
        <f>K100+Base!$B82*(L101-(Base!$B$80/Base!$B79)*K100-Base!$B83*(K100-K102))</f>
        <v>2.1350117642368489</v>
      </c>
      <c r="M100" s="67">
        <f>L100+Base!$B82*(M101-(Base!$B$80/Base!$B79)*L100-Base!$B83*(L100-L102))</f>
        <v>2.2658077767808638</v>
      </c>
      <c r="N100" s="67">
        <f>M100+Base!$B82*(N101-(Base!$B$80/Base!$B79)*M100-Base!$B83*(M100-M102))</f>
        <v>2.39033275822587</v>
      </c>
      <c r="O100" s="67">
        <f>N100+Base!$B82*(O101-(Base!$B$80/Base!$B79)*N100-Base!$B83*(N100-N102))</f>
        <v>2.5078538174237313</v>
      </c>
      <c r="P100" s="67">
        <f>O100+Base!$B82*(P101-(Base!$B$80/Base!$B79)*O100-Base!$B83*(O100-O102))</f>
        <v>2.6180202067597396</v>
      </c>
      <c r="Q100" s="67">
        <f>P100+Base!$B82*(Q101-(Base!$B$80/Base!$B79)*P100-Base!$B83*(P100-P102))</f>
        <v>2.7207998642416729</v>
      </c>
      <c r="R100" s="67">
        <f>Q100+Base!$B82*(R101-(Base!$B$80/Base!$B79)*Q100-Base!$B83*(Q100-Q102))</f>
        <v>2.8163753553985393</v>
      </c>
      <c r="S100" s="67">
        <f>R100+Base!$B82*(S101-(Base!$B$80/Base!$B79)*R100-Base!$B83*(R100-R102))</f>
        <v>2.9051005567526409</v>
      </c>
      <c r="T100" s="67">
        <f>S100+Base!$B82*(T101-(Base!$B$80/Base!$B79)*S100-Base!$B83*(S100-S102))</f>
        <v>2.9874369999470463</v>
      </c>
      <c r="U100" s="67">
        <f>T100+Base!$B82*(U101-(Base!$B$80/Base!$B79)*T100-Base!$B83*(T100-T102))</f>
        <v>3.0603058493763418</v>
      </c>
      <c r="V100" s="67">
        <f>U100+Base!$B82*(V101-(Base!$B$80/Base!$B79)*U100-Base!$B83*(U100-U102))</f>
        <v>3.1237632838705984</v>
      </c>
      <c r="W100" s="67">
        <f>V100+Base!$B82*(W101-(Base!$B$80/Base!$B79)*V100-Base!$B83*(V100-V102))</f>
        <v>3.178636037373499</v>
      </c>
      <c r="X100" s="67">
        <f>W100+Base!$B82*(X101-(Base!$B$80/Base!$B79)*W100-Base!$B83*(W100-W102))</f>
        <v>3.2256945959526298</v>
      </c>
      <c r="Y100" s="67">
        <f>X100+Base!$B82*(Y101-(Base!$B$80/Base!$B79)*X100-Base!$B83*(X100-X102))</f>
        <v>3.2656749676429953</v>
      </c>
      <c r="Z100" s="67">
        <f>Y100+Base!$B82*(Z101-(Base!$B$80/Base!$B79)*Y100-Base!$B83*(Y100-Y102))</f>
        <v>3.2992583371532764</v>
      </c>
      <c r="AA100" s="67">
        <f>Z100+Base!$B82*(AA101-(Base!$B$80/Base!$B79)*Z100-Base!$B83*(Z100-Z102))</f>
        <v>3.3270816143816981</v>
      </c>
      <c r="AB100" s="67">
        <f>AA100+Base!$B82*(AB101-(Base!$B$80/Base!$B79)*AA100-Base!$B83*(AA100-AA102))</f>
        <v>3.3497324712347374</v>
      </c>
      <c r="AC100" s="67">
        <f>AB100+Base!$B82*(AC101-(Base!$B$80/Base!$B79)*AB100-Base!$B83*(AB100-AB102))</f>
        <v>3.3686701156058705</v>
      </c>
      <c r="AD100" s="67">
        <f>AC100+Base!$B82*(AD101-(Base!$B$80/Base!$B79)*AC100-Base!$B83*(AC100-AC102))</f>
        <v>3.3849176308216724</v>
      </c>
      <c r="AE100" s="67">
        <f>AD100+Base!$B82*(AE101-(Base!$B$80/Base!$B79)*AD100-Base!$B83*(AD100-AD102))</f>
        <v>3.3992865242106434</v>
      </c>
      <c r="AF100" s="67">
        <f>AE100+Base!$B82*(AF101-(Base!$B$80/Base!$B79)*AE100-Base!$B83*(AE100-AE102))</f>
        <v>3.4124130455501041</v>
      </c>
      <c r="AG100" s="67">
        <f>AF100+Base!$B82*(AG101-(Base!$B$80/Base!$B79)*AF100-Base!$B83*(AF100-AF102))</f>
        <v>3.424789043484687</v>
      </c>
      <c r="AH100" s="67">
        <f>AG100+Base!$B82*(AH101-(Base!$B$80/Base!$B79)*AG100-Base!$B83*(AG100-AG102))</f>
        <v>3.4367880747304618</v>
      </c>
      <c r="AI100" s="67">
        <f>AH100+Base!$B82*(AI101-(Base!$B$80/Base!$B79)*AH100-Base!$B83*(AH100-AH102))</f>
        <v>3.4486874068746571</v>
      </c>
      <c r="AJ100" s="67">
        <f>AI100+Base!$B82*(AJ101-(Base!$B$80/Base!$B79)*AI100-Base!$B83*(AI100-AI102))</f>
        <v>3.4606864848467542</v>
      </c>
      <c r="AK100" s="67">
        <f>AJ100+Base!$B82*(AK101-(Base!$B$80/Base!$B79)*AJ100-Base!$B83*(AJ100-AJ102))</f>
        <v>3.4729223647521965</v>
      </c>
      <c r="AL100" s="67">
        <f>AK100+Base!$B82*(AL101-(Base!$B$80/Base!$B79)*AK100-Base!$B83*(AK100-AK102))</f>
        <v>3.485482557369219</v>
      </c>
      <c r="AM100" s="67">
        <f>AL100+Base!$B82*(AM101-(Base!$B$80/Base!$B79)*AL100-Base!$B83*(AL100-AL102))</f>
        <v>3.4984156675122606</v>
      </c>
      <c r="AN100" s="67">
        <f>AM100+Base!$B82*(AN101-(Base!$B$80/Base!$B79)*AM100-Base!$B83*(AM100-AM102))</f>
        <v>3.5117401647116031</v>
      </c>
      <c r="AO100" s="67">
        <f>AN100+Base!$B82*(AO101-(Base!$B$80/Base!$B79)*AN100-Base!$B83*(AN100-AN102))</f>
        <v>3.525451575094924</v>
      </c>
      <c r="AP100" s="67">
        <f>AO100+Base!$B82*(AP101-(Base!$B$80/Base!$B79)*AO100-Base!$B83*(AO100-AO102))</f>
        <v>3.5395283436920177</v>
      </c>
      <c r="AQ100" s="67">
        <f>AP100+Base!$B82*(AQ101-(Base!$B$80/Base!$B79)*AP100-Base!$B83*(AP100-AP102))</f>
        <v>3.5539365801628024</v>
      </c>
      <c r="AR100" s="67">
        <f>AQ100+Base!$B82*(AR101-(Base!$B$80/Base!$B79)*AQ100-Base!$B83*(AQ100-AQ102))</f>
        <v>3.568633868650894</v>
      </c>
      <c r="AS100" s="67">
        <f>AR100+Base!$B82*(AS101-(Base!$B$80/Base!$B79)*AR100-Base!$B83*(AR100-AR102))</f>
        <v>3.5835722933053855</v>
      </c>
      <c r="AT100" s="67">
        <f>AS100+Base!$B82*(AT101-(Base!$B$80/Base!$B79)*AS100-Base!$B83*(AS100-AS102))</f>
        <v>3.598700804036032</v>
      </c>
      <c r="AU100" s="67">
        <f>AT100+Base!$B82*(AU101-(Base!$B$80/Base!$B79)*AT100-Base!$B83*(AT100-AT102))</f>
        <v>3.6139670208263373</v>
      </c>
      <c r="AV100" s="67">
        <f>AU100+Base!$B82*(AV101-(Base!$B$80/Base!$B79)*AU100-Base!$B83*(AU100-AU102))</f>
        <v>3.6293185472231548</v>
      </c>
      <c r="AW100" s="67">
        <f>AV100+Base!$B82*(AW101-(Base!$B$80/Base!$B79)*AV100-Base!$B83*(AV100-AV102))</f>
        <v>3.6447038308748065</v>
      </c>
      <c r="AX100" s="67">
        <f>AW100+Base!$B82*(AX101-(Base!$B$80/Base!$B79)*AW100-Base!$B83*(AW100-AW102))</f>
        <v>3.6600725650243189</v>
      </c>
      <c r="AY100" s="67">
        <f>AX100+Base!$B82*(AY101-(Base!$B$80/Base!$B79)*AX100-Base!$B83*(AX100-AX102))</f>
        <v>3.6753755586468277</v>
      </c>
      <c r="AZ100" s="67">
        <f>AY100+Base!$B82*(AZ101-(Base!$B$80/Base!$B79)*AY100-Base!$B83*(AY100-AY102))</f>
        <v>3.6905638931507156</v>
      </c>
      <c r="BA100" s="67">
        <f>AZ100+Base!$B82*(BA101-(Base!$B$80/Base!$B79)*AZ100-Base!$B83*(AZ100-AZ102))</f>
        <v>3.7055869863523885</v>
      </c>
      <c r="BB100" s="67">
        <f>BA100+Base!$B82*(BB101-(Base!$B$80/Base!$B79)*BA100-Base!$B83*(BA100-BA102))</f>
        <v>3.7204659780411498</v>
      </c>
      <c r="BC100" s="67">
        <f>BB100+Base!$B82*(BC101-(Base!$B$80/Base!$B79)*BB100-Base!$B83*(BB100-BB102))</f>
        <v>3.7351959491307776</v>
      </c>
      <c r="BD100" s="67">
        <f>BC100+Base!$B82*(BD101-(Base!$B$80/Base!$B79)*BC100-Base!$B83*(BC100-BC102))</f>
        <v>3.7497573970075506</v>
      </c>
      <c r="BE100" s="67">
        <f>BD100+Base!$B82*(BE101-(Base!$B$80/Base!$B79)*BD100-Base!$B83*(BD100-BD102))</f>
        <v>3.7641236335858608</v>
      </c>
      <c r="BF100" s="67">
        <f>BE100+Base!$B82*(BF101-(Base!$B$80/Base!$B79)*BE100-Base!$B83*(BE100-BE102))</f>
        <v>3.7782654680891263</v>
      </c>
      <c r="BG100" s="67">
        <f>BF100+Base!$B82*(BG101-(Base!$B$80/Base!$B79)*BF100-Base!$B83*(BF100-BF102))</f>
        <v>3.7921540860055418</v>
      </c>
      <c r="BH100" s="67">
        <f>BG100+Base!$B82*(BH101-(Base!$B$80/Base!$B79)*BG100-Base!$B83*(BG100-BG102))</f>
        <v>3.8057627366306201</v>
      </c>
      <c r="BI100" s="67">
        <f>BH100+Base!$B82*(BI101-(Base!$B$80/Base!$B79)*BH100-Base!$B83*(BH100-BH102))</f>
        <v>3.8190676412477491</v>
      </c>
      <c r="BJ100" s="67"/>
      <c r="BK100" s="67"/>
      <c r="BL100" s="67"/>
      <c r="BM100" s="67"/>
      <c r="BN100" s="67"/>
      <c r="BO100" s="67"/>
      <c r="BP100" s="67"/>
      <c r="BQ100" s="67"/>
      <c r="BR100" s="67"/>
      <c r="BS100" s="67"/>
      <c r="BT100" s="67"/>
      <c r="BU100" s="67"/>
      <c r="BV100" s="67"/>
      <c r="BW100" s="67"/>
      <c r="BX100" s="67"/>
      <c r="BY100" s="67"/>
      <c r="BZ100" s="67"/>
      <c r="CA100" s="67"/>
      <c r="CB100" s="67"/>
      <c r="CC100" s="67"/>
      <c r="CD100" s="67"/>
      <c r="CE100" s="67"/>
      <c r="CF100" s="67"/>
      <c r="CG100" s="67"/>
      <c r="CH100" s="67"/>
      <c r="CI100" s="67"/>
      <c r="CJ100" s="67"/>
      <c r="CK100" s="67"/>
      <c r="CL100" s="67"/>
      <c r="CM100" s="67"/>
      <c r="CN100" s="67"/>
      <c r="CO100" s="67"/>
      <c r="CP100" s="67"/>
      <c r="CQ100" s="67"/>
      <c r="CR100" s="67"/>
      <c r="CS100" s="67"/>
      <c r="CT100" s="67"/>
      <c r="CU100" s="67"/>
      <c r="CV100" s="67"/>
      <c r="CW100" s="67"/>
      <c r="CX100" s="67"/>
      <c r="CY100" s="67"/>
      <c r="CZ100" s="67"/>
      <c r="DA100" s="67"/>
      <c r="DB100" s="67"/>
      <c r="DC100" s="67"/>
      <c r="DD100" s="67"/>
      <c r="DE100" s="67"/>
      <c r="DF100" s="67"/>
      <c r="DG100" s="67"/>
      <c r="DH100" s="67"/>
      <c r="DI100" s="67"/>
      <c r="DJ100" s="67"/>
      <c r="DK100" s="67"/>
      <c r="DL100" s="67"/>
      <c r="DM100" s="67"/>
      <c r="DN100" s="67"/>
      <c r="DO100" s="67"/>
      <c r="DP100" s="67"/>
      <c r="DQ100" s="67"/>
      <c r="DR100" s="67"/>
      <c r="DS100" s="67"/>
      <c r="DT100" s="67"/>
      <c r="DU100" s="67"/>
      <c r="DV100" s="67"/>
      <c r="DW100" s="67"/>
      <c r="DX100" s="67"/>
    </row>
    <row r="101" spans="1:309" s="23" customFormat="1" ht="18" customHeight="1" x14ac:dyDescent="0.3">
      <c r="A101" s="92" t="s">
        <v>87</v>
      </c>
      <c r="B101" s="68">
        <f>Base!$B$80*(LOG(B87/Parameters!$B$71))/LOG(2)+Base!B73</f>
        <v>1.8244793195909872</v>
      </c>
      <c r="C101" s="68">
        <f>Base!$B$80*(LOG(C87/Parameters!$B$71))/LOG(2)+Base!C73</f>
        <v>2.0596089623341429</v>
      </c>
      <c r="D101" s="68">
        <f>Base!$B$80*(LOG(D87/Parameters!$B$71))/LOG(2)+Base!D73</f>
        <v>2.292391467517755</v>
      </c>
      <c r="E101" s="68">
        <f>Base!$B$80*(LOG(E87/Parameters!$B$71))/LOG(2)+Base!E73</f>
        <v>2.5191218659016048</v>
      </c>
      <c r="F101" s="68">
        <f>Base!$B$80*(LOG(F87/Parameters!$B$71))/LOG(2)+Base!F73</f>
        <v>2.7389430109880397</v>
      </c>
      <c r="G101" s="68">
        <f>Base!$B$80*(LOG(G87/Parameters!$B$71))/LOG(2)+Base!G73</f>
        <v>2.9534038653648778</v>
      </c>
      <c r="H101" s="68">
        <f>Base!$B$80*(LOG(H87/Parameters!$B$71))/LOG(2)+Base!H73</f>
        <v>3.1635820646571942</v>
      </c>
      <c r="I101" s="68">
        <f>Base!$B$80*(LOG(I87/Parameters!$B$71))/LOG(2)+Base!I73</f>
        <v>3.3576566615680452</v>
      </c>
      <c r="J101" s="68">
        <f>Base!$B$80*(LOG(J87/Parameters!$B$71))/LOG(2)+Base!J73</f>
        <v>3.5332978865128086</v>
      </c>
      <c r="K101" s="68">
        <f>Base!$B$80*(LOG(K87/Parameters!$B$71))/LOG(2)+Base!K73</f>
        <v>3.6907288053737126</v>
      </c>
      <c r="L101" s="68">
        <f>Base!$B$80*(LOG(L87/Parameters!$B$71))/LOG(2)+Base!L73</f>
        <v>3.831068407639131</v>
      </c>
      <c r="M101" s="68">
        <f>Base!$B$80*(LOG(M87/Parameters!$B$71))/LOG(2)+Base!M73</f>
        <v>3.9525359763372654</v>
      </c>
      <c r="N101" s="68">
        <f>Base!$B$80*(LOG(N87/Parameters!$B$71))/LOG(2)+Base!N73</f>
        <v>4.0550790258967364</v>
      </c>
      <c r="O101" s="68">
        <f>Base!$B$80*(LOG(O87/Parameters!$B$71))/LOG(2)+Base!O73</f>
        <v>4.1423883160034931</v>
      </c>
      <c r="P101" s="68">
        <f>Base!$B$80*(LOG(P87/Parameters!$B$71))/LOG(2)+Base!P73</f>
        <v>4.2172219980440833</v>
      </c>
      <c r="Q101" s="68">
        <f>Base!$B$80*(LOG(Q87/Parameters!$B$71))/LOG(2)+Base!Q73</f>
        <v>4.2822166251970302</v>
      </c>
      <c r="R101" s="68">
        <f>Base!$B$80*(LOG(R87/Parameters!$B$71))/LOG(2)+Base!R73</f>
        <v>4.3394149559579285</v>
      </c>
      <c r="S101" s="68">
        <f>Base!$B$80*(LOG(S87/Parameters!$B$71))/LOG(2)+Base!S73</f>
        <v>4.3907165735007432</v>
      </c>
      <c r="T101" s="68">
        <f>Base!$B$80*(LOG(T87/Parameters!$B$71))/LOG(2)+Base!T73</f>
        <v>4.4376266033360503</v>
      </c>
      <c r="U101" s="68">
        <f>Base!$B$80*(LOG(U87/Parameters!$B$71))/LOG(2)+Base!U73</f>
        <v>4.4467091031213801</v>
      </c>
      <c r="V101" s="68">
        <f>Base!$B$80*(LOG(V87/Parameters!$B$71))/LOG(2)+Base!V73</f>
        <v>4.4441973048945496</v>
      </c>
      <c r="W101" s="68">
        <f>Base!$B$80*(LOG(W87/Parameters!$B$71))/LOG(2)+Base!W73</f>
        <v>4.4375943413248944</v>
      </c>
      <c r="X101" s="68">
        <f>Base!$B$80*(LOG(X87/Parameters!$B$71))/LOG(2)+Base!X73</f>
        <v>4.4274354784688885</v>
      </c>
      <c r="Y101" s="68">
        <f>Base!$B$80*(LOG(Y87/Parameters!$B$71))/LOG(2)+Base!Y73</f>
        <v>4.4143912045239215</v>
      </c>
      <c r="Z101" s="68">
        <f>Base!$B$80*(LOG(Z87/Parameters!$B$71))/LOG(2)+Base!Z73</f>
        <v>4.398890226743986</v>
      </c>
      <c r="AA101" s="68">
        <f>Base!$B$80*(LOG(AA87/Parameters!$B$71))/LOG(2)+Base!AA73</f>
        <v>4.3813907071405112</v>
      </c>
      <c r="AB101" s="68">
        <f>Base!$B$80*(LOG(AB87/Parameters!$B$71))/LOG(2)+Base!AB73</f>
        <v>4.3622447379446276</v>
      </c>
      <c r="AC101" s="68">
        <f>Base!$B$80*(LOG(AC87/Parameters!$B$71))/LOG(2)+Base!AC73</f>
        <v>4.3505934741795951</v>
      </c>
      <c r="AD101" s="68">
        <f>Base!$B$80*(LOG(AD87/Parameters!$B$71))/LOG(2)+Base!AD73</f>
        <v>4.3441144773251432</v>
      </c>
      <c r="AE101" s="68">
        <f>Base!$B$80*(LOG(AE87/Parameters!$B$71))/LOG(2)+Base!AE73</f>
        <v>4.3420846963910922</v>
      </c>
      <c r="AF101" s="68">
        <f>Base!$B$80*(LOG(AF87/Parameters!$B$71))/LOG(2)+Base!AF73</f>
        <v>4.3438580204833279</v>
      </c>
      <c r="AG101" s="68">
        <f>Base!$B$80*(LOG(AG87/Parameters!$B$71))/LOG(2)+Base!AG73</f>
        <v>4.3488596092100087</v>
      </c>
      <c r="AH101" s="68">
        <f>Base!$B$80*(LOG(AH87/Parameters!$B$71))/LOG(2)+Base!AH73</f>
        <v>4.3565800364385145</v>
      </c>
      <c r="AI101" s="68">
        <f>Base!$B$80*(LOG(AI87/Parameters!$B$71))/LOG(2)+Base!AI73</f>
        <v>4.3665694619134969</v>
      </c>
      <c r="AJ101" s="68">
        <f>Base!$B$80*(LOG(AJ87/Parameters!$B$71))/LOG(2)+Base!AJ73</f>
        <v>4.3784319803640148</v>
      </c>
      <c r="AK101" s="68">
        <f>Base!$B$80*(LOG(AK87/Parameters!$B$71))/LOG(2)+Base!AK73</f>
        <v>4.3918202476099895</v>
      </c>
      <c r="AL101" s="68">
        <f>Base!$B$80*(LOG(AL87/Parameters!$B$71))/LOG(2)+Base!AL73</f>
        <v>4.4064304450004821</v>
      </c>
      <c r="AM101" s="68">
        <f>Base!$B$80*(LOG(AM87/Parameters!$B$71))/LOG(2)+Base!AM73</f>
        <v>4.4219976147759557</v>
      </c>
      <c r="AN101" s="68">
        <f>Base!$B$80*(LOG(AN87/Parameters!$B$71))/LOG(2)+Base!AN73</f>
        <v>4.4382913776031803</v>
      </c>
      <c r="AO101" s="68">
        <f>Base!$B$80*(LOG(AO87/Parameters!$B$71))/LOG(2)+Base!AO73</f>
        <v>4.4551120276813068</v>
      </c>
      <c r="AP101" s="68">
        <f>Base!$B$80*(LOG(AP87/Parameters!$B$71))/LOG(2)+Base!AP73</f>
        <v>4.4722869889322672</v>
      </c>
      <c r="AQ101" s="68">
        <f>Base!$B$80*(LOG(AQ87/Parameters!$B$71))/LOG(2)+Base!AQ73</f>
        <v>4.4896676058884362</v>
      </c>
      <c r="AR101" s="68">
        <f>Base!$B$80*(LOG(AR87/Parameters!$B$71))/LOG(2)+Base!AR73</f>
        <v>4.5071262337657272</v>
      </c>
      <c r="AS101" s="68">
        <f>Base!$B$80*(LOG(AS87/Parameters!$B$71))/LOG(2)+Base!AS73</f>
        <v>4.5245535806367476</v>
      </c>
      <c r="AT101" s="68">
        <f>Base!$B$80*(LOG(AT87/Parameters!$B$71))/LOG(2)+Base!AT73</f>
        <v>4.5418562379404888</v>
      </c>
      <c r="AU101" s="68">
        <f>Base!$B$80*(LOG(AU87/Parameters!$B$71))/LOG(2)+Base!AU73</f>
        <v>4.5589543078472365</v>
      </c>
      <c r="AV101" s="68">
        <f>Base!$B$80*(LOG(AV87/Parameters!$B$71))/LOG(2)+Base!AV73</f>
        <v>4.5757789881164292</v>
      </c>
      <c r="AW101" s="68">
        <f>Base!$B$80*(LOG(AW87/Parameters!$B$71))/LOG(2)+Base!AW73</f>
        <v>4.5922698910206945</v>
      </c>
      <c r="AX101" s="68">
        <f>Base!$B$80*(LOG(AX87/Parameters!$B$71))/LOG(2)+Base!AX73</f>
        <v>4.60837172307847</v>
      </c>
      <c r="AY101" s="68">
        <f>Base!$B$80*(LOG(AY87/Parameters!$B$71))/LOG(2)+Base!AY73</f>
        <v>4.6240296821838305</v>
      </c>
      <c r="AZ101" s="68">
        <f>Base!$B$80*(LOG(AZ87/Parameters!$B$71))/LOG(2)+Base!AZ73</f>
        <v>4.6391824254798806</v>
      </c>
      <c r="BA101" s="68">
        <f>Base!$B$80*(LOG(BA87/Parameters!$B$71))/LOG(2)+Base!BA73</f>
        <v>4.6537504806728265</v>
      </c>
      <c r="BB101" s="68">
        <f>Base!$B$80*(LOG(BB87/Parameters!$B$71))/LOG(2)+Base!BB73</f>
        <v>4.6683580186235201</v>
      </c>
      <c r="BC101" s="68">
        <f>Base!$B$80*(LOG(BC87/Parameters!$B$71))/LOG(2)+Base!BC73</f>
        <v>4.6827806260324145</v>
      </c>
      <c r="BD101" s="68">
        <f>Base!$B$80*(LOG(BD87/Parameters!$B$71))/LOG(2)+Base!BD73</f>
        <v>4.6968709651563074</v>
      </c>
      <c r="BE101" s="68">
        <f>Base!$B$80*(LOG(BE87/Parameters!$B$71))/LOG(2)+Base!BE73</f>
        <v>4.7105342638653571</v>
      </c>
      <c r="BF101" s="68">
        <f>Base!$B$80*(LOG(BF87/Parameters!$B$71))/LOG(2)+Base!BF73</f>
        <v>4.7237116747423773</v>
      </c>
      <c r="BG101" s="68">
        <f>Base!$B$80*(LOG(BG87/Parameters!$B$71))/LOG(2)+Base!BG73</f>
        <v>4.7363689177291555</v>
      </c>
      <c r="BH101" s="68">
        <f>Base!$B$80*(LOG(BH87/Parameters!$B$71))/LOG(2)+Base!BH73</f>
        <v>4.7484884999123338</v>
      </c>
      <c r="BI101" s="68">
        <f>Base!$B$80*(LOG(BI87/Parameters!$B$71))/LOG(2)+Base!BI73</f>
        <v>4.7600643712696984</v>
      </c>
      <c r="BJ101" s="68"/>
      <c r="BK101" s="68"/>
      <c r="BL101" s="68"/>
      <c r="BM101" s="68"/>
      <c r="BN101" s="68"/>
      <c r="BO101" s="68"/>
      <c r="BP101" s="68"/>
      <c r="BQ101" s="68"/>
      <c r="BR101" s="68"/>
      <c r="BS101" s="68"/>
      <c r="BT101" s="68"/>
      <c r="BU101" s="68"/>
      <c r="BV101" s="68"/>
      <c r="BW101" s="68"/>
      <c r="BX101" s="68"/>
      <c r="BY101" s="68"/>
      <c r="BZ101" s="68"/>
      <c r="CA101" s="68"/>
      <c r="CB101" s="68"/>
      <c r="CC101" s="68"/>
      <c r="CD101" s="68"/>
      <c r="CE101" s="68"/>
      <c r="CF101" s="68"/>
      <c r="CG101" s="68"/>
      <c r="CH101" s="68"/>
      <c r="CI101" s="68"/>
      <c r="CJ101" s="68"/>
      <c r="CK101" s="68"/>
      <c r="CL101" s="68"/>
      <c r="CM101" s="68"/>
      <c r="CN101" s="68"/>
      <c r="CO101" s="68"/>
      <c r="CP101" s="68"/>
      <c r="CQ101" s="68"/>
      <c r="CR101" s="68"/>
      <c r="CS101" s="68"/>
      <c r="CT101" s="68"/>
      <c r="CU101" s="68"/>
      <c r="CV101" s="68"/>
      <c r="CW101" s="68"/>
      <c r="CX101" s="68"/>
      <c r="CY101" s="68"/>
      <c r="CZ101" s="68"/>
      <c r="DA101" s="68"/>
      <c r="DB101" s="68"/>
      <c r="DC101" s="68"/>
      <c r="DD101" s="68"/>
      <c r="DE101" s="68"/>
      <c r="DF101" s="68"/>
      <c r="DG101" s="68"/>
      <c r="DH101" s="68"/>
      <c r="DI101" s="68"/>
      <c r="DJ101" s="68"/>
      <c r="DK101" s="68"/>
      <c r="DL101" s="68"/>
      <c r="DM101" s="68"/>
      <c r="DN101" s="68"/>
      <c r="DO101" s="68"/>
      <c r="DP101" s="68"/>
      <c r="DQ101" s="68"/>
      <c r="DR101" s="68"/>
      <c r="DS101" s="68"/>
      <c r="DT101" s="68"/>
      <c r="DU101" s="68"/>
      <c r="DV101" s="68"/>
      <c r="DW101" s="68"/>
      <c r="DX101" s="68"/>
    </row>
    <row r="102" spans="1:309" s="23" customFormat="1" ht="18" customHeight="1" x14ac:dyDescent="0.3">
      <c r="A102" s="92" t="s">
        <v>44</v>
      </c>
      <c r="B102" s="23">
        <f xml:space="preserve"> Base!B77</f>
        <v>6.7999999999999996E-3</v>
      </c>
      <c r="C102" s="23">
        <f>B102+ Base!$B84*(B100-B102)</f>
        <v>2.7380000000000002E-2</v>
      </c>
      <c r="D102" s="23">
        <f>C102+ Base!$B84*(C100-C102)</f>
        <v>5.0049510142068779E-2</v>
      </c>
      <c r="E102" s="23">
        <f>D102+ Base!$B84*(D100-D102)</f>
        <v>7.5020808736766281E-2</v>
      </c>
      <c r="F102" s="23">
        <f>E102+ Base!$B84*(E100-E102)</f>
        <v>0.10245052115419306</v>
      </c>
      <c r="G102" s="23">
        <f>F102+ Base!$B84*(F100-F102)</f>
        <v>0.13244550963118182</v>
      </c>
      <c r="H102" s="23">
        <f>G102+ Base!$B84*(G100-G102)</f>
        <v>0.16507426225068145</v>
      </c>
      <c r="I102" s="23">
        <f>H102+ Base!$B84*(H100-H102)</f>
        <v>0.20037541461933417</v>
      </c>
      <c r="J102" s="23">
        <f>I102+ Base!$B84*(I100-I102)</f>
        <v>0.23833151025014199</v>
      </c>
      <c r="K102" s="23">
        <f>J102+ Base!$B84*(J100-J102)</f>
        <v>0.27887166690485782</v>
      </c>
      <c r="L102" s="23">
        <f>K102+ Base!$B84*(K100-K102)</f>
        <v>0.32188063313871873</v>
      </c>
      <c r="M102" s="23">
        <f>L102+ Base!$B84*(L100-L102)</f>
        <v>0.36720891141617196</v>
      </c>
      <c r="N102" s="23">
        <f>M102+ Base!$B84*(M100-M102)</f>
        <v>0.41467388305028924</v>
      </c>
      <c r="O102" s="23">
        <f>N102+ Base!$B84*(N100-N102)</f>
        <v>0.46406535492967876</v>
      </c>
      <c r="P102" s="23">
        <f>O102+ Base!$B84*(O100-O102)</f>
        <v>0.51516006649203006</v>
      </c>
      <c r="Q102" s="23">
        <f>P102+ Base!$B84*(P100-P102)</f>
        <v>0.56773156999872276</v>
      </c>
      <c r="R102" s="23">
        <f>Q102+ Base!$B84*(Q100-Q102)</f>
        <v>0.62155827735479652</v>
      </c>
      <c r="S102" s="23">
        <f>R102+ Base!$B84*(R100-R102)</f>
        <v>0.67642870430589008</v>
      </c>
      <c r="T102" s="23">
        <f>S102+ Base!$B84*(S100-S102)</f>
        <v>0.73214550061705885</v>
      </c>
      <c r="U102" s="23">
        <f>T102+ Base!$B84*(T100-T102)</f>
        <v>0.78852778810030855</v>
      </c>
      <c r="V102" s="23">
        <f>U102+ Base!$B84*(U100-U102)</f>
        <v>0.84532223963220943</v>
      </c>
      <c r="W102" s="23">
        <f>V102+ Base!$B84*(V100-V102)</f>
        <v>0.90228326573816919</v>
      </c>
      <c r="X102" s="23">
        <f>W102+ Base!$B84*(W100-W102)</f>
        <v>0.9591920850290524</v>
      </c>
      <c r="Y102" s="23">
        <f>X102+ Base!$B84*(X100-X102)</f>
        <v>1.0158546478021417</v>
      </c>
      <c r="Z102" s="23">
        <f>Y102+ Base!$B84*(Y100-Y102)</f>
        <v>1.0721001557981631</v>
      </c>
      <c r="AA102" s="23">
        <f>Z102+ Base!$B84*(Z100-Z102)</f>
        <v>1.1277791103320409</v>
      </c>
      <c r="AB102" s="23">
        <f>AA102+ Base!$B84*(AA100-AA102)</f>
        <v>1.1827616729332824</v>
      </c>
      <c r="AC102" s="23">
        <f>AB102+ Base!$B84*(AB100-AB102)</f>
        <v>1.2369359428908187</v>
      </c>
      <c r="AD102" s="23">
        <f>AC102+ Base!$B84*(AC100-AC102)</f>
        <v>1.2902292972086951</v>
      </c>
      <c r="AE102" s="23">
        <f>AD102+ Base!$B84*(AD100-AD102)</f>
        <v>1.3425965055490194</v>
      </c>
      <c r="AF102" s="23">
        <f>AE102+ Base!$B84*(AE100-AE102)</f>
        <v>1.3940137560155601</v>
      </c>
      <c r="AG102" s="23">
        <f>AF102+ Base!$B84*(AF100-AF102)</f>
        <v>1.4444737382539237</v>
      </c>
      <c r="AH102" s="23">
        <f>AG102+ Base!$B84*(AG100-AG102)</f>
        <v>1.4939816208846928</v>
      </c>
      <c r="AI102" s="23">
        <f>AH102+ Base!$B84*(AH100-AH102)</f>
        <v>1.542551782230837</v>
      </c>
      <c r="AJ102" s="23">
        <f>AI102+ Base!$B84*(AI100-AI102)</f>
        <v>1.5902051728469324</v>
      </c>
      <c r="AK102" s="23">
        <f>AJ102+ Base!$B84*(AJ100-AJ102)</f>
        <v>1.636967205646928</v>
      </c>
      <c r="AL102" s="23">
        <f>AK102+ Base!$B84*(AK100-AK102)</f>
        <v>1.6828660846245598</v>
      </c>
      <c r="AM102" s="23">
        <f>AL102+ Base!$B84*(AL100-AL102)</f>
        <v>1.7279314964431762</v>
      </c>
      <c r="AN102" s="23">
        <f>AM102+ Base!$B84*(AM100-AM102)</f>
        <v>1.7721936007199033</v>
      </c>
      <c r="AO102" s="23">
        <f>AN102+ Base!$B84*(AN100-AN102)</f>
        <v>1.8156822648196957</v>
      </c>
      <c r="AP102" s="23">
        <f>AO102+ Base!$B84*(AO100-AO102)</f>
        <v>1.8584264975765765</v>
      </c>
      <c r="AQ102" s="23">
        <f>AP102+ Base!$B84*(AP100-AP102)</f>
        <v>1.9004540437294626</v>
      </c>
      <c r="AR102" s="23">
        <f>AQ102+ Base!$B84*(AQ100-AQ102)</f>
        <v>1.941791107140296</v>
      </c>
      <c r="AS102" s="23">
        <f>AR102+ Base!$B84*(AR100-AR102)</f>
        <v>1.982462176178061</v>
      </c>
      <c r="AT102" s="23">
        <f>AS102+ Base!$B84*(AS100-AS102)</f>
        <v>2.0224899291062441</v>
      </c>
      <c r="AU102" s="23">
        <f>AT102+ Base!$B84*(AT100-AT102)</f>
        <v>2.0618952009794889</v>
      </c>
      <c r="AV102" s="23">
        <f>AU102+ Base!$B84*(AU100-AU102)</f>
        <v>2.1006969964756599</v>
      </c>
      <c r="AW102" s="23">
        <f>AV102+ Base!$B84*(AV100-AV102)</f>
        <v>2.1389125352443474</v>
      </c>
      <c r="AX102" s="23">
        <f>AW102+ Base!$B84*(AW100-AW102)</f>
        <v>2.1765573176351087</v>
      </c>
      <c r="AY102" s="23">
        <f>AX102+ Base!$B84*(AX100-AX102)</f>
        <v>2.2136451988198389</v>
      </c>
      <c r="AZ102" s="23">
        <f>AY102+ Base!$B84*(AY100-AY102)</f>
        <v>2.2501884578155136</v>
      </c>
      <c r="BA102" s="23">
        <f>AZ102+ Base!$B84*(AZ100-AZ102)</f>
        <v>2.2861978436988935</v>
      </c>
      <c r="BB102" s="23">
        <f>BA102+ Base!$B84*(BA100-BA102)</f>
        <v>2.3216825722652308</v>
      </c>
      <c r="BC102" s="23">
        <f>BB102+ Base!$B84*(BB100-BB102)</f>
        <v>2.3566521574096289</v>
      </c>
      <c r="BD102" s="23">
        <f>BC102+ Base!$B84*(BC100-BC102)</f>
        <v>2.3911157522026576</v>
      </c>
      <c r="BE102" s="23">
        <f>BD102+ Base!$B84*(BD100-BD102)</f>
        <v>2.42508179332278</v>
      </c>
      <c r="BF102" s="23">
        <f>BE102+ Base!$B84*(BE100-BE102)</f>
        <v>2.458557839329357</v>
      </c>
      <c r="BG102" s="23">
        <f>BF102+ Base!$B84*(BF100-BF102)</f>
        <v>2.4915505300483511</v>
      </c>
      <c r="BH102" s="23">
        <f>BG102+ Base!$B84*(BG100-BG102)</f>
        <v>2.5240656189472808</v>
      </c>
      <c r="BI102" s="23">
        <f>BH102+ Base!$B84*(BH100-BH102)</f>
        <v>2.5561080468893644</v>
      </c>
    </row>
    <row r="103" spans="1:309" ht="18" customHeight="1" thickBot="1" x14ac:dyDescent="0.4">
      <c r="A103" s="88" t="s">
        <v>202</v>
      </c>
    </row>
    <row r="104" spans="1:309" ht="18" customHeight="1" thickTop="1" thickBot="1" x14ac:dyDescent="0.4">
      <c r="A104" s="93" t="s">
        <v>56</v>
      </c>
      <c r="B104" s="3"/>
    </row>
    <row r="105" spans="1:309" ht="18" customHeight="1" thickTop="1" x14ac:dyDescent="0.35">
      <c r="A105" s="92" t="s">
        <v>57</v>
      </c>
      <c r="B105" s="3">
        <f t="shared" ref="B105:BI105" si="13">B21*B118^$B5*(B53/1000)^(1-$B5)</f>
        <v>63.542187841812257</v>
      </c>
      <c r="C105" s="3">
        <f t="shared" si="13"/>
        <v>75.840716175001106</v>
      </c>
      <c r="D105" s="3">
        <f t="shared" si="13"/>
        <v>89.606674401939514</v>
      </c>
      <c r="E105" s="3">
        <f t="shared" si="13"/>
        <v>104.84543556444703</v>
      </c>
      <c r="F105" s="3">
        <f t="shared" si="13"/>
        <v>121.56832166484834</v>
      </c>
      <c r="G105" s="3">
        <f t="shared" si="13"/>
        <v>139.76664118207992</v>
      </c>
      <c r="H105" s="3">
        <f t="shared" si="13"/>
        <v>159.43839956880603</v>
      </c>
      <c r="I105" s="3">
        <f t="shared" si="13"/>
        <v>180.77571187126526</v>
      </c>
      <c r="J105" s="3">
        <f t="shared" si="13"/>
        <v>203.56756475929481</v>
      </c>
      <c r="K105" s="3">
        <f t="shared" si="13"/>
        <v>227.95941529027701</v>
      </c>
      <c r="L105" s="3">
        <f t="shared" si="13"/>
        <v>253.83106068725928</v>
      </c>
      <c r="M105" s="3">
        <f t="shared" si="13"/>
        <v>281.31298019730963</v>
      </c>
      <c r="N105" s="3">
        <f t="shared" si="13"/>
        <v>310.26855658171428</v>
      </c>
      <c r="O105" s="3">
        <f t="shared" si="13"/>
        <v>340.71434091844338</v>
      </c>
      <c r="P105" s="3">
        <f t="shared" si="13"/>
        <v>372.65847112919585</v>
      </c>
      <c r="Q105" s="3">
        <f t="shared" si="13"/>
        <v>406.1070649653405</v>
      </c>
      <c r="R105" s="3">
        <f t="shared" si="13"/>
        <v>441.0568773385026</v>
      </c>
      <c r="S105" s="3">
        <f t="shared" si="13"/>
        <v>477.4994372413521</v>
      </c>
      <c r="T105" s="3">
        <f t="shared" si="13"/>
        <v>515.41450602955524</v>
      </c>
      <c r="U105" s="3">
        <f t="shared" si="13"/>
        <v>555.09586707618155</v>
      </c>
      <c r="V105" s="3">
        <f t="shared" si="13"/>
        <v>596.10808502890109</v>
      </c>
      <c r="W105" s="3">
        <f t="shared" si="13"/>
        <v>638.52281604060556</v>
      </c>
      <c r="X105" s="3">
        <f t="shared" si="13"/>
        <v>682.32304161884463</v>
      </c>
      <c r="Y105" s="3">
        <f t="shared" si="13"/>
        <v>727.48339429246369</v>
      </c>
      <c r="Z105" s="3">
        <f t="shared" si="13"/>
        <v>773.96537123362668</v>
      </c>
      <c r="AA105" s="3">
        <f t="shared" si="13"/>
        <v>821.71833151419128</v>
      </c>
      <c r="AB105" s="3">
        <f t="shared" si="13"/>
        <v>870.67192322846051</v>
      </c>
      <c r="AC105" s="3">
        <f t="shared" si="13"/>
        <v>920.88060096697689</v>
      </c>
      <c r="AD105" s="3">
        <f t="shared" si="13"/>
        <v>972.26529413378796</v>
      </c>
      <c r="AE105" s="3">
        <f t="shared" si="13"/>
        <v>1024.7636037152324</v>
      </c>
      <c r="AF105" s="3">
        <f t="shared" si="13"/>
        <v>1078.3125482525313</v>
      </c>
      <c r="AG105" s="3">
        <f t="shared" si="13"/>
        <v>1132.8484264121014</v>
      </c>
      <c r="AH105" s="3">
        <f t="shared" si="13"/>
        <v>1188.3068452262116</v>
      </c>
      <c r="AI105" s="3">
        <f t="shared" si="13"/>
        <v>1244.6228414484326</v>
      </c>
      <c r="AJ105" s="3">
        <f t="shared" si="13"/>
        <v>1301.7310492407078</v>
      </c>
      <c r="AK105" s="3">
        <f t="shared" si="13"/>
        <v>1359.5658826216591</v>
      </c>
      <c r="AL105" s="3">
        <f t="shared" si="13"/>
        <v>1418.0617071355127</v>
      </c>
      <c r="AM105" s="3">
        <f t="shared" si="13"/>
        <v>1477.1529744177758</v>
      </c>
      <c r="AN105" s="3">
        <f t="shared" si="13"/>
        <v>1536.7742826445071</v>
      </c>
      <c r="AO105" s="3">
        <f t="shared" si="13"/>
        <v>1596.8603046246205</v>
      </c>
      <c r="AP105" s="3">
        <f t="shared" si="13"/>
        <v>1657.3454769320201</v>
      </c>
      <c r="AQ105" s="3">
        <f t="shared" si="13"/>
        <v>1718.1632685274658</v>
      </c>
      <c r="AR105" s="3">
        <f t="shared" si="13"/>
        <v>1779.2446900795785</v>
      </c>
      <c r="AS105" s="3">
        <f t="shared" si="13"/>
        <v>1840.5154400257941</v>
      </c>
      <c r="AT105" s="3">
        <f t="shared" si="13"/>
        <v>1901.8905907588164</v>
      </c>
      <c r="AU105" s="3">
        <f t="shared" si="13"/>
        <v>1963.2648263815661</v>
      </c>
      <c r="AV105" s="3">
        <f t="shared" si="13"/>
        <v>2024.4946175639286</v>
      </c>
      <c r="AW105" s="3">
        <f t="shared" si="13"/>
        <v>2085.3657072506285</v>
      </c>
      <c r="AX105" s="3">
        <f t="shared" si="13"/>
        <v>2145.5336384487196</v>
      </c>
      <c r="AY105" s="3">
        <f t="shared" si="13"/>
        <v>2204.4140431763276</v>
      </c>
      <c r="AZ105" s="3">
        <f t="shared" si="13"/>
        <v>2260.9768587424915</v>
      </c>
      <c r="BA105" s="3">
        <f t="shared" si="13"/>
        <v>2337.1936558678949</v>
      </c>
      <c r="BB105" s="3">
        <f t="shared" si="13"/>
        <v>2408.9394313409503</v>
      </c>
      <c r="BC105" s="3">
        <f t="shared" si="13"/>
        <v>2477.3611965652221</v>
      </c>
      <c r="BD105" s="3">
        <f t="shared" si="13"/>
        <v>2543.262633504296</v>
      </c>
      <c r="BE105" s="3">
        <f t="shared" si="13"/>
        <v>2607.2073047919962</v>
      </c>
      <c r="BF105" s="3">
        <f t="shared" si="13"/>
        <v>2669.5895317727895</v>
      </c>
      <c r="BG105" s="3">
        <f t="shared" si="13"/>
        <v>2730.6837937715418</v>
      </c>
      <c r="BH105" s="3">
        <f t="shared" si="13"/>
        <v>2790.6795154328543</v>
      </c>
      <c r="BI105" s="3">
        <f t="shared" si="13"/>
        <v>2849.7057394653712</v>
      </c>
    </row>
    <row r="106" spans="1:309" ht="18" customHeight="1" x14ac:dyDescent="0.35">
      <c r="A106" s="92" t="s">
        <v>125</v>
      </c>
      <c r="B106" s="3">
        <f>($B25*B100+$B26*B100^$B$27+$B$30*(B100/$B$28)^$B$29)*Parameters!$B$29</f>
        <v>1.8350573750000002E-3</v>
      </c>
      <c r="C106" s="3">
        <f>($B25*C100+$B26*C100^$B$27+$B$30*(C100/$B$28)^$B$29)*Parameters!$B$29</f>
        <v>2.3245365237689573E-3</v>
      </c>
      <c r="D106" s="3">
        <f>($B25*D100+$B26*D100^$B$27+$B$30*(D100/$B$28)^$B$29)*Parameters!$B$29</f>
        <v>2.9306424602252436E-3</v>
      </c>
      <c r="E106" s="3">
        <f>($B25*E100+$B26*E100^$B$27+$B$30*(E100/$B$28)^$B$29)*Parameters!$B$29</f>
        <v>3.6601913642425568E-3</v>
      </c>
      <c r="F106" s="3">
        <f>($B25*F100+$B26*F100^$B$27+$B$30*(F100/$B$28)^$B$29)*Parameters!$B$29</f>
        <v>4.5173343406202477E-3</v>
      </c>
      <c r="G106" s="3">
        <f>($B25*G100+$B26*G100^$B$27+$B$30*(G100/$B$28)^$B$29)*Parameters!$B$29</f>
        <v>5.505121914842084E-3</v>
      </c>
      <c r="H106" s="3">
        <f>($B25*H100+$B26*H100^$B$27+$B$30*(H100/$B$28)^$B$29)*Parameters!$B$29</f>
        <v>6.6255683377334966E-3</v>
      </c>
      <c r="I106" s="3">
        <f>($B25*I100+$B26*I100^$B$27+$B$30*(I100/$B$28)^$B$29)*Parameters!$B$29</f>
        <v>7.867790758968209E-3</v>
      </c>
      <c r="J106" s="3">
        <f>($B25*J100+$B26*J100^$B$27+$B$30*(J100/$B$28)^$B$29)*Parameters!$B$29</f>
        <v>9.2148929277117153E-3</v>
      </c>
      <c r="K106" s="3">
        <f>($B25*K100+$B26*K100^$B$27+$B$30*(K100/$B$28)^$B$29)*Parameters!$B$29</f>
        <v>1.0646800597783066E-2</v>
      </c>
      <c r="L106" s="3">
        <f>($B25*L100+$B26*L100^$B$27+$B$30*(L100/$B$28)^$B$29)*Parameters!$B$29</f>
        <v>1.2142105653048477E-2</v>
      </c>
      <c r="M106" s="3">
        <f>($B25*M100+$B26*M100^$B$27+$B$30*(M100/$B$28)^$B$29)*Parameters!$B$29</f>
        <v>1.3675385852617858E-2</v>
      </c>
      <c r="N106" s="3">
        <f>($B25*N100+$B26*N100^$B$27+$B$30*(N100/$B$28)^$B$29)*Parameters!$B$29</f>
        <v>1.5219843588933302E-2</v>
      </c>
      <c r="O106" s="3">
        <f>($B25*O100+$B26*O100^$B$27+$B$30*(O100/$B$28)^$B$29)*Parameters!$B$29</f>
        <v>1.6753204837433516E-2</v>
      </c>
      <c r="P106" s="3">
        <f>($B25*P100+$B26*P100^$B$27+$B$30*(P100/$B$28)^$B$29)*Parameters!$B$29</f>
        <v>1.8257421887747406E-2</v>
      </c>
      <c r="Q106" s="3">
        <f>($B25*Q100+$B26*Q100^$B$27+$B$30*(Q100/$B$28)^$B$29)*Parameters!$B$29</f>
        <v>1.9719080376974681E-2</v>
      </c>
      <c r="R106" s="3">
        <f>($B25*R100+$B26*R100^$B$27+$B$30*(R100/$B$28)^$B$29)*Parameters!$B$29</f>
        <v>2.1128785467074383E-2</v>
      </c>
      <c r="S106" s="3">
        <f>($B25*S100+$B26*S100^$B$27+$B$30*(S100/$B$28)^$B$29)*Parameters!$B$29</f>
        <v>2.2481009125954552E-2</v>
      </c>
      <c r="T106" s="3">
        <f>($B25*T100+$B26*T100^$B$27+$B$30*(T100/$B$28)^$B$29)*Parameters!$B$29</f>
        <v>2.3773382268573388E-2</v>
      </c>
      <c r="U106" s="3">
        <f>($B25*U100+$B26*U100^$B$27+$B$30*(U100/$B$28)^$B$29)*Parameters!$B$29</f>
        <v>2.4947275751587939E-2</v>
      </c>
      <c r="V106" s="3">
        <f>($B25*V100+$B26*V100^$B$27+$B$30*(V100/$B$28)^$B$29)*Parameters!$B$29</f>
        <v>2.5992598276681569E-2</v>
      </c>
      <c r="W106" s="3">
        <f>($B25*W100+$B26*W100^$B$27+$B$30*(W100/$B$28)^$B$29)*Parameters!$B$29</f>
        <v>2.6913802950985909E-2</v>
      </c>
      <c r="X106" s="3">
        <f>($B25*X100+$B26*X100^$B$27+$B$30*(X100/$B$28)^$B$29)*Parameters!$B$29</f>
        <v>2.7716600112211123E-2</v>
      </c>
      <c r="Y106" s="3">
        <f>($B25*Y100+$B26*Y100^$B$27+$B$30*(Y100/$B$28)^$B$29)*Parameters!$B$29</f>
        <v>2.8407916138540202E-2</v>
      </c>
      <c r="Z106" s="3">
        <f>($B25*Z100+$B26*Z100^$B$27+$B$30*(Z100/$B$28)^$B$29)*Parameters!$B$29</f>
        <v>2.8995199976139856E-2</v>
      </c>
      <c r="AA106" s="3">
        <f>($B25*AA100+$B26*AA100^$B$27+$B$30*(AA100/$B$28)^$B$29)*Parameters!$B$29</f>
        <v>2.9486306223150731E-2</v>
      </c>
      <c r="AB106" s="3">
        <f>($B25*AB100+$B26*AB100^$B$27+$B$30*(AB100/$B$28)^$B$29)*Parameters!$B$29</f>
        <v>2.9889159946334221E-2</v>
      </c>
      <c r="AC106" s="3">
        <f>($B25*AC100+$B26*AC100^$B$27+$B$30*(AC100/$B$28)^$B$29)*Parameters!$B$29</f>
        <v>3.0228070773888505E-2</v>
      </c>
      <c r="AD106" s="3">
        <f>($B25*AD100+$B26*AD100^$B$27+$B$30*(AD100/$B$28)^$B$29)*Parameters!$B$29</f>
        <v>3.0520361450038024E-2</v>
      </c>
      <c r="AE106" s="3">
        <f>($B25*AE100+$B26*AE100^$B$27+$B$30*(AE100/$B$28)^$B$29)*Parameters!$B$29</f>
        <v>3.0780027812265309E-2</v>
      </c>
      <c r="AF106" s="3">
        <f>($B25*AF100+$B26*AF100^$B$27+$B$30*(AF100/$B$28)^$B$29)*Parameters!$B$29</f>
        <v>3.1018204141027232E-2</v>
      </c>
      <c r="AG106" s="3">
        <f>($B25*AG100+$B26*AG100^$B$27+$B$30*(AG100/$B$28)^$B$29)*Parameters!$B$29</f>
        <v>3.1243603204682939E-2</v>
      </c>
      <c r="AH106" s="3">
        <f>($B25*AH100+$B26*AH100^$B$27+$B$30*(AH100/$B$28)^$B$29)*Parameters!$B$29</f>
        <v>3.1462915810836094E-2</v>
      </c>
      <c r="AI106" s="3">
        <f>($B25*AI100+$B26*AI100^$B$27+$B$30*(AI100/$B$28)^$B$29)*Parameters!$B$29</f>
        <v>3.1681163666807115E-2</v>
      </c>
      <c r="AJ106" s="3">
        <f>($B25*AJ100+$B26*AJ100^$B$27+$B$30*(AJ100/$B$28)^$B$29)*Parameters!$B$29</f>
        <v>3.1902004833475626E-2</v>
      </c>
      <c r="AK106" s="3">
        <f>($B25*AK100+$B26*AK100^$B$27+$B$30*(AK100/$B$28)^$B$29)*Parameters!$B$29</f>
        <v>3.2127994200813817E-2</v>
      </c>
      <c r="AL106" s="3">
        <f>($B25*AL100+$B26*AL100^$B$27+$B$30*(AL100/$B$28)^$B$29)*Parameters!$B$29</f>
        <v>3.2360803037015162E-2</v>
      </c>
      <c r="AM106" s="3">
        <f>($B25*AM100+$B26*AM100^$B$27+$B$30*(AM100/$B$28)^$B$29)*Parameters!$B$29</f>
        <v>3.260140232665449E-2</v>
      </c>
      <c r="AN106" s="3">
        <f>($B25*AN100+$B26*AN100^$B$27+$B$30*(AN100/$B$28)^$B$29)*Parameters!$B$29</f>
        <v>3.2850214694825172E-2</v>
      </c>
      <c r="AO106" s="3">
        <f>($B25*AO100+$B26*AO100^$B$27+$B$30*(AO100/$B$28)^$B$29)*Parameters!$B$29</f>
        <v>3.3107239463213763E-2</v>
      </c>
      <c r="AP106" s="3">
        <f>($B25*AP100+$B26*AP100^$B$27+$B$30*(AP100/$B$28)^$B$29)*Parameters!$B$29</f>
        <v>3.3372154961185015E-2</v>
      </c>
      <c r="AQ106" s="3">
        <f>($B25*AQ100+$B26*AQ100^$B$27+$B$30*(AQ100/$B$28)^$B$29)*Parameters!$B$29</f>
        <v>3.3644401718638604E-2</v>
      </c>
      <c r="AR106" s="3">
        <f>($B25*AR100+$B26*AR100^$B$27+$B$30*(AR100/$B$28)^$B$29)*Parameters!$B$29</f>
        <v>3.3923249655194589E-2</v>
      </c>
      <c r="AS106" s="3">
        <f>($B25*AS100+$B26*AS100^$B$27+$B$30*(AS100/$B$28)^$B$29)*Parameters!$B$29</f>
        <v>3.4207851878310463E-2</v>
      </c>
      <c r="AT106" s="3">
        <f>($B25*AT100+$B26*AT100^$B$27+$B$30*(AT100/$B$28)^$B$29)*Parameters!$B$29</f>
        <v>3.4497287216777736E-2</v>
      </c>
      <c r="AU106" s="3">
        <f>($B25*AU100+$B26*AU100^$B$27+$B$30*(AU100/$B$28)^$B$29)*Parameters!$B$29</f>
        <v>3.4790593130573824E-2</v>
      </c>
      <c r="AV106" s="3">
        <f>($B25*AV100+$B26*AV100^$B$27+$B$30*(AV100/$B$28)^$B$29)*Parameters!$B$29</f>
        <v>3.5086790115989433E-2</v>
      </c>
      <c r="AW106" s="3">
        <f>($B25*AW100+$B26*AW100^$B$27+$B$30*(AW100/$B$28)^$B$29)*Parameters!$B$29</f>
        <v>3.5384898096906162E-2</v>
      </c>
      <c r="AX106" s="3">
        <f>($B25*AX100+$B26*AX100^$B$27+$B$30*(AX100/$B$28)^$B$29)*Parameters!$B$29</f>
        <v>3.5683944434037905E-2</v>
      </c>
      <c r="AY106" s="3">
        <f>($B25*AY100+$B26*AY100^$B$27+$B$30*(AY100/$B$28)^$B$29)*Parameters!$B$29</f>
        <v>3.5982961867896089E-2</v>
      </c>
      <c r="AZ106" s="3">
        <f>($B25*AZ100+$B26*AZ100^$B$27+$B$30*(AZ100/$B$28)^$B$29)*Parameters!$B$29</f>
        <v>3.6280972501413218E-2</v>
      </c>
      <c r="BA106" s="3">
        <f>($B25*BA100+$B26*BA100^$B$27+$B$30*(BA100/$B$28)^$B$29)*Parameters!$B$29</f>
        <v>3.6576949925633651E-2</v>
      </c>
      <c r="BB106" s="3">
        <f>($B25*BB100+$B26*BB100^$B$27+$B$30*(BB100/$B$28)^$B$29)*Parameters!$B$29</f>
        <v>3.6871273471007701E-2</v>
      </c>
      <c r="BC106" s="3">
        <f>($B25*BC100+$B26*BC100^$B$27+$B$30*(BC100/$B$28)^$B$29)*Parameters!$B$29</f>
        <v>3.7163810983470914E-2</v>
      </c>
      <c r="BD106" s="3">
        <f>($B25*BD100+$B26*BD100^$B$27+$B$30*(BD100/$B$28)^$B$29)*Parameters!$B$29</f>
        <v>3.745413777886971E-2</v>
      </c>
      <c r="BE106" s="3">
        <f>($B25*BE100+$B26*BE100^$B$27+$B$30*(BE100/$B$28)^$B$29)*Parameters!$B$29</f>
        <v>3.7741679449159647E-2</v>
      </c>
      <c r="BF106" s="3">
        <f>($B25*BF100+$B26*BF100^$B$27+$B$30*(BF100/$B$28)^$B$29)*Parameters!$B$29</f>
        <v>3.8025803597266206E-2</v>
      </c>
      <c r="BG106" s="3">
        <f>($B25*BG100+$B26*BG100^$B$27+$B$30*(BG100/$B$28)^$B$29)*Parameters!$B$29</f>
        <v>3.8305877370237718E-2</v>
      </c>
      <c r="BH106" s="3">
        <f>($B25*BH100+$B26*BH100^$B$27+$B$30*(BH100/$B$28)^$B$29)*Parameters!$B$29</f>
        <v>3.8581302182547884E-2</v>
      </c>
      <c r="BI106" s="3">
        <f>($B25*BI100+$B26*BI100^$B$27+$B$30*(BI100/$B$28)^$B$29)*Parameters!$B$29</f>
        <v>3.8851533335993824E-2</v>
      </c>
    </row>
    <row r="107" spans="1:309" ht="18" customHeight="1" x14ac:dyDescent="0.35">
      <c r="A107" s="92" t="s">
        <v>126</v>
      </c>
      <c r="B107" s="3">
        <f>+B105*B106/(1+B106^Parameters!$B$56)</f>
        <v>0.11660356042275292</v>
      </c>
      <c r="C107" s="3">
        <f>+C105*C106/(1+C106^Parameters!$B$56)</f>
        <v>0.1762945147375852</v>
      </c>
      <c r="D107" s="3">
        <f>+D105*D106/(1+D106^Parameters!$B$56)</f>
        <v>0.26260512472190239</v>
      </c>
      <c r="E107" s="3">
        <f>+E105*E106/(1+E106^Parameters!$B$56)</f>
        <v>0.38375435783323847</v>
      </c>
      <c r="F107" s="3">
        <f>+F105*F106/(1+F106^Parameters!$B$56)</f>
        <v>0.54916475418818789</v>
      </c>
      <c r="G107" s="3">
        <f>+G105*G106/(1+G106^Parameters!$B$56)</f>
        <v>0.76943239933533825</v>
      </c>
      <c r="H107" s="3">
        <f>+H105*H106/(1+H106^Parameters!$B$56)</f>
        <v>1.0563700120019832</v>
      </c>
      <c r="I107" s="3">
        <f>+I105*I106/(1+I106^Parameters!$B$56)</f>
        <v>1.4223054753066404</v>
      </c>
      <c r="J107" s="3">
        <f>+J105*J106/(1+J106^Parameters!$B$56)</f>
        <v>1.8758533128119224</v>
      </c>
      <c r="K107" s="3">
        <f>+K105*K106/(1+K106^Parameters!$B$56)</f>
        <v>2.4270384389827995</v>
      </c>
      <c r="L107" s="3">
        <f>+L105*L106/(1+L106^Parameters!$B$56)</f>
        <v>3.0820435568900617</v>
      </c>
      <c r="M107" s="3">
        <f>+M105*M106/(1+M106^Parameters!$B$56)</f>
        <v>3.8470635495480558</v>
      </c>
      <c r="N107" s="3">
        <f>+N105*N106/(1+N106^Parameters!$B$56)</f>
        <v>4.7222389017377937</v>
      </c>
      <c r="O107" s="3">
        <f>+O105*O106/(1+O106^Parameters!$B$56)</f>
        <v>5.7080571444578379</v>
      </c>
      <c r="P107" s="3">
        <f>+P105*P106/(1+P106^Parameters!$B$56)</f>
        <v>6.8037829274486654</v>
      </c>
      <c r="Q107" s="3">
        <f>+Q105*Q106/(1+Q106^Parameters!$B$56)</f>
        <v>8.0080578557088273</v>
      </c>
      <c r="R107" s="3">
        <f>+R105*R106/(1+R106^Parameters!$B$56)</f>
        <v>9.3189961400629624</v>
      </c>
      <c r="S107" s="3">
        <f>+S105*S106/(1+S106^Parameters!$B$56)</f>
        <v>10.734669206261</v>
      </c>
      <c r="T107" s="3">
        <f>+T105*T106/(1+T106^Parameters!$B$56)</f>
        <v>12.253146078608541</v>
      </c>
      <c r="U107" s="3">
        <f>+U105*U106/(1+U106^Parameters!$B$56)</f>
        <v>13.848129664516305</v>
      </c>
      <c r="V107" s="3">
        <f>+V105*V106/(1+V106^Parameters!$B$56)</f>
        <v>15.49439798363816</v>
      </c>
      <c r="W107" s="3">
        <f>+W105*W106/(1+W106^Parameters!$B$56)</f>
        <v>17.185077250625479</v>
      </c>
      <c r="X107" s="3">
        <f>+X105*X106/(1+X106^Parameters!$B$56)</f>
        <v>18.9116748918971</v>
      </c>
      <c r="Y107" s="3">
        <f>+Y105*Y106/(1+Y106^Parameters!$B$56)</f>
        <v>20.666287257240874</v>
      </c>
      <c r="Z107" s="3">
        <f>+Z105*Z106/(1+Z106^Parameters!$B$56)</f>
        <v>22.441280713526318</v>
      </c>
      <c r="AA107" s="3">
        <f>+AA105*AA106/(1+AA106^Parameters!$B$56)</f>
        <v>24.229438352203921</v>
      </c>
      <c r="AB107" s="3">
        <f>+AB105*AB106/(1+AB106^Parameters!$B$56)</f>
        <v>26.023652374157869</v>
      </c>
      <c r="AC107" s="3">
        <f>+AC105*AC106/(1+AC106^Parameters!$B$56)</f>
        <v>27.836443980330738</v>
      </c>
      <c r="AD107" s="3">
        <f>+AD105*AD106/(1+AD106^Parameters!$B$56)</f>
        <v>29.673888202290719</v>
      </c>
      <c r="AE107" s="3">
        <f>+AE105*AE106/(1+AE106^Parameters!$B$56)</f>
        <v>31.542252223352058</v>
      </c>
      <c r="AF107" s="3">
        <f>+AF105*AF106/(1+AF106^Parameters!$B$56)</f>
        <v>33.447318749528264</v>
      </c>
      <c r="AG107" s="3">
        <f>+AG105*AG106/(1+AG106^Parameters!$B$56)</f>
        <v>35.39426672586913</v>
      </c>
      <c r="AH107" s="3">
        <f>+AH105*AH106/(1+AH106^Parameters!$B$56)</f>
        <v>37.387598228792498</v>
      </c>
      <c r="AI107" s="3">
        <f>+AI105*AI106/(1+AI106^Parameters!$B$56)</f>
        <v>39.431099943374271</v>
      </c>
      <c r="AJ107" s="3">
        <f>+AJ105*AJ106/(1+AJ106^Parameters!$B$56)</f>
        <v>41.527830224762312</v>
      </c>
      <c r="AK107" s="3">
        <f>+AK105*AK106/(1+AK106^Parameters!$B$56)</f>
        <v>43.680124792492933</v>
      </c>
      <c r="AL107" s="3">
        <f>+AL105*AL106/(1+AL106^Parameters!$B$56)</f>
        <v>45.889615598945745</v>
      </c>
      <c r="AM107" s="3">
        <f>+AM105*AM106/(1+AM106^Parameters!$B$56)</f>
        <v>48.157258417008215</v>
      </c>
      <c r="AN107" s="3">
        <f>+AN105*AN106/(1+AN106^Parameters!$B$56)</f>
        <v>50.483365122357924</v>
      </c>
      <c r="AO107" s="3">
        <f>+AO105*AO106/(1+AO106^Parameters!$B$56)</f>
        <v>52.8676364945077</v>
      </c>
      <c r="AP107" s="3">
        <f>+AP105*AP106/(1+AP106^Parameters!$B$56)</f>
        <v>55.309190080394359</v>
      </c>
      <c r="AQ107" s="3">
        <f>+AQ105*AQ106/(1+AQ106^Parameters!$B$56)</f>
        <v>57.806575224547089</v>
      </c>
      <c r="AR107" s="3">
        <f>+AR105*AR106/(1+AR106^Parameters!$B$56)</f>
        <v>60.357761819248744</v>
      </c>
      <c r="AS107" s="3">
        <f>+AS105*AS106/(1+AS106^Parameters!$B$56)</f>
        <v>62.960079552145629</v>
      </c>
      <c r="AT107" s="3">
        <f>+AT105*AT106/(1+AT106^Parameters!$B$56)</f>
        <v>65.610065964293824</v>
      </c>
      <c r="AU107" s="3">
        <f>+AU105*AU106/(1+AU106^Parameters!$B$56)</f>
        <v>68.303147782207546</v>
      </c>
      <c r="AV107" s="3">
        <f>+AV105*AV106/(1+AV106^Parameters!$B$56)</f>
        <v>71.033017737415662</v>
      </c>
      <c r="AW107" s="3">
        <f>+AW105*AW106/(1+AW106^Parameters!$B$56)</f>
        <v>73.790453045845908</v>
      </c>
      <c r="AX107" s="3">
        <f>+AX105*AX106/(1+AX106^Parameters!$B$56)</f>
        <v>76.56110313576302</v>
      </c>
      <c r="AY107" s="3">
        <f>+AY105*AY106/(1+AY106^Parameters!$B$56)</f>
        <v>79.321346456668152</v>
      </c>
      <c r="AZ107" s="3">
        <f>+AZ105*AZ106/(1+AZ106^Parameters!$B$56)</f>
        <v>82.030439238367649</v>
      </c>
      <c r="BA107" s="3">
        <f>+BA105*BA106/(1+BA106^Parameters!$B$56)</f>
        <v>85.48741531718828</v>
      </c>
      <c r="BB107" s="3">
        <f>+BB105*BB106/(1+BB106^Parameters!$B$56)</f>
        <v>88.820664548065551</v>
      </c>
      <c r="BC107" s="3">
        <f>+BC105*BC106/(1+BC106^Parameters!$B$56)</f>
        <v>92.06818324693478</v>
      </c>
      <c r="BD107" s="3">
        <f>+BD105*BD106/(1+BD106^Parameters!$B$56)</f>
        <v>95.255709083120408</v>
      </c>
      <c r="BE107" s="3">
        <f>+BE105*BE106/(1+BE106^Parameters!$B$56)</f>
        <v>98.400382354966425</v>
      </c>
      <c r="BF107" s="3">
        <f>+BF105*BF106/(1+BF106^Parameters!$B$56)</f>
        <v>101.51328722050933</v>
      </c>
      <c r="BG107" s="3">
        <f>+BG105*BG106/(1+BG106^Parameters!$B$56)</f>
        <v>104.60123854110746</v>
      </c>
      <c r="BH107" s="3">
        <f>+BH105*BH106/(1+BH106^Parameters!$B$56)</f>
        <v>107.66804967956045</v>
      </c>
      <c r="BI107" s="3">
        <f>+BI105*BI106/(1+BI106^Parameters!$B$56)</f>
        <v>110.71543753461093</v>
      </c>
    </row>
    <row r="108" spans="1:309" ht="18" customHeight="1" x14ac:dyDescent="0.35">
      <c r="A108" s="92" t="s">
        <v>9</v>
      </c>
      <c r="B108" s="3">
        <f t="shared" ref="B108:BI108" si="14">+B105-B107</f>
        <v>63.425584281389504</v>
      </c>
      <c r="C108" s="3">
        <f t="shared" si="14"/>
        <v>75.664421660263514</v>
      </c>
      <c r="D108" s="3">
        <f t="shared" si="14"/>
        <v>89.344069277217613</v>
      </c>
      <c r="E108" s="3">
        <f t="shared" si="14"/>
        <v>104.46168120661379</v>
      </c>
      <c r="F108" s="3">
        <f t="shared" si="14"/>
        <v>121.01915691066016</v>
      </c>
      <c r="G108" s="3">
        <f t="shared" si="14"/>
        <v>138.99720878274459</v>
      </c>
      <c r="H108" s="3">
        <f t="shared" si="14"/>
        <v>158.38202955680404</v>
      </c>
      <c r="I108" s="3">
        <f t="shared" si="14"/>
        <v>179.35340639595861</v>
      </c>
      <c r="J108" s="3">
        <f t="shared" si="14"/>
        <v>201.69171144648288</v>
      </c>
      <c r="K108" s="3">
        <f t="shared" si="14"/>
        <v>225.5323768512942</v>
      </c>
      <c r="L108" s="3">
        <f t="shared" si="14"/>
        <v>250.74901713036923</v>
      </c>
      <c r="M108" s="3">
        <f t="shared" si="14"/>
        <v>277.46591664776156</v>
      </c>
      <c r="N108" s="3">
        <f t="shared" si="14"/>
        <v>305.54631767997648</v>
      </c>
      <c r="O108" s="3">
        <f t="shared" si="14"/>
        <v>335.00628377398556</v>
      </c>
      <c r="P108" s="3">
        <f t="shared" si="14"/>
        <v>365.85468820174719</v>
      </c>
      <c r="Q108" s="3">
        <f t="shared" si="14"/>
        <v>398.09900710963166</v>
      </c>
      <c r="R108" s="3">
        <f t="shared" si="14"/>
        <v>431.73788119843965</v>
      </c>
      <c r="S108" s="3">
        <f t="shared" si="14"/>
        <v>466.76476803509109</v>
      </c>
      <c r="T108" s="3">
        <f t="shared" si="14"/>
        <v>503.16135995094669</v>
      </c>
      <c r="U108" s="3">
        <f t="shared" si="14"/>
        <v>541.2477374116653</v>
      </c>
      <c r="V108" s="3">
        <f t="shared" si="14"/>
        <v>580.61368704526296</v>
      </c>
      <c r="W108" s="3">
        <f t="shared" si="14"/>
        <v>621.33773878998011</v>
      </c>
      <c r="X108" s="3">
        <f t="shared" si="14"/>
        <v>663.41136672694756</v>
      </c>
      <c r="Y108" s="3">
        <f t="shared" si="14"/>
        <v>706.81710703522276</v>
      </c>
      <c r="Z108" s="3">
        <f t="shared" si="14"/>
        <v>751.52409052010034</v>
      </c>
      <c r="AA108" s="3">
        <f t="shared" si="14"/>
        <v>797.48889316198733</v>
      </c>
      <c r="AB108" s="3">
        <f t="shared" si="14"/>
        <v>844.64827085430261</v>
      </c>
      <c r="AC108" s="3">
        <f t="shared" si="14"/>
        <v>893.04415698664616</v>
      </c>
      <c r="AD108" s="3">
        <f t="shared" si="14"/>
        <v>942.59140593149721</v>
      </c>
      <c r="AE108" s="3">
        <f t="shared" si="14"/>
        <v>993.22135149188034</v>
      </c>
      <c r="AF108" s="3">
        <f t="shared" si="14"/>
        <v>1044.8652295030031</v>
      </c>
      <c r="AG108" s="3">
        <f t="shared" si="14"/>
        <v>1097.4541596862323</v>
      </c>
      <c r="AH108" s="3">
        <f t="shared" si="14"/>
        <v>1150.9192469974191</v>
      </c>
      <c r="AI108" s="3">
        <f t="shared" si="14"/>
        <v>1205.1917415050584</v>
      </c>
      <c r="AJ108" s="3">
        <f t="shared" si="14"/>
        <v>1260.2032190159455</v>
      </c>
      <c r="AK108" s="3">
        <f t="shared" si="14"/>
        <v>1315.8857578291661</v>
      </c>
      <c r="AL108" s="3">
        <f t="shared" si="14"/>
        <v>1372.172091536567</v>
      </c>
      <c r="AM108" s="3">
        <f t="shared" si="14"/>
        <v>1428.9957160007675</v>
      </c>
      <c r="AN108" s="3">
        <f t="shared" si="14"/>
        <v>1486.2909175221491</v>
      </c>
      <c r="AO108" s="3">
        <f t="shared" si="14"/>
        <v>1543.9926681301129</v>
      </c>
      <c r="AP108" s="3">
        <f t="shared" si="14"/>
        <v>1602.0362868516258</v>
      </c>
      <c r="AQ108" s="3">
        <f t="shared" si="14"/>
        <v>1660.3566933029188</v>
      </c>
      <c r="AR108" s="3">
        <f t="shared" si="14"/>
        <v>1718.8869282603298</v>
      </c>
      <c r="AS108" s="3">
        <f t="shared" si="14"/>
        <v>1777.5553604736485</v>
      </c>
      <c r="AT108" s="3">
        <f t="shared" si="14"/>
        <v>1836.2805247945225</v>
      </c>
      <c r="AU108" s="3">
        <f t="shared" si="14"/>
        <v>1894.9616785993585</v>
      </c>
      <c r="AV108" s="3">
        <f t="shared" si="14"/>
        <v>1953.4615998265131</v>
      </c>
      <c r="AW108" s="3">
        <f t="shared" si="14"/>
        <v>2011.5752542047826</v>
      </c>
      <c r="AX108" s="3">
        <f t="shared" si="14"/>
        <v>2068.9725353129566</v>
      </c>
      <c r="AY108" s="3">
        <f t="shared" si="14"/>
        <v>2125.0926967196592</v>
      </c>
      <c r="AZ108" s="3">
        <f t="shared" si="14"/>
        <v>2178.9464195041237</v>
      </c>
      <c r="BA108" s="3">
        <f t="shared" si="14"/>
        <v>2251.7062405507068</v>
      </c>
      <c r="BB108" s="3">
        <f t="shared" si="14"/>
        <v>2320.1187667928848</v>
      </c>
      <c r="BC108" s="3">
        <f t="shared" si="14"/>
        <v>2385.2930133182872</v>
      </c>
      <c r="BD108" s="3">
        <f t="shared" si="14"/>
        <v>2448.0069244211754</v>
      </c>
      <c r="BE108" s="3">
        <f t="shared" si="14"/>
        <v>2508.8069224370297</v>
      </c>
      <c r="BF108" s="3">
        <f t="shared" si="14"/>
        <v>2568.0762445522801</v>
      </c>
      <c r="BG108" s="3">
        <f t="shared" si="14"/>
        <v>2626.0825552304345</v>
      </c>
      <c r="BH108" s="3">
        <f t="shared" si="14"/>
        <v>2683.011465753294</v>
      </c>
      <c r="BI108" s="3">
        <f t="shared" si="14"/>
        <v>2738.9903019307603</v>
      </c>
    </row>
    <row r="109" spans="1:309" ht="18" customHeight="1" x14ac:dyDescent="0.35">
      <c r="A109" s="92" t="s">
        <v>69</v>
      </c>
      <c r="B109" s="3">
        <f t="shared" ref="B109:BI109" si="15">(B32*(B137)^$B39)*B47^(1-$B$39)</f>
        <v>1.3613386277572488E-6</v>
      </c>
      <c r="C109" s="3">
        <f t="shared" si="15"/>
        <v>9.4064235187969956E-5</v>
      </c>
      <c r="D109" s="3">
        <f t="shared" si="15"/>
        <v>6.2797175768812086E-4</v>
      </c>
      <c r="E109" s="3">
        <f t="shared" si="15"/>
        <v>1.3416229537627593E-3</v>
      </c>
      <c r="F109" s="3">
        <f t="shared" si="15"/>
        <v>2.5228446168869714E-3</v>
      </c>
      <c r="G109" s="3">
        <f t="shared" si="15"/>
        <v>3.8618354072491065E-3</v>
      </c>
      <c r="H109" s="3">
        <f t="shared" si="15"/>
        <v>2.4973836153438958E-3</v>
      </c>
      <c r="I109" s="3">
        <f t="shared" si="15"/>
        <v>4.0956630348483666E-3</v>
      </c>
      <c r="J109" s="3">
        <f t="shared" si="15"/>
        <v>4.0898431102484104E-3</v>
      </c>
      <c r="K109" s="3">
        <f t="shared" si="15"/>
        <v>5.4090302044812483E-3</v>
      </c>
      <c r="L109" s="3">
        <f t="shared" si="15"/>
        <v>5.52511379014951E-3</v>
      </c>
      <c r="M109" s="3">
        <f t="shared" si="15"/>
        <v>6.7674928540419968E-3</v>
      </c>
      <c r="N109" s="3">
        <f t="shared" si="15"/>
        <v>7.7948194652731149E-3</v>
      </c>
      <c r="O109" s="3">
        <f t="shared" si="15"/>
        <v>8.6131004786323285E-3</v>
      </c>
      <c r="P109" s="3">
        <f t="shared" si="15"/>
        <v>9.2042009712747109E-3</v>
      </c>
      <c r="Q109" s="3">
        <f t="shared" si="15"/>
        <v>9.6009463532445508E-3</v>
      </c>
      <c r="R109" s="3">
        <f t="shared" si="15"/>
        <v>9.8143632423269515E-3</v>
      </c>
      <c r="S109" s="3">
        <f t="shared" si="15"/>
        <v>9.8806681769311906E-3</v>
      </c>
      <c r="T109" s="3">
        <f t="shared" si="15"/>
        <v>8.4279977802576185E-3</v>
      </c>
      <c r="U109" s="3">
        <f t="shared" si="15"/>
        <v>8.6526616855413623E-3</v>
      </c>
      <c r="V109" s="3">
        <f t="shared" si="15"/>
        <v>8.5347664799095141E-3</v>
      </c>
      <c r="W109" s="3">
        <f t="shared" si="15"/>
        <v>8.366832932126549E-3</v>
      </c>
      <c r="X109" s="3">
        <f t="shared" si="15"/>
        <v>8.1525368203495003E-3</v>
      </c>
      <c r="Y109" s="3">
        <f t="shared" si="15"/>
        <v>7.9079514698852087E-3</v>
      </c>
      <c r="Z109" s="3">
        <f t="shared" si="15"/>
        <v>7.638547692403198E-3</v>
      </c>
      <c r="AA109" s="3">
        <f t="shared" si="15"/>
        <v>7.3530584514873206E-3</v>
      </c>
      <c r="AB109" s="3">
        <f t="shared" si="15"/>
        <v>6.8227510603393726E-3</v>
      </c>
      <c r="AC109" s="3">
        <f t="shared" si="15"/>
        <v>6.3664565797269066E-3</v>
      </c>
      <c r="AD109" s="3">
        <f t="shared" si="15"/>
        <v>5.9419799038403264E-3</v>
      </c>
      <c r="AE109" s="3">
        <f t="shared" si="15"/>
        <v>5.5470137500951283E-3</v>
      </c>
      <c r="AF109" s="3">
        <f t="shared" si="15"/>
        <v>5.1794244235287713E-3</v>
      </c>
      <c r="AG109" s="3">
        <f t="shared" si="15"/>
        <v>4.8372382957867317E-3</v>
      </c>
      <c r="AH109" s="3">
        <f t="shared" si="15"/>
        <v>4.5186293724086071E-3</v>
      </c>
      <c r="AI109" s="3">
        <f t="shared" si="15"/>
        <v>4.2219078580507385E-3</v>
      </c>
      <c r="AJ109" s="3">
        <f t="shared" si="15"/>
        <v>3.9455096370098284E-3</v>
      </c>
      <c r="AK109" s="3">
        <f t="shared" si="15"/>
        <v>3.6879865934603554E-3</v>
      </c>
      <c r="AL109" s="3">
        <f t="shared" si="15"/>
        <v>3.4479977022484412E-3</v>
      </c>
      <c r="AM109" s="3">
        <f t="shared" si="15"/>
        <v>3.2243008269521342E-3</v>
      </c>
      <c r="AN109" s="3">
        <f t="shared" si="15"/>
        <v>3.0157451672733391E-3</v>
      </c>
      <c r="AO109" s="3">
        <f t="shared" si="15"/>
        <v>2.8212643027156498E-3</v>
      </c>
      <c r="AP109" s="3">
        <f t="shared" si="15"/>
        <v>2.6398697839670558E-3</v>
      </c>
      <c r="AQ109" s="3">
        <f t="shared" si="15"/>
        <v>2.4706452274844979E-3</v>
      </c>
      <c r="AR109" s="3">
        <f t="shared" si="15"/>
        <v>2.3127408725030904E-3</v>
      </c>
      <c r="AS109" s="3">
        <f t="shared" si="15"/>
        <v>2.1653685630977481E-3</v>
      </c>
      <c r="AT109" s="3">
        <f t="shared" si="15"/>
        <v>2.0277971210373156E-3</v>
      </c>
      <c r="AU109" s="3">
        <f t="shared" si="15"/>
        <v>1.8993480780169262E-3</v>
      </c>
      <c r="AV109" s="3">
        <f t="shared" si="15"/>
        <v>1.779391738456782E-3</v>
      </c>
      <c r="AW109" s="3">
        <f t="shared" si="15"/>
        <v>1.6673435464360845E-3</v>
      </c>
      <c r="AX109" s="3">
        <f t="shared" si="15"/>
        <v>1.5626607325090224E-3</v>
      </c>
      <c r="AY109" s="3">
        <f t="shared" si="15"/>
        <v>1.464839218143117E-3</v>
      </c>
      <c r="AZ109" s="3">
        <f t="shared" si="15"/>
        <v>1.3734107573450372E-3</v>
      </c>
      <c r="BA109" s="3">
        <f t="shared" si="15"/>
        <v>1.287940296709806E-3</v>
      </c>
      <c r="BB109" s="3">
        <f t="shared" si="15"/>
        <v>1.2080235366595303E-3</v>
      </c>
      <c r="BC109" s="3">
        <f t="shared" si="15"/>
        <v>1.1332846780395575E-3</v>
      </c>
      <c r="BD109" s="3">
        <f t="shared" si="15"/>
        <v>1.0633743395243454E-3</v>
      </c>
      <c r="BE109" s="3">
        <f t="shared" si="15"/>
        <v>9.979676324624741E-4</v>
      </c>
      <c r="BF109" s="3">
        <f t="shared" si="15"/>
        <v>9.3676238086929774E-4</v>
      </c>
      <c r="BG109" s="3">
        <f t="shared" si="15"/>
        <v>8.7947747526516255E-4</v>
      </c>
      <c r="BH109" s="3">
        <f t="shared" si="15"/>
        <v>8.2585134996453701E-4</v>
      </c>
      <c r="BI109" s="3">
        <f t="shared" si="15"/>
        <v>7.7564057425380506E-4</v>
      </c>
    </row>
    <row r="110" spans="1:309" ht="18" customHeight="1" x14ac:dyDescent="0.35">
      <c r="A110" s="92" t="s">
        <v>70</v>
      </c>
      <c r="B110" s="3">
        <f t="shared" ref="B110:BI110" si="16">+B105*B109</f>
        <v>8.6502434801266029E-5</v>
      </c>
      <c r="C110" s="3">
        <f t="shared" si="16"/>
        <v>7.1338989631093809E-3</v>
      </c>
      <c r="D110" s="3">
        <f t="shared" si="16"/>
        <v>5.6270460824773105E-2</v>
      </c>
      <c r="E110" s="3">
        <f t="shared" si="16"/>
        <v>0.14066304295051649</v>
      </c>
      <c r="F110" s="3">
        <f t="shared" si="16"/>
        <v>0.30669798589614644</v>
      </c>
      <c r="G110" s="3">
        <f t="shared" si="16"/>
        <v>0.53975576366923739</v>
      </c>
      <c r="H110" s="3">
        <f t="shared" si="16"/>
        <v>0.39817884673978943</v>
      </c>
      <c r="I110" s="3">
        <f t="shared" si="16"/>
        <v>0.74039640070954016</v>
      </c>
      <c r="J110" s="3">
        <f t="shared" si="16"/>
        <v>0.83255940220084901</v>
      </c>
      <c r="K110" s="3">
        <f t="shared" si="16"/>
        <v>1.2330393627009928</v>
      </c>
      <c r="L110" s="3">
        <f t="shared" si="16"/>
        <v>1.4024454937714534</v>
      </c>
      <c r="M110" s="3">
        <f t="shared" si="16"/>
        <v>1.9037835832345507</v>
      </c>
      <c r="N110" s="3">
        <f t="shared" si="16"/>
        <v>2.4184873843053394</v>
      </c>
      <c r="O110" s="3">
        <f t="shared" si="16"/>
        <v>2.9346068528415432</v>
      </c>
      <c r="P110" s="3">
        <f t="shared" si="16"/>
        <v>3.4300234619210932</v>
      </c>
      <c r="Q110" s="3">
        <f t="shared" si="16"/>
        <v>3.8990121444058339</v>
      </c>
      <c r="R110" s="3">
        <f t="shared" si="16"/>
        <v>4.3286924047265067</v>
      </c>
      <c r="S110" s="3">
        <f t="shared" si="16"/>
        <v>4.7180134940531797</v>
      </c>
      <c r="T110" s="3">
        <f t="shared" si="16"/>
        <v>4.3439123127296684</v>
      </c>
      <c r="U110" s="3">
        <f t="shared" si="16"/>
        <v>4.8030567408524369</v>
      </c>
      <c r="V110" s="3">
        <f t="shared" si="16"/>
        <v>5.0876433025077157</v>
      </c>
      <c r="W110" s="3">
        <f t="shared" si="16"/>
        <v>5.3424137251627206</v>
      </c>
      <c r="X110" s="3">
        <f t="shared" si="16"/>
        <v>5.5626637201704954</v>
      </c>
      <c r="Y110" s="3">
        <f t="shared" si="16"/>
        <v>5.7529033772121689</v>
      </c>
      <c r="Z110" s="3">
        <f t="shared" si="16"/>
        <v>5.9119714004366033</v>
      </c>
      <c r="AA110" s="3">
        <f t="shared" si="16"/>
        <v>6.0421429222824843</v>
      </c>
      <c r="AB110" s="3">
        <f t="shared" si="16"/>
        <v>5.9403777874146995</v>
      </c>
      <c r="AC110" s="3">
        <f t="shared" si="16"/>
        <v>5.8627463611690782</v>
      </c>
      <c r="AD110" s="3">
        <f t="shared" si="16"/>
        <v>5.7771808389443722</v>
      </c>
      <c r="AE110" s="3">
        <f t="shared" si="16"/>
        <v>5.6843778004054295</v>
      </c>
      <c r="AF110" s="3">
        <f t="shared" si="16"/>
        <v>5.585038348616707</v>
      </c>
      <c r="AG110" s="3">
        <f t="shared" si="16"/>
        <v>5.4798577915623543</v>
      </c>
      <c r="AH110" s="3">
        <f t="shared" si="16"/>
        <v>5.3695182142733682</v>
      </c>
      <c r="AI110" s="3">
        <f t="shared" si="16"/>
        <v>5.2546829546205762</v>
      </c>
      <c r="AJ110" s="3">
        <f t="shared" si="16"/>
        <v>5.1359923995741283</v>
      </c>
      <c r="AK110" s="3">
        <f t="shared" si="16"/>
        <v>5.0140607480347734</v>
      </c>
      <c r="AL110" s="3">
        <f t="shared" si="16"/>
        <v>4.8894735078497495</v>
      </c>
      <c r="AM110" s="3">
        <f t="shared" si="16"/>
        <v>4.762785556950039</v>
      </c>
      <c r="AN110" s="3">
        <f t="shared" si="16"/>
        <v>4.6345196160751252</v>
      </c>
      <c r="AO110" s="3">
        <f t="shared" si="16"/>
        <v>4.5051649738610804</v>
      </c>
      <c r="AP110" s="3">
        <f t="shared" si="16"/>
        <v>4.3751762461473094</v>
      </c>
      <c r="AQ110" s="3">
        <f t="shared" si="16"/>
        <v>4.244971879426549</v>
      </c>
      <c r="AR110" s="3">
        <f t="shared" si="16"/>
        <v>4.1149319169311349</v>
      </c>
      <c r="AS110" s="3">
        <f t="shared" si="16"/>
        <v>3.9853942737278731</v>
      </c>
      <c r="AT110" s="3">
        <f t="shared" si="16"/>
        <v>3.8566482644686872</v>
      </c>
      <c r="AU110" s="3">
        <f t="shared" si="16"/>
        <v>3.7289232746260619</v>
      </c>
      <c r="AV110" s="3">
        <f t="shared" si="16"/>
        <v>3.6023689970434769</v>
      </c>
      <c r="AW110" s="3">
        <f t="shared" si="16"/>
        <v>3.4770210539434565</v>
      </c>
      <c r="AX110" s="3">
        <f t="shared" si="16"/>
        <v>3.3527411670810241</v>
      </c>
      <c r="AY110" s="3">
        <f t="shared" si="16"/>
        <v>3.2291121434701191</v>
      </c>
      <c r="AZ110" s="3">
        <f t="shared" si="16"/>
        <v>3.1052499399051285</v>
      </c>
      <c r="BA110" s="3">
        <f t="shared" si="16"/>
        <v>3.010165890606773</v>
      </c>
      <c r="BB110" s="3">
        <f t="shared" si="16"/>
        <v>2.9100555314470924</v>
      </c>
      <c r="BC110" s="3">
        <f t="shared" si="16"/>
        <v>2.8075554860371108</v>
      </c>
      <c r="BD110" s="3">
        <f t="shared" si="16"/>
        <v>2.7044402231395783</v>
      </c>
      <c r="BE110" s="3">
        <f t="shared" si="16"/>
        <v>2.6019085013021366</v>
      </c>
      <c r="BF110" s="3">
        <f t="shared" si="16"/>
        <v>2.5007710457272321</v>
      </c>
      <c r="BG110" s="3">
        <f t="shared" si="16"/>
        <v>2.4015748886936912</v>
      </c>
      <c r="BH110" s="3">
        <f t="shared" si="16"/>
        <v>2.3046864451386027</v>
      </c>
      <c r="BI110" s="3">
        <f t="shared" si="16"/>
        <v>2.2103473962132845</v>
      </c>
    </row>
    <row r="111" spans="1:309" ht="18" customHeight="1" x14ac:dyDescent="0.35">
      <c r="A111" s="92" t="s">
        <v>11</v>
      </c>
      <c r="B111" s="3">
        <f>+B108-B110</f>
        <v>63.4254977789547</v>
      </c>
      <c r="C111" s="3">
        <f>+C108-C110</f>
        <v>75.65728776130041</v>
      </c>
      <c r="D111" s="3">
        <f>+D108-D110</f>
        <v>89.287798816392836</v>
      </c>
      <c r="E111" s="3">
        <f>+E108-E110</f>
        <v>104.32101816366327</v>
      </c>
      <c r="F111" s="3">
        <f>+F108-F110</f>
        <v>120.71245892476401</v>
      </c>
      <c r="G111" s="3">
        <f t="shared" ref="G111:BI111" si="17">+G108-G110</f>
        <v>138.45745301907536</v>
      </c>
      <c r="H111" s="3">
        <f t="shared" si="17"/>
        <v>157.98385071006425</v>
      </c>
      <c r="I111" s="3">
        <f t="shared" si="17"/>
        <v>178.61300999524909</v>
      </c>
      <c r="J111" s="3">
        <f t="shared" si="17"/>
        <v>200.85915204428204</v>
      </c>
      <c r="K111" s="3">
        <f t="shared" si="17"/>
        <v>224.29933748859321</v>
      </c>
      <c r="L111" s="3">
        <f t="shared" si="17"/>
        <v>249.34657163659776</v>
      </c>
      <c r="M111" s="3">
        <f t="shared" si="17"/>
        <v>275.56213306452702</v>
      </c>
      <c r="N111" s="3">
        <f t="shared" si="17"/>
        <v>303.12783029567112</v>
      </c>
      <c r="O111" s="3">
        <f t="shared" si="17"/>
        <v>332.07167692114399</v>
      </c>
      <c r="P111" s="3">
        <f t="shared" si="17"/>
        <v>362.42466473982608</v>
      </c>
      <c r="Q111" s="3">
        <f t="shared" si="17"/>
        <v>394.19999496522581</v>
      </c>
      <c r="R111" s="3">
        <f t="shared" si="17"/>
        <v>427.40918879371316</v>
      </c>
      <c r="S111" s="3">
        <f t="shared" si="17"/>
        <v>462.0467545410379</v>
      </c>
      <c r="T111" s="3">
        <f t="shared" si="17"/>
        <v>498.817447638217</v>
      </c>
      <c r="U111" s="3">
        <f t="shared" si="17"/>
        <v>536.44468067081289</v>
      </c>
      <c r="V111" s="3">
        <f t="shared" si="17"/>
        <v>575.52604374275529</v>
      </c>
      <c r="W111" s="3">
        <f t="shared" si="17"/>
        <v>615.99532506481739</v>
      </c>
      <c r="X111" s="3">
        <f t="shared" si="17"/>
        <v>657.8487030067771</v>
      </c>
      <c r="Y111" s="3">
        <f t="shared" si="17"/>
        <v>701.06420365801057</v>
      </c>
      <c r="Z111" s="3">
        <f t="shared" si="17"/>
        <v>745.6121191196637</v>
      </c>
      <c r="AA111" s="3">
        <f t="shared" si="17"/>
        <v>791.4467502397049</v>
      </c>
      <c r="AB111" s="3">
        <f t="shared" si="17"/>
        <v>838.70789306688789</v>
      </c>
      <c r="AC111" s="3">
        <f t="shared" si="17"/>
        <v>887.18141062547704</v>
      </c>
      <c r="AD111" s="3">
        <f t="shared" si="17"/>
        <v>936.81422509255287</v>
      </c>
      <c r="AE111" s="3">
        <f t="shared" si="17"/>
        <v>987.53697369147494</v>
      </c>
      <c r="AF111" s="3">
        <f t="shared" si="17"/>
        <v>1039.2801911543863</v>
      </c>
      <c r="AG111" s="3">
        <f t="shared" si="17"/>
        <v>1091.9743018946699</v>
      </c>
      <c r="AH111" s="3">
        <f t="shared" si="17"/>
        <v>1145.5497287831458</v>
      </c>
      <c r="AI111" s="3">
        <f t="shared" si="17"/>
        <v>1199.9370585504378</v>
      </c>
      <c r="AJ111" s="3">
        <f t="shared" si="17"/>
        <v>1255.0672266163713</v>
      </c>
      <c r="AK111" s="3">
        <f t="shared" si="17"/>
        <v>1310.8716970811313</v>
      </c>
      <c r="AL111" s="3">
        <f t="shared" si="17"/>
        <v>1367.2826180287173</v>
      </c>
      <c r="AM111" s="3">
        <f t="shared" si="17"/>
        <v>1424.2329304438174</v>
      </c>
      <c r="AN111" s="3">
        <f t="shared" si="17"/>
        <v>1481.6563979060741</v>
      </c>
      <c r="AO111" s="3">
        <f t="shared" si="17"/>
        <v>1539.4875031562517</v>
      </c>
      <c r="AP111" s="3">
        <f t="shared" si="17"/>
        <v>1597.6611106054786</v>
      </c>
      <c r="AQ111" s="3">
        <f t="shared" si="17"/>
        <v>1656.1117214234921</v>
      </c>
      <c r="AR111" s="3">
        <f t="shared" si="17"/>
        <v>1714.7719963433988</v>
      </c>
      <c r="AS111" s="3">
        <f t="shared" si="17"/>
        <v>1773.5699661999206</v>
      </c>
      <c r="AT111" s="3">
        <f t="shared" si="17"/>
        <v>1832.4238765300538</v>
      </c>
      <c r="AU111" s="3">
        <f t="shared" si="17"/>
        <v>1891.2327553247324</v>
      </c>
      <c r="AV111" s="3">
        <f t="shared" si="17"/>
        <v>1949.8592308294697</v>
      </c>
      <c r="AW111" s="3">
        <f t="shared" si="17"/>
        <v>2008.0982331508392</v>
      </c>
      <c r="AX111" s="3">
        <f t="shared" si="17"/>
        <v>2065.6197941458754</v>
      </c>
      <c r="AY111" s="3">
        <f t="shared" si="17"/>
        <v>2121.8635845761892</v>
      </c>
      <c r="AZ111" s="3">
        <f t="shared" si="17"/>
        <v>2175.8411695642185</v>
      </c>
      <c r="BA111" s="3">
        <f t="shared" si="17"/>
        <v>2248.6960746600998</v>
      </c>
      <c r="BB111" s="3">
        <f t="shared" si="17"/>
        <v>2317.2087112614377</v>
      </c>
      <c r="BC111" s="3">
        <f t="shared" si="17"/>
        <v>2382.4854578322502</v>
      </c>
      <c r="BD111" s="3">
        <f t="shared" si="17"/>
        <v>2445.3024841980359</v>
      </c>
      <c r="BE111" s="3">
        <f t="shared" si="17"/>
        <v>2506.2050139357275</v>
      </c>
      <c r="BF111" s="3">
        <f t="shared" si="17"/>
        <v>2565.575473506553</v>
      </c>
      <c r="BG111" s="3">
        <f t="shared" si="17"/>
        <v>2623.6809803417409</v>
      </c>
      <c r="BH111" s="3">
        <f t="shared" si="17"/>
        <v>2680.7067793081555</v>
      </c>
      <c r="BI111" s="3">
        <f t="shared" si="17"/>
        <v>2736.779954534547</v>
      </c>
    </row>
    <row r="112" spans="1:309" ht="18" customHeight="1" thickBot="1" x14ac:dyDescent="0.4">
      <c r="A112" s="93" t="s">
        <v>38</v>
      </c>
      <c r="B112" s="3"/>
    </row>
    <row r="113" spans="1:124" ht="15" thickTop="1" x14ac:dyDescent="0.35">
      <c r="A113" s="92" t="s">
        <v>235</v>
      </c>
      <c r="B113" s="3">
        <f t="shared" ref="B113:BI113" si="18">+B114+B44</f>
        <v>32.368532591201529</v>
      </c>
      <c r="C113" s="3">
        <f t="shared" si="18"/>
        <v>34.536867331114806</v>
      </c>
      <c r="D113" s="3">
        <f t="shared" si="18"/>
        <v>36.242397535648884</v>
      </c>
      <c r="E113" s="3">
        <f t="shared" si="18"/>
        <v>37.74137994819791</v>
      </c>
      <c r="F113" s="3">
        <f t="shared" si="18"/>
        <v>39.319709782989001</v>
      </c>
      <c r="G113" s="3">
        <f t="shared" si="18"/>
        <v>40.953317399836671</v>
      </c>
      <c r="H113" s="3">
        <f t="shared" si="18"/>
        <v>40.878609580236656</v>
      </c>
      <c r="I113" s="3">
        <f t="shared" si="18"/>
        <v>40.116466008173006</v>
      </c>
      <c r="J113" s="3">
        <f t="shared" si="18"/>
        <v>38.98044020381009</v>
      </c>
      <c r="K113" s="3">
        <f t="shared" si="18"/>
        <v>37.618437665721231</v>
      </c>
      <c r="L113" s="3">
        <f t="shared" si="18"/>
        <v>35.631951811998647</v>
      </c>
      <c r="M113" s="3">
        <f t="shared" si="18"/>
        <v>33.262477983781196</v>
      </c>
      <c r="N113" s="3">
        <f t="shared" si="18"/>
        <v>31.109807731873918</v>
      </c>
      <c r="O113" s="3">
        <f t="shared" si="18"/>
        <v>29.122182585366186</v>
      </c>
      <c r="P113" s="3">
        <f t="shared" si="18"/>
        <v>27.346916937606082</v>
      </c>
      <c r="Q113" s="3">
        <f t="shared" si="18"/>
        <v>25.748021958346001</v>
      </c>
      <c r="R113" s="3">
        <f t="shared" si="18"/>
        <v>24.344815365373915</v>
      </c>
      <c r="S113" s="3">
        <f t="shared" si="18"/>
        <v>23.110736014668696</v>
      </c>
      <c r="T113" s="3">
        <f t="shared" si="18"/>
        <v>21.923696532597621</v>
      </c>
      <c r="U113" s="3">
        <f t="shared" si="18"/>
        <v>19.477389856093932</v>
      </c>
      <c r="V113" s="3">
        <f t="shared" si="18"/>
        <v>18.080942936720021</v>
      </c>
      <c r="W113" s="3">
        <f t="shared" si="18"/>
        <v>16.744866754309967</v>
      </c>
      <c r="X113" s="3">
        <f t="shared" si="18"/>
        <v>15.499535395729977</v>
      </c>
      <c r="Y113" s="3">
        <f t="shared" si="18"/>
        <v>14.317034884126107</v>
      </c>
      <c r="Z113" s="3">
        <f t="shared" si="18"/>
        <v>13.208176450265372</v>
      </c>
      <c r="AA113" s="3">
        <f t="shared" si="18"/>
        <v>12.162465550540334</v>
      </c>
      <c r="AB113" s="3">
        <f t="shared" si="18"/>
        <v>12.548034682059637</v>
      </c>
      <c r="AC113" s="3">
        <f t="shared" si="18"/>
        <v>12.700603669516234</v>
      </c>
      <c r="AD113" s="3">
        <f t="shared" si="18"/>
        <v>12.835360415378569</v>
      </c>
      <c r="AE113" s="3">
        <f t="shared" si="18"/>
        <v>12.952378825213362</v>
      </c>
      <c r="AF113" s="3">
        <f t="shared" si="18"/>
        <v>13.051838146237339</v>
      </c>
      <c r="AG113" s="3">
        <f t="shared" si="18"/>
        <v>13.134005343161833</v>
      </c>
      <c r="AH113" s="3">
        <f t="shared" si="18"/>
        <v>13.199221589882697</v>
      </c>
      <c r="AI113" s="3">
        <f t="shared" si="18"/>
        <v>13.247891289132424</v>
      </c>
      <c r="AJ113" s="3">
        <f t="shared" si="18"/>
        <v>13.280472686282559</v>
      </c>
      <c r="AK113" s="3">
        <f t="shared" si="18"/>
        <v>13.297469523358671</v>
      </c>
      <c r="AL113" s="3">
        <f t="shared" si="18"/>
        <v>13.29942337455617</v>
      </c>
      <c r="AM113" s="3">
        <f t="shared" si="18"/>
        <v>13.286906391264658</v>
      </c>
      <c r="AN113" s="3">
        <f t="shared" si="18"/>
        <v>13.260514170112423</v>
      </c>
      <c r="AO113" s="3">
        <f t="shared" si="18"/>
        <v>13.220858373656009</v>
      </c>
      <c r="AP113" s="3">
        <f t="shared" si="18"/>
        <v>13.168558478406823</v>
      </c>
      <c r="AQ113" s="3">
        <f t="shared" si="18"/>
        <v>13.104231678483892</v>
      </c>
      <c r="AR113" s="3">
        <f t="shared" si="18"/>
        <v>13.028479181870614</v>
      </c>
      <c r="AS113" s="3">
        <f t="shared" si="18"/>
        <v>12.941865921306988</v>
      </c>
      <c r="AT113" s="3">
        <f t="shared" si="18"/>
        <v>12.844888477111086</v>
      </c>
      <c r="AU113" s="3">
        <f t="shared" si="18"/>
        <v>12.737922140342519</v>
      </c>
      <c r="AV113" s="3">
        <f t="shared" si="18"/>
        <v>12.621131238135554</v>
      </c>
      <c r="AW113" s="3">
        <f t="shared" si="18"/>
        <v>12.494314594108126</v>
      </c>
      <c r="AX113" s="3">
        <f t="shared" si="18"/>
        <v>12.356635692148927</v>
      </c>
      <c r="AY113" s="3">
        <f t="shared" si="18"/>
        <v>12.206144257231927</v>
      </c>
      <c r="AZ113" s="3">
        <f t="shared" si="18"/>
        <v>12.038909014077129</v>
      </c>
      <c r="BA113" s="3">
        <f t="shared" si="18"/>
        <v>11.969506085399388</v>
      </c>
      <c r="BB113" s="3">
        <f t="shared" si="18"/>
        <v>11.868131158994261</v>
      </c>
      <c r="BC113" s="3">
        <f t="shared" si="18"/>
        <v>11.743693132849961</v>
      </c>
      <c r="BD113" s="3">
        <f t="shared" si="18"/>
        <v>11.602432169727297</v>
      </c>
      <c r="BE113" s="3">
        <f t="shared" si="18"/>
        <v>11.448774256799918</v>
      </c>
      <c r="BF113" s="3">
        <f t="shared" si="18"/>
        <v>11.285901025206872</v>
      </c>
      <c r="BG113" s="3">
        <f t="shared" si="18"/>
        <v>11.116134206717136</v>
      </c>
      <c r="BH113" s="3">
        <f t="shared" si="18"/>
        <v>10.94119720152222</v>
      </c>
      <c r="BI113" s="3">
        <f t="shared" si="18"/>
        <v>10.762394108796363</v>
      </c>
    </row>
    <row r="114" spans="1:124" x14ac:dyDescent="0.35">
      <c r="A114" s="92" t="s">
        <v>236</v>
      </c>
      <c r="B114" s="51">
        <f t="shared" ref="B114:BI114" si="19">+B41*B105*(1-B137)</f>
        <v>30.82881259120153</v>
      </c>
      <c r="C114" s="51">
        <f t="shared" si="19"/>
        <v>33.305091331114809</v>
      </c>
      <c r="D114" s="51">
        <f t="shared" si="19"/>
        <v>35.256976735648884</v>
      </c>
      <c r="E114" s="51">
        <f t="shared" si="19"/>
        <v>36.953043308197913</v>
      </c>
      <c r="F114" s="51">
        <f t="shared" si="19"/>
        <v>38.689040470988999</v>
      </c>
      <c r="G114" s="51">
        <f t="shared" si="19"/>
        <v>40.448781950236672</v>
      </c>
      <c r="H114" s="51">
        <f t="shared" si="19"/>
        <v>40.474981220556657</v>
      </c>
      <c r="I114" s="51">
        <f t="shared" si="19"/>
        <v>39.793563320429008</v>
      </c>
      <c r="J114" s="51">
        <f t="shared" si="19"/>
        <v>38.722118053614892</v>
      </c>
      <c r="K114" s="51">
        <f t="shared" si="19"/>
        <v>37.411779945565073</v>
      </c>
      <c r="L114" s="51">
        <f t="shared" si="19"/>
        <v>35.466625635873719</v>
      </c>
      <c r="M114" s="51">
        <f t="shared" si="19"/>
        <v>33.130217042881256</v>
      </c>
      <c r="N114" s="51">
        <f t="shared" si="19"/>
        <v>31.003998979153963</v>
      </c>
      <c r="O114" s="51">
        <f t="shared" si="19"/>
        <v>29.037535583190223</v>
      </c>
      <c r="P114" s="51">
        <f t="shared" si="19"/>
        <v>27.279199335865311</v>
      </c>
      <c r="Q114" s="51">
        <f t="shared" si="19"/>
        <v>25.693847876953384</v>
      </c>
      <c r="R114" s="51">
        <f t="shared" si="19"/>
        <v>24.301476100259823</v>
      </c>
      <c r="S114" s="51">
        <f t="shared" si="19"/>
        <v>23.076064602577421</v>
      </c>
      <c r="T114" s="51">
        <f t="shared" si="19"/>
        <v>21.8959594029246</v>
      </c>
      <c r="U114" s="51">
        <f t="shared" si="19"/>
        <v>19.455200152355516</v>
      </c>
      <c r="V114" s="51">
        <f t="shared" si="19"/>
        <v>18.063191173729287</v>
      </c>
      <c r="W114" s="51">
        <f t="shared" si="19"/>
        <v>16.73066534391738</v>
      </c>
      <c r="X114" s="51">
        <f t="shared" si="19"/>
        <v>15.488174267415907</v>
      </c>
      <c r="Y114" s="51">
        <f t="shared" si="19"/>
        <v>14.307945981474852</v>
      </c>
      <c r="Z114" s="51">
        <f t="shared" si="19"/>
        <v>13.200905328144367</v>
      </c>
      <c r="AA114" s="51">
        <f t="shared" si="19"/>
        <v>12.156648652843531</v>
      </c>
      <c r="AB114" s="51">
        <f t="shared" si="19"/>
        <v>12.543381163902193</v>
      </c>
      <c r="AC114" s="51">
        <f t="shared" si="19"/>
        <v>12.69688085499028</v>
      </c>
      <c r="AD114" s="51">
        <f t="shared" si="19"/>
        <v>12.832382163757805</v>
      </c>
      <c r="AE114" s="51">
        <f t="shared" si="19"/>
        <v>12.949996223916751</v>
      </c>
      <c r="AF114" s="51">
        <f t="shared" si="19"/>
        <v>13.04993206520005</v>
      </c>
      <c r="AG114" s="51">
        <f t="shared" si="19"/>
        <v>13.132480478332003</v>
      </c>
      <c r="AH114" s="51">
        <f t="shared" si="19"/>
        <v>13.198001698018832</v>
      </c>
      <c r="AI114" s="51">
        <f t="shared" si="19"/>
        <v>13.246915375641333</v>
      </c>
      <c r="AJ114" s="51">
        <f t="shared" si="19"/>
        <v>13.279691955489685</v>
      </c>
      <c r="AK114" s="51">
        <f t="shared" si="19"/>
        <v>13.296844938724373</v>
      </c>
      <c r="AL114" s="51">
        <f t="shared" si="19"/>
        <v>13.298923706848731</v>
      </c>
      <c r="AM114" s="51">
        <f t="shared" si="19"/>
        <v>13.286506657098707</v>
      </c>
      <c r="AN114" s="51">
        <f t="shared" si="19"/>
        <v>13.260194382779662</v>
      </c>
      <c r="AO114" s="51">
        <f t="shared" si="19"/>
        <v>13.2206025437898</v>
      </c>
      <c r="AP114" s="51">
        <f t="shared" si="19"/>
        <v>13.168353814513855</v>
      </c>
      <c r="AQ114" s="51">
        <f t="shared" si="19"/>
        <v>13.104067947369519</v>
      </c>
      <c r="AR114" s="51">
        <f t="shared" si="19"/>
        <v>13.028348196979115</v>
      </c>
      <c r="AS114" s="51">
        <f t="shared" si="19"/>
        <v>12.941761133393788</v>
      </c>
      <c r="AT114" s="51">
        <f t="shared" si="19"/>
        <v>12.844804646780526</v>
      </c>
      <c r="AU114" s="51">
        <f t="shared" si="19"/>
        <v>12.737855076078072</v>
      </c>
      <c r="AV114" s="51">
        <f t="shared" si="19"/>
        <v>12.621077586723995</v>
      </c>
      <c r="AW114" s="51">
        <f t="shared" si="19"/>
        <v>12.494271672978879</v>
      </c>
      <c r="AX114" s="51">
        <f t="shared" si="19"/>
        <v>12.35660135524553</v>
      </c>
      <c r="AY114" s="51">
        <f t="shared" si="19"/>
        <v>12.20611678770921</v>
      </c>
      <c r="AZ114" s="51">
        <f t="shared" si="19"/>
        <v>12.038887038458954</v>
      </c>
      <c r="BA114" s="51">
        <f t="shared" si="19"/>
        <v>11.969488504904849</v>
      </c>
      <c r="BB114" s="51">
        <f t="shared" si="19"/>
        <v>11.868117094598629</v>
      </c>
      <c r="BC114" s="51">
        <f t="shared" si="19"/>
        <v>11.743681881333456</v>
      </c>
      <c r="BD114" s="51">
        <f t="shared" si="19"/>
        <v>11.602423168514093</v>
      </c>
      <c r="BE114" s="51">
        <f t="shared" si="19"/>
        <v>11.448767055829355</v>
      </c>
      <c r="BF114" s="51">
        <f t="shared" si="19"/>
        <v>11.285895264430421</v>
      </c>
      <c r="BG114" s="51">
        <f t="shared" si="19"/>
        <v>11.116129598095975</v>
      </c>
      <c r="BH114" s="51">
        <f t="shared" si="19"/>
        <v>10.941193514625292</v>
      </c>
      <c r="BI114" s="51">
        <f t="shared" si="19"/>
        <v>10.76239115927882</v>
      </c>
      <c r="BJ114" s="51"/>
      <c r="BK114" s="51"/>
      <c r="BL114" s="51"/>
      <c r="BM114" s="51"/>
      <c r="BN114" s="51"/>
      <c r="BO114" s="51"/>
      <c r="BP114" s="51"/>
      <c r="BQ114" s="51"/>
      <c r="BR114" s="51"/>
      <c r="BS114" s="51"/>
      <c r="BT114" s="51"/>
      <c r="BU114" s="51"/>
      <c r="BV114" s="51"/>
      <c r="BW114" s="51"/>
      <c r="BX114" s="51"/>
      <c r="BY114" s="51"/>
      <c r="BZ114" s="51"/>
      <c r="CA114" s="51"/>
      <c r="CB114" s="51"/>
      <c r="CC114" s="51"/>
      <c r="CD114" s="51"/>
      <c r="CE114" s="51"/>
      <c r="CF114" s="51"/>
      <c r="CG114" s="51"/>
      <c r="CH114" s="51"/>
      <c r="CI114" s="51"/>
      <c r="CJ114" s="51"/>
      <c r="CK114" s="51"/>
      <c r="CL114" s="51"/>
      <c r="CM114" s="51"/>
      <c r="CN114" s="51"/>
      <c r="CO114" s="51"/>
      <c r="CP114" s="51"/>
      <c r="CQ114" s="51"/>
      <c r="CR114" s="51"/>
      <c r="CS114" s="51"/>
      <c r="CT114" s="51"/>
      <c r="CU114" s="51"/>
      <c r="CV114" s="51"/>
      <c r="CW114" s="51"/>
      <c r="CX114" s="51"/>
      <c r="CY114" s="51"/>
      <c r="CZ114" s="51"/>
      <c r="DA114" s="51"/>
      <c r="DB114" s="51"/>
      <c r="DC114" s="51"/>
      <c r="DD114" s="51"/>
      <c r="DE114" s="51"/>
      <c r="DF114" s="51"/>
      <c r="DG114" s="51"/>
      <c r="DH114" s="51"/>
      <c r="DI114" s="51"/>
      <c r="DJ114" s="51"/>
      <c r="DK114" s="51"/>
      <c r="DL114" s="51"/>
      <c r="DM114" s="51"/>
      <c r="DN114" s="51"/>
      <c r="DO114" s="51"/>
      <c r="DP114" s="51"/>
      <c r="DQ114" s="51"/>
      <c r="DR114" s="51"/>
      <c r="DS114" s="51"/>
      <c r="DT114" s="51"/>
    </row>
    <row r="115" spans="1:124" s="69" customFormat="1" x14ac:dyDescent="0.35">
      <c r="A115" s="92" t="s">
        <v>100</v>
      </c>
      <c r="B115" s="51">
        <f t="shared" ref="B115:BI115" si="20">+B114/B105</f>
        <v>0.48517077611412435</v>
      </c>
      <c r="C115" s="51">
        <f t="shared" si="20"/>
        <v>0.43914526405926735</v>
      </c>
      <c r="D115" s="51">
        <f t="shared" si="20"/>
        <v>0.39346373438099336</v>
      </c>
      <c r="E115" s="51">
        <f t="shared" si="20"/>
        <v>0.35245257086545645</v>
      </c>
      <c r="F115" s="51">
        <f t="shared" si="20"/>
        <v>0.31824935921753367</v>
      </c>
      <c r="G115" s="51">
        <f t="shared" si="20"/>
        <v>0.28940226085523746</v>
      </c>
      <c r="H115" s="51">
        <f t="shared" si="20"/>
        <v>0.253859680792202</v>
      </c>
      <c r="I115" s="51">
        <f t="shared" si="20"/>
        <v>0.22012671342025728</v>
      </c>
      <c r="J115" s="51">
        <f t="shared" si="20"/>
        <v>0.19021752359911187</v>
      </c>
      <c r="K115" s="51">
        <f t="shared" si="20"/>
        <v>0.16411596730025815</v>
      </c>
      <c r="L115" s="51">
        <f t="shared" si="20"/>
        <v>0.13972531785450606</v>
      </c>
      <c r="M115" s="51">
        <f t="shared" si="20"/>
        <v>0.11776995508576998</v>
      </c>
      <c r="N115" s="51">
        <f t="shared" si="20"/>
        <v>9.9926332596285999E-2</v>
      </c>
      <c r="O115" s="51">
        <f t="shared" si="20"/>
        <v>8.5225457504710445E-2</v>
      </c>
      <c r="P115" s="51">
        <f t="shared" si="20"/>
        <v>7.3201608038605315E-2</v>
      </c>
      <c r="Q115" s="51">
        <f t="shared" si="20"/>
        <v>6.3268655223090609E-2</v>
      </c>
      <c r="R115" s="51">
        <f t="shared" si="20"/>
        <v>5.5098281761082057E-2</v>
      </c>
      <c r="S115" s="51">
        <f t="shared" si="20"/>
        <v>4.8326893819800723E-2</v>
      </c>
      <c r="T115" s="51">
        <f t="shared" si="20"/>
        <v>4.2482233516471936E-2</v>
      </c>
      <c r="U115" s="51">
        <f t="shared" si="20"/>
        <v>3.5048360663952623E-2</v>
      </c>
      <c r="V115" s="51">
        <f t="shared" si="20"/>
        <v>3.0301872474777003E-2</v>
      </c>
      <c r="W115" s="51">
        <f t="shared" si="20"/>
        <v>2.6202141761608448E-2</v>
      </c>
      <c r="X115" s="51">
        <f t="shared" si="20"/>
        <v>2.2699181066301762E-2</v>
      </c>
      <c r="Y115" s="51">
        <f t="shared" si="20"/>
        <v>1.9667728629586774E-2</v>
      </c>
      <c r="Z115" s="51">
        <f t="shared" si="20"/>
        <v>1.7056196334861065E-2</v>
      </c>
      <c r="AA115" s="51">
        <f t="shared" si="20"/>
        <v>1.4794179692258189E-2</v>
      </c>
      <c r="AB115" s="51">
        <f t="shared" si="20"/>
        <v>1.4406552949808242E-2</v>
      </c>
      <c r="AC115" s="51">
        <f t="shared" si="20"/>
        <v>1.378776015224757E-2</v>
      </c>
      <c r="AD115" s="51">
        <f t="shared" si="20"/>
        <v>1.3198436929902399E-2</v>
      </c>
      <c r="AE115" s="51">
        <f t="shared" si="20"/>
        <v>1.2637057148562992E-2</v>
      </c>
      <c r="AF115" s="51">
        <f t="shared" si="20"/>
        <v>1.2102179545576307E-2</v>
      </c>
      <c r="AG115" s="51">
        <f t="shared" si="20"/>
        <v>1.1592442706500915E-2</v>
      </c>
      <c r="AH115" s="51">
        <f t="shared" si="20"/>
        <v>1.1106560356055509E-2</v>
      </c>
      <c r="AI115" s="51">
        <f t="shared" si="20"/>
        <v>1.0643316942685388E-2</v>
      </c>
      <c r="AJ115" s="51">
        <f t="shared" si="20"/>
        <v>1.0201563497494858E-2</v>
      </c>
      <c r="AK115" s="51">
        <f t="shared" si="20"/>
        <v>9.7802137496154195E-3</v>
      </c>
      <c r="AL115" s="51">
        <f t="shared" si="20"/>
        <v>9.3782404813064039E-3</v>
      </c>
      <c r="AM115" s="51">
        <f t="shared" si="20"/>
        <v>8.9946721072241172E-3</v>
      </c>
      <c r="AN115" s="51">
        <f t="shared" si="20"/>
        <v>8.6285894633539133E-3</v>
      </c>
      <c r="AO115" s="51">
        <f t="shared" si="20"/>
        <v>8.2791227920826875E-3</v>
      </c>
      <c r="AP115" s="51">
        <f t="shared" si="20"/>
        <v>7.9454489108030345E-3</v>
      </c>
      <c r="AQ115" s="51">
        <f t="shared" si="20"/>
        <v>7.6267885522894605E-3</v>
      </c>
      <c r="AR115" s="51">
        <f t="shared" si="20"/>
        <v>7.3224038658765978E-3</v>
      </c>
      <c r="AS115" s="51">
        <f t="shared" si="20"/>
        <v>7.0315960692035346E-3</v>
      </c>
      <c r="AT115" s="51">
        <f t="shared" si="20"/>
        <v>6.753703240971241E-3</v>
      </c>
      <c r="AU115" s="51">
        <f t="shared" si="20"/>
        <v>6.4880982457954112E-3</v>
      </c>
      <c r="AV115" s="51">
        <f t="shared" si="20"/>
        <v>6.2341867828282589E-3</v>
      </c>
      <c r="AW115" s="51">
        <f t="shared" si="20"/>
        <v>5.9914055503729746E-3</v>
      </c>
      <c r="AX115" s="51">
        <f t="shared" si="20"/>
        <v>5.7592205192269538E-3</v>
      </c>
      <c r="AY115" s="51">
        <f t="shared" si="20"/>
        <v>5.5371253079668668E-3</v>
      </c>
      <c r="AZ115" s="51">
        <f t="shared" si="20"/>
        <v>5.3246396538329608E-3</v>
      </c>
      <c r="BA115" s="51">
        <f t="shared" si="20"/>
        <v>5.1213079732839216E-3</v>
      </c>
      <c r="BB115" s="51">
        <f t="shared" si="20"/>
        <v>4.9266980066793014E-3</v>
      </c>
      <c r="BC115" s="51">
        <f t="shared" si="20"/>
        <v>4.7403995419059907E-3</v>
      </c>
      <c r="BD115" s="51">
        <f t="shared" si="20"/>
        <v>4.5620232121003617E-3</v>
      </c>
      <c r="BE115" s="51">
        <f t="shared" si="20"/>
        <v>4.3911993629301149E-3</v>
      </c>
      <c r="BF115" s="51">
        <f t="shared" si="20"/>
        <v>4.2275769851913584E-3</v>
      </c>
      <c r="BG115" s="51">
        <f t="shared" si="20"/>
        <v>4.0708227087482354E-3</v>
      </c>
      <c r="BH115" s="51">
        <f t="shared" si="20"/>
        <v>3.9206198540960857E-3</v>
      </c>
      <c r="BI115" s="51">
        <f t="shared" si="20"/>
        <v>3.7766675380658549E-3</v>
      </c>
      <c r="BJ115" s="51"/>
      <c r="BK115" s="51"/>
      <c r="BL115" s="51"/>
      <c r="BM115" s="51"/>
      <c r="BN115" s="51"/>
      <c r="BO115" s="51"/>
      <c r="BP115" s="51"/>
      <c r="BQ115" s="51"/>
      <c r="BR115" s="51"/>
      <c r="BS115" s="51"/>
      <c r="BT115" s="51"/>
      <c r="BU115" s="51"/>
      <c r="BV115" s="51"/>
      <c r="BW115" s="51"/>
      <c r="BX115" s="51"/>
      <c r="BY115" s="51"/>
      <c r="BZ115" s="51"/>
      <c r="CA115" s="51"/>
      <c r="CB115" s="51"/>
      <c r="CC115" s="51"/>
      <c r="CD115" s="51"/>
      <c r="CE115" s="51"/>
      <c r="CF115" s="51"/>
      <c r="CG115" s="51"/>
      <c r="CH115" s="51"/>
      <c r="CI115" s="51"/>
      <c r="CJ115" s="51"/>
      <c r="CK115" s="51"/>
      <c r="CL115" s="51"/>
      <c r="CM115" s="51"/>
      <c r="CN115" s="51"/>
      <c r="CO115" s="51"/>
      <c r="CP115" s="51"/>
      <c r="CQ115" s="51"/>
      <c r="CR115" s="51"/>
      <c r="CS115" s="51"/>
      <c r="CT115" s="51"/>
      <c r="CU115" s="51"/>
      <c r="CV115" s="51"/>
      <c r="CW115" s="51"/>
      <c r="CX115" s="51"/>
      <c r="CY115" s="51"/>
      <c r="CZ115" s="51"/>
      <c r="DA115" s="51"/>
      <c r="DB115" s="51"/>
      <c r="DC115" s="51"/>
      <c r="DD115" s="51"/>
      <c r="DE115" s="51"/>
      <c r="DF115" s="51"/>
      <c r="DG115" s="51"/>
      <c r="DH115" s="51"/>
      <c r="DI115" s="51"/>
      <c r="DJ115" s="51"/>
      <c r="DK115" s="51"/>
      <c r="DL115" s="51"/>
      <c r="DM115" s="51"/>
      <c r="DN115" s="51"/>
      <c r="DO115" s="51"/>
      <c r="DP115" s="51"/>
      <c r="DQ115" s="51"/>
    </row>
    <row r="116" spans="1:124" ht="17.5" thickBot="1" x14ac:dyDescent="0.4">
      <c r="A116" s="93" t="s">
        <v>12</v>
      </c>
    </row>
    <row r="117" spans="1:124" ht="15" thickTop="1" x14ac:dyDescent="0.35">
      <c r="A117" s="92" t="s">
        <v>132</v>
      </c>
      <c r="B117" s="51">
        <f t="shared" ref="B117:BI117" si="21">(B132)*B111</f>
        <v>16.409660551346228</v>
      </c>
      <c r="C117" s="3">
        <f t="shared" si="21"/>
        <v>19.382956070485289</v>
      </c>
      <c r="D117" s="3">
        <f t="shared" si="21"/>
        <v>22.664965526862996</v>
      </c>
      <c r="E117" s="3">
        <f t="shared" si="21"/>
        <v>26.263961376645476</v>
      </c>
      <c r="F117" s="3">
        <f t="shared" si="21"/>
        <v>30.154877429718798</v>
      </c>
      <c r="G117" s="3">
        <f t="shared" si="21"/>
        <v>34.340051595724702</v>
      </c>
      <c r="H117" s="3">
        <f t="shared" si="21"/>
        <v>39.106040894540129</v>
      </c>
      <c r="I117" s="3">
        <f t="shared" si="21"/>
        <v>43.973459014455948</v>
      </c>
      <c r="J117" s="3">
        <f t="shared" si="21"/>
        <v>49.345367199964045</v>
      </c>
      <c r="K117" s="3">
        <f t="shared" si="21"/>
        <v>54.9149427728752</v>
      </c>
      <c r="L117" s="3">
        <f t="shared" si="21"/>
        <v>60.991170508359282</v>
      </c>
      <c r="M117" s="3">
        <f t="shared" si="21"/>
        <v>67.253105336891252</v>
      </c>
      <c r="N117" s="3">
        <f t="shared" si="21"/>
        <v>73.85418368611208</v>
      </c>
      <c r="O117" s="3">
        <f t="shared" si="21"/>
        <v>80.799518963186088</v>
      </c>
      <c r="P117" s="3">
        <f t="shared" si="21"/>
        <v>88.100196242894711</v>
      </c>
      <c r="Q117" s="3">
        <f t="shared" si="21"/>
        <v>95.755984600667929</v>
      </c>
      <c r="R117" s="3">
        <f t="shared" si="21"/>
        <v>103.7684810162099</v>
      </c>
      <c r="S117" s="3">
        <f t="shared" si="21"/>
        <v>112.12689553472653</v>
      </c>
      <c r="T117" s="3">
        <f t="shared" si="21"/>
        <v>121.33528222360536</v>
      </c>
      <c r="U117" s="3">
        <f t="shared" si="21"/>
        <v>130.43957829668994</v>
      </c>
      <c r="V117" s="3">
        <f t="shared" si="21"/>
        <v>139.98013040819572</v>
      </c>
      <c r="W117" s="3">
        <f t="shared" si="21"/>
        <v>149.88161354887566</v>
      </c>
      <c r="X117" s="3">
        <f t="shared" si="21"/>
        <v>160.13992569508005</v>
      </c>
      <c r="Y117" s="3">
        <f t="shared" si="21"/>
        <v>170.73864677351986</v>
      </c>
      <c r="Z117" s="3">
        <f t="shared" si="21"/>
        <v>181.65496290800306</v>
      </c>
      <c r="AA117" s="3">
        <f t="shared" si="21"/>
        <v>192.84592544523949</v>
      </c>
      <c r="AB117" s="3">
        <f t="shared" si="21"/>
        <v>204.49607237784065</v>
      </c>
      <c r="AC117" s="3">
        <f t="shared" si="21"/>
        <v>216.44812119726089</v>
      </c>
      <c r="AD117" s="3">
        <f t="shared" si="21"/>
        <v>228.70269247112964</v>
      </c>
      <c r="AE117" s="3">
        <f t="shared" si="21"/>
        <v>241.24366364304302</v>
      </c>
      <c r="AF117" s="3">
        <f t="shared" si="21"/>
        <v>254.05465721769673</v>
      </c>
      <c r="AG117" s="3">
        <f t="shared" si="21"/>
        <v>267.11912284748468</v>
      </c>
      <c r="AH117" s="3">
        <f t="shared" si="21"/>
        <v>280.42041341260307</v>
      </c>
      <c r="AI117" s="3">
        <f t="shared" si="21"/>
        <v>293.9418487273461</v>
      </c>
      <c r="AJ117" s="3">
        <f t="shared" si="21"/>
        <v>307.66676030054441</v>
      </c>
      <c r="AK117" s="3">
        <f t="shared" si="21"/>
        <v>321.5785052862613</v>
      </c>
      <c r="AL117" s="3">
        <f t="shared" si="21"/>
        <v>335.66042986346963</v>
      </c>
      <c r="AM117" s="3">
        <f t="shared" si="21"/>
        <v>349.89574386733966</v>
      </c>
      <c r="AN117" s="3">
        <f t="shared" si="21"/>
        <v>364.26724130254462</v>
      </c>
      <c r="AO117" s="3">
        <f t="shared" si="21"/>
        <v>378.75673666355277</v>
      </c>
      <c r="AP117" s="3">
        <f t="shared" si="21"/>
        <v>393.34400187643996</v>
      </c>
      <c r="AQ117" s="3">
        <f t="shared" si="21"/>
        <v>408.00478373210177</v>
      </c>
      <c r="AR117" s="3">
        <f t="shared" si="21"/>
        <v>422.70716665290092</v>
      </c>
      <c r="AS117" s="3">
        <f t="shared" si="21"/>
        <v>437.40493357138905</v>
      </c>
      <c r="AT117" s="3">
        <f t="shared" si="21"/>
        <v>452.0254853080562</v>
      </c>
      <c r="AU117" s="3">
        <f t="shared" si="21"/>
        <v>466.44789437828354</v>
      </c>
      <c r="AV117" s="3">
        <f t="shared" si="21"/>
        <v>480.46301418631617</v>
      </c>
      <c r="AW117" s="3">
        <f t="shared" si="21"/>
        <v>493.70084586012445</v>
      </c>
      <c r="AX117" s="3">
        <f t="shared" si="21"/>
        <v>505.49754166625439</v>
      </c>
      <c r="AY117" s="3">
        <f t="shared" si="21"/>
        <v>514.64930961302241</v>
      </c>
      <c r="AZ117" s="3">
        <f t="shared" si="21"/>
        <v>561.97222260267847</v>
      </c>
      <c r="BA117" s="3">
        <f t="shared" si="21"/>
        <v>580.78905239565438</v>
      </c>
      <c r="BB117" s="3">
        <f t="shared" si="21"/>
        <v>598.48436913374826</v>
      </c>
      <c r="BC117" s="3">
        <f t="shared" si="21"/>
        <v>615.3439261950839</v>
      </c>
      <c r="BD117" s="3">
        <f t="shared" si="21"/>
        <v>631.5681912829358</v>
      </c>
      <c r="BE117" s="3">
        <f t="shared" si="21"/>
        <v>647.29798373174356</v>
      </c>
      <c r="BF117" s="3">
        <f t="shared" si="21"/>
        <v>662.63207593877803</v>
      </c>
      <c r="BG117" s="3">
        <f t="shared" si="21"/>
        <v>677.63945849885965</v>
      </c>
      <c r="BH117" s="3">
        <f t="shared" si="21"/>
        <v>692.36797611270174</v>
      </c>
      <c r="BI117" s="3">
        <f t="shared" si="21"/>
        <v>706.85045183342538</v>
      </c>
    </row>
    <row r="118" spans="1:124" x14ac:dyDescent="0.35">
      <c r="A118" s="92" t="s">
        <v>133</v>
      </c>
      <c r="B118" s="51">
        <f>+B12</f>
        <v>135</v>
      </c>
      <c r="C118" s="3">
        <f t="shared" ref="C118:BI118" si="22">+B118*(1-$B$10)^(C2-B2)+B117*(C2-B2)</f>
        <v>161.76445275673117</v>
      </c>
      <c r="D118" s="3">
        <f t="shared" si="22"/>
        <v>192.43507206074867</v>
      </c>
      <c r="E118" s="3">
        <f t="shared" si="22"/>
        <v>226.9558133354665</v>
      </c>
      <c r="F118" s="3">
        <f t="shared" si="22"/>
        <v>265.33494509968705</v>
      </c>
      <c r="G118" s="3">
        <f t="shared" si="22"/>
        <v>307.45201888050826</v>
      </c>
      <c r="H118" s="3">
        <f t="shared" si="22"/>
        <v>353.24760060737492</v>
      </c>
      <c r="I118" s="3">
        <f t="shared" si="22"/>
        <v>404.11938015534952</v>
      </c>
      <c r="J118" s="3">
        <f t="shared" si="22"/>
        <v>458.49574786021219</v>
      </c>
      <c r="K118" s="3">
        <f t="shared" si="22"/>
        <v>517.463990153797</v>
      </c>
      <c r="L118" s="3">
        <f t="shared" si="22"/>
        <v>580.1320254102917</v>
      </c>
      <c r="M118" s="3">
        <f t="shared" si="22"/>
        <v>647.51801222631957</v>
      </c>
      <c r="N118" s="3">
        <f t="shared" si="22"/>
        <v>718.61843772397583</v>
      </c>
      <c r="O118" s="3">
        <f t="shared" si="22"/>
        <v>793.60791972219101</v>
      </c>
      <c r="P118" s="3">
        <f t="shared" si="22"/>
        <v>872.61513533268715</v>
      </c>
      <c r="Q118" s="3">
        <f t="shared" si="22"/>
        <v>955.77149247707212</v>
      </c>
      <c r="R118" s="3">
        <f t="shared" si="22"/>
        <v>1043.1534315961262</v>
      </c>
      <c r="S118" s="3">
        <f t="shared" si="22"/>
        <v>1134.8140749042464</v>
      </c>
      <c r="T118" s="3">
        <f t="shared" si="22"/>
        <v>1230.7308407638413</v>
      </c>
      <c r="U118" s="3">
        <f t="shared" si="22"/>
        <v>1333.4106652806677</v>
      </c>
      <c r="V118" s="3">
        <f t="shared" si="22"/>
        <v>1439.5635552250315</v>
      </c>
      <c r="W118" s="3">
        <f t="shared" si="22"/>
        <v>1549.9485357658077</v>
      </c>
      <c r="X118" s="3">
        <f t="shared" si="22"/>
        <v>1664.6371786287305</v>
      </c>
      <c r="Y118" s="3">
        <f t="shared" si="22"/>
        <v>1783.6512360838797</v>
      </c>
      <c r="Z118" s="3">
        <f t="shared" si="22"/>
        <v>1906.9214522627697</v>
      </c>
      <c r="AA118" s="3">
        <f t="shared" si="22"/>
        <v>2034.2928628866584</v>
      </c>
      <c r="AB118" s="3">
        <f t="shared" si="22"/>
        <v>2165.4592198321407</v>
      </c>
      <c r="AC118" s="3">
        <f t="shared" si="22"/>
        <v>2301.1623766078842</v>
      </c>
      <c r="AD118" s="3">
        <f t="shared" si="22"/>
        <v>2441.0539777494942</v>
      </c>
      <c r="AE118" s="3">
        <f t="shared" si="22"/>
        <v>2584.9314256769476</v>
      </c>
      <c r="AF118" s="3">
        <f t="shared" si="22"/>
        <v>2732.594475763196</v>
      </c>
      <c r="AG118" s="3">
        <f t="shared" si="22"/>
        <v>2883.8429980818937</v>
      </c>
      <c r="AH118" s="3">
        <f t="shared" si="22"/>
        <v>3038.4760661748014</v>
      </c>
      <c r="AI118" s="3">
        <f t="shared" si="22"/>
        <v>3196.2917993785741</v>
      </c>
      <c r="AJ118" s="3">
        <f t="shared" si="22"/>
        <v>3357.0875882517853</v>
      </c>
      <c r="AK118" s="3">
        <f t="shared" si="22"/>
        <v>3520.6604514895193</v>
      </c>
      <c r="AL118" s="3">
        <f t="shared" si="22"/>
        <v>3686.8073164313537</v>
      </c>
      <c r="AM118" s="3">
        <f t="shared" si="22"/>
        <v>3855.3250015968988</v>
      </c>
      <c r="AN118" s="3">
        <f t="shared" si="22"/>
        <v>4026.009579529652</v>
      </c>
      <c r="AO118" s="3">
        <f t="shared" si="22"/>
        <v>4198.6546031291873</v>
      </c>
      <c r="AP118" s="3">
        <f t="shared" si="22"/>
        <v>4373.0472399195187</v>
      </c>
      <c r="AQ118" s="3">
        <f t="shared" si="22"/>
        <v>4548.9606740822774</v>
      </c>
      <c r="AR118" s="3">
        <f t="shared" si="22"/>
        <v>4726.1397070993535</v>
      </c>
      <c r="AS118" s="3">
        <f t="shared" si="22"/>
        <v>4904.2740689096026</v>
      </c>
      <c r="AT118" s="3">
        <f t="shared" si="22"/>
        <v>5082.9494628073771</v>
      </c>
      <c r="AU118" s="3">
        <f t="shared" si="22"/>
        <v>5261.5582548334096</v>
      </c>
      <c r="AV118" s="3">
        <f t="shared" si="22"/>
        <v>5439.1370057879985</v>
      </c>
      <c r="AW118" s="3">
        <f t="shared" si="22"/>
        <v>5614.0710814793374</v>
      </c>
      <c r="AX118" s="3">
        <f t="shared" si="22"/>
        <v>5783.5570622033574</v>
      </c>
      <c r="AY118" s="3">
        <f t="shared" si="22"/>
        <v>5942.6203179917338</v>
      </c>
      <c r="AZ118" s="3">
        <f t="shared" si="22"/>
        <v>6082.3044196360515</v>
      </c>
      <c r="BA118" s="3">
        <f t="shared" si="22"/>
        <v>6401.4010497642848</v>
      </c>
      <c r="BB118" s="3">
        <f t="shared" si="22"/>
        <v>6683.9085678535857</v>
      </c>
      <c r="BC118" s="3">
        <f t="shared" si="22"/>
        <v>6939.2030159006063</v>
      </c>
      <c r="BD118" s="3">
        <f t="shared" si="22"/>
        <v>7174.2496198345689</v>
      </c>
      <c r="BE118" s="3">
        <f t="shared" si="22"/>
        <v>7394.1636144307959</v>
      </c>
      <c r="BF118" s="3">
        <f t="shared" si="22"/>
        <v>7602.6695913439598</v>
      </c>
      <c r="BG118" s="3">
        <f t="shared" si="22"/>
        <v>7802.4607466865873</v>
      </c>
      <c r="BH118" s="3">
        <f t="shared" si="22"/>
        <v>7995.4723388052626</v>
      </c>
      <c r="BI118" s="3">
        <f t="shared" si="22"/>
        <v>8183.08634190463</v>
      </c>
    </row>
    <row r="119" spans="1:124" ht="17.5" thickBot="1" x14ac:dyDescent="0.4">
      <c r="A119" s="93" t="s">
        <v>96</v>
      </c>
    </row>
    <row r="120" spans="1:124" ht="15" thickTop="1" x14ac:dyDescent="0.35">
      <c r="A120" s="92" t="s">
        <v>97</v>
      </c>
      <c r="B120" s="51">
        <f t="shared" ref="B120:BI120" si="23">+B15</f>
        <v>1.4999999999999999E-2</v>
      </c>
      <c r="C120" s="3">
        <f t="shared" si="23"/>
        <v>1.4999999999999999E-2</v>
      </c>
      <c r="D120" s="3">
        <f t="shared" si="23"/>
        <v>1.4999999999999999E-2</v>
      </c>
      <c r="E120" s="3">
        <f t="shared" si="23"/>
        <v>1.4999999999999999E-2</v>
      </c>
      <c r="F120" s="3">
        <f t="shared" si="23"/>
        <v>1.4999999999999999E-2</v>
      </c>
      <c r="G120" s="3">
        <f t="shared" si="23"/>
        <v>1.4999999999999999E-2</v>
      </c>
      <c r="H120" s="3">
        <f t="shared" si="23"/>
        <v>1.4999999999999999E-2</v>
      </c>
      <c r="I120" s="3">
        <f t="shared" si="23"/>
        <v>1.4999999999999999E-2</v>
      </c>
      <c r="J120" s="3">
        <f t="shared" si="23"/>
        <v>1.4999999999999999E-2</v>
      </c>
      <c r="K120" s="3">
        <f t="shared" si="23"/>
        <v>1.4999999999999999E-2</v>
      </c>
      <c r="L120" s="3">
        <f t="shared" si="23"/>
        <v>1.4999999999999999E-2</v>
      </c>
      <c r="M120" s="3">
        <f t="shared" si="23"/>
        <v>1.4999999999999999E-2</v>
      </c>
      <c r="N120" s="3">
        <f t="shared" si="23"/>
        <v>1.4999999999999999E-2</v>
      </c>
      <c r="O120" s="3">
        <f t="shared" si="23"/>
        <v>1.4999999999999999E-2</v>
      </c>
      <c r="P120" s="3">
        <f t="shared" si="23"/>
        <v>1.4999999999999999E-2</v>
      </c>
      <c r="Q120" s="3">
        <f t="shared" si="23"/>
        <v>1.4999999999999999E-2</v>
      </c>
      <c r="R120" s="3">
        <f t="shared" si="23"/>
        <v>1.4999999999999999E-2</v>
      </c>
      <c r="S120" s="3">
        <f t="shared" si="23"/>
        <v>1.4999999999999999E-2</v>
      </c>
      <c r="T120" s="3">
        <f t="shared" si="23"/>
        <v>1.4999999999999999E-2</v>
      </c>
      <c r="U120" s="3">
        <f t="shared" si="23"/>
        <v>1.4999999999999999E-2</v>
      </c>
      <c r="V120" s="3">
        <f t="shared" si="23"/>
        <v>1.4999999999999999E-2</v>
      </c>
      <c r="W120" s="3">
        <f t="shared" si="23"/>
        <v>1.4999999999999999E-2</v>
      </c>
      <c r="X120" s="3">
        <f t="shared" si="23"/>
        <v>1.4999999999999999E-2</v>
      </c>
      <c r="Y120" s="3">
        <f t="shared" si="23"/>
        <v>1.4999999999999999E-2</v>
      </c>
      <c r="Z120" s="3">
        <f t="shared" si="23"/>
        <v>1.4999999999999999E-2</v>
      </c>
      <c r="AA120" s="3">
        <f t="shared" si="23"/>
        <v>1.4999999999999999E-2</v>
      </c>
      <c r="AB120" s="3">
        <f t="shared" si="23"/>
        <v>1.4999999999999999E-2</v>
      </c>
      <c r="AC120" s="3">
        <f t="shared" si="23"/>
        <v>1.4999999999999999E-2</v>
      </c>
      <c r="AD120" s="3">
        <f t="shared" si="23"/>
        <v>1.4999999999999999E-2</v>
      </c>
      <c r="AE120" s="3">
        <f t="shared" si="23"/>
        <v>1.4999999999999999E-2</v>
      </c>
      <c r="AF120" s="3">
        <f t="shared" si="23"/>
        <v>1.4999999999999999E-2</v>
      </c>
      <c r="AG120" s="3">
        <f t="shared" si="23"/>
        <v>1.4999999999999999E-2</v>
      </c>
      <c r="AH120" s="3">
        <f t="shared" si="23"/>
        <v>1.4999999999999999E-2</v>
      </c>
      <c r="AI120" s="3">
        <f t="shared" si="23"/>
        <v>1.4999999999999999E-2</v>
      </c>
      <c r="AJ120" s="3">
        <f t="shared" si="23"/>
        <v>1.4999999999999999E-2</v>
      </c>
      <c r="AK120" s="3">
        <f t="shared" si="23"/>
        <v>1.4999999999999999E-2</v>
      </c>
      <c r="AL120" s="3">
        <f t="shared" si="23"/>
        <v>1.4999999999999999E-2</v>
      </c>
      <c r="AM120" s="3">
        <f t="shared" si="23"/>
        <v>1.4999999999999999E-2</v>
      </c>
      <c r="AN120" s="3">
        <f t="shared" si="23"/>
        <v>1.4999999999999999E-2</v>
      </c>
      <c r="AO120" s="3">
        <f t="shared" si="23"/>
        <v>1.4999999999999999E-2</v>
      </c>
      <c r="AP120" s="3">
        <f t="shared" si="23"/>
        <v>1.4999999999999999E-2</v>
      </c>
      <c r="AQ120" s="3">
        <f t="shared" si="23"/>
        <v>1.4999999999999999E-2</v>
      </c>
      <c r="AR120" s="3">
        <f t="shared" si="23"/>
        <v>1.4999999999999999E-2</v>
      </c>
      <c r="AS120" s="3">
        <f t="shared" si="23"/>
        <v>1.4999999999999999E-2</v>
      </c>
      <c r="AT120" s="3">
        <f t="shared" si="23"/>
        <v>1.4999999999999999E-2</v>
      </c>
      <c r="AU120" s="3">
        <f t="shared" si="23"/>
        <v>1.4999999999999999E-2</v>
      </c>
      <c r="AV120" s="3">
        <f t="shared" si="23"/>
        <v>1.4999999999999999E-2</v>
      </c>
      <c r="AW120" s="3">
        <f t="shared" si="23"/>
        <v>1.4999999999999999E-2</v>
      </c>
      <c r="AX120" s="3">
        <f t="shared" si="23"/>
        <v>1.4999999999999999E-2</v>
      </c>
      <c r="AY120" s="3">
        <f t="shared" si="23"/>
        <v>1.4999999999999999E-2</v>
      </c>
      <c r="AZ120" s="3">
        <f t="shared" si="23"/>
        <v>1.4999999999999999E-2</v>
      </c>
      <c r="BA120" s="3">
        <f t="shared" si="23"/>
        <v>1.4999999999999999E-2</v>
      </c>
      <c r="BB120" s="3">
        <f t="shared" si="23"/>
        <v>1.4999999999999999E-2</v>
      </c>
      <c r="BC120" s="3">
        <f t="shared" si="23"/>
        <v>1.4999999999999999E-2</v>
      </c>
      <c r="BD120" s="3">
        <f t="shared" si="23"/>
        <v>1.4999999999999999E-2</v>
      </c>
      <c r="BE120" s="3">
        <f t="shared" si="23"/>
        <v>1.4999999999999999E-2</v>
      </c>
      <c r="BF120" s="3">
        <f t="shared" si="23"/>
        <v>1.4999999999999999E-2</v>
      </c>
      <c r="BG120" s="3">
        <f t="shared" si="23"/>
        <v>1.4999999999999999E-2</v>
      </c>
      <c r="BH120" s="3">
        <f t="shared" si="23"/>
        <v>1.4999999999999999E-2</v>
      </c>
      <c r="BI120" s="3">
        <f t="shared" si="23"/>
        <v>1.4999999999999999E-2</v>
      </c>
    </row>
    <row r="121" spans="1:124" x14ac:dyDescent="0.35">
      <c r="A121" s="92" t="s">
        <v>32</v>
      </c>
      <c r="B121" s="51">
        <f t="shared" ref="B121:BI121" si="24">+$B$5*B105/B118</f>
        <v>0.14120486187069389</v>
      </c>
      <c r="C121" s="3">
        <f t="shared" si="24"/>
        <v>0.14065027553807607</v>
      </c>
      <c r="D121" s="3">
        <f t="shared" si="24"/>
        <v>0.13969388237137789</v>
      </c>
      <c r="E121" s="3">
        <f t="shared" si="24"/>
        <v>0.13858922671807514</v>
      </c>
      <c r="F121" s="3">
        <f t="shared" si="24"/>
        <v>0.13745078502853228</v>
      </c>
      <c r="G121" s="3">
        <f t="shared" si="24"/>
        <v>0.13637897876650515</v>
      </c>
      <c r="H121" s="3">
        <f t="shared" si="24"/>
        <v>0.13540508070939522</v>
      </c>
      <c r="I121" s="3">
        <f t="shared" si="24"/>
        <v>0.13419973459459358</v>
      </c>
      <c r="J121" s="3">
        <f t="shared" si="24"/>
        <v>0.13319702464592487</v>
      </c>
      <c r="K121" s="3">
        <f t="shared" si="24"/>
        <v>0.13215958190009966</v>
      </c>
      <c r="L121" s="3">
        <f t="shared" si="24"/>
        <v>0.13126204875919761</v>
      </c>
      <c r="M121" s="3">
        <f t="shared" si="24"/>
        <v>0.13033443466541847</v>
      </c>
      <c r="N121" s="3">
        <f t="shared" si="24"/>
        <v>0.1295271065815137</v>
      </c>
      <c r="O121" s="3">
        <f t="shared" si="24"/>
        <v>0.12879697862807868</v>
      </c>
      <c r="P121" s="3">
        <f t="shared" si="24"/>
        <v>0.12811781140621128</v>
      </c>
      <c r="Q121" s="3">
        <f t="shared" si="24"/>
        <v>0.12746992398135873</v>
      </c>
      <c r="R121" s="3">
        <f t="shared" si="24"/>
        <v>0.12684333789622185</v>
      </c>
      <c r="S121" s="3">
        <f t="shared" si="24"/>
        <v>0.12623198314181361</v>
      </c>
      <c r="T121" s="3">
        <f t="shared" si="24"/>
        <v>0.1256362046740459</v>
      </c>
      <c r="U121" s="3">
        <f t="shared" si="24"/>
        <v>0.12488932664101803</v>
      </c>
      <c r="V121" s="3">
        <f t="shared" si="24"/>
        <v>0.12422683587645797</v>
      </c>
      <c r="W121" s="3">
        <f t="shared" si="24"/>
        <v>0.12358916466702949</v>
      </c>
      <c r="X121" s="3">
        <f t="shared" si="24"/>
        <v>0.12296788460190194</v>
      </c>
      <c r="Y121" s="3">
        <f t="shared" si="24"/>
        <v>0.12235857205297039</v>
      </c>
      <c r="Z121" s="3">
        <f t="shared" si="24"/>
        <v>0.12176149735720355</v>
      </c>
      <c r="AA121" s="3">
        <f t="shared" si="24"/>
        <v>0.12117994608920382</v>
      </c>
      <c r="AB121" s="3">
        <f t="shared" si="24"/>
        <v>0.1206217944795957</v>
      </c>
      <c r="AC121" s="3">
        <f t="shared" si="24"/>
        <v>0.12005418787409985</v>
      </c>
      <c r="AD121" s="3">
        <f t="shared" si="24"/>
        <v>0.11948920052519588</v>
      </c>
      <c r="AE121" s="3">
        <f t="shared" si="24"/>
        <v>0.11893123278272634</v>
      </c>
      <c r="AF121" s="3">
        <f t="shared" si="24"/>
        <v>0.11838337790147574</v>
      </c>
      <c r="AG121" s="3">
        <f t="shared" si="24"/>
        <v>0.1178477913498325</v>
      </c>
      <c r="AH121" s="3">
        <f t="shared" si="24"/>
        <v>0.11732593767528289</v>
      </c>
      <c r="AI121" s="3">
        <f t="shared" si="24"/>
        <v>0.11681876245063857</v>
      </c>
      <c r="AJ121" s="3">
        <f t="shared" si="24"/>
        <v>0.11632681736956901</v>
      </c>
      <c r="AK121" s="3">
        <f t="shared" si="24"/>
        <v>0.1158503554678033</v>
      </c>
      <c r="AL121" s="3">
        <f t="shared" si="24"/>
        <v>0.11538940758977277</v>
      </c>
      <c r="AM121" s="3">
        <f t="shared" si="24"/>
        <v>0.11494384835047085</v>
      </c>
      <c r="AN121" s="3">
        <f t="shared" si="24"/>
        <v>0.11451345946554188</v>
      </c>
      <c r="AO121" s="3">
        <f t="shared" si="24"/>
        <v>0.11409799963787259</v>
      </c>
      <c r="AP121" s="3">
        <f t="shared" si="24"/>
        <v>0.11369729522719643</v>
      </c>
      <c r="AQ121" s="3">
        <f t="shared" si="24"/>
        <v>0.11331137318794872</v>
      </c>
      <c r="AR121" s="3">
        <f t="shared" si="24"/>
        <v>0.11294067465294515</v>
      </c>
      <c r="AS121" s="3">
        <f t="shared" si="24"/>
        <v>0.11258641426834086</v>
      </c>
      <c r="AT121" s="3">
        <f t="shared" si="24"/>
        <v>0.11225120009603902</v>
      </c>
      <c r="AU121" s="3">
        <f t="shared" si="24"/>
        <v>0.11194011724063253</v>
      </c>
      <c r="AV121" s="3">
        <f t="shared" si="24"/>
        <v>0.11166263777192512</v>
      </c>
      <c r="AW121" s="3">
        <f t="shared" si="24"/>
        <v>0.11143601552161628</v>
      </c>
      <c r="AX121" s="3">
        <f t="shared" si="24"/>
        <v>0.1112913877414743</v>
      </c>
      <c r="AY121" s="3">
        <f t="shared" si="24"/>
        <v>0.11128495134556873</v>
      </c>
      <c r="AZ121" s="3">
        <f t="shared" si="24"/>
        <v>0.1115190905987791</v>
      </c>
      <c r="BA121" s="3">
        <f t="shared" si="24"/>
        <v>0.10953197453332296</v>
      </c>
      <c r="BB121" s="3">
        <f t="shared" si="24"/>
        <v>0.10812263843315276</v>
      </c>
      <c r="BC121" s="3">
        <f t="shared" si="24"/>
        <v>0.10710284124366537</v>
      </c>
      <c r="BD121" s="3">
        <f t="shared" si="24"/>
        <v>0.10634962964515338</v>
      </c>
      <c r="BE121" s="3">
        <f t="shared" si="24"/>
        <v>0.10578102300997161</v>
      </c>
      <c r="BF121" s="3">
        <f t="shared" si="24"/>
        <v>0.10534153166983311</v>
      </c>
      <c r="BG121" s="3">
        <f t="shared" si="24"/>
        <v>0.10499317647696571</v>
      </c>
      <c r="BH121" s="3">
        <f t="shared" si="24"/>
        <v>0.10470974310880511</v>
      </c>
      <c r="BI121" s="3">
        <f t="shared" si="24"/>
        <v>0.10447301740685641</v>
      </c>
    </row>
    <row r="122" spans="1:124" x14ac:dyDescent="0.35">
      <c r="A122" s="92" t="s">
        <v>33</v>
      </c>
      <c r="B122" s="3">
        <f>+AVERAGE($B121:B121)</f>
        <v>0.14120486187069389</v>
      </c>
      <c r="C122" s="3">
        <f>+AVERAGE($B121:C121)</f>
        <v>0.140927568704385</v>
      </c>
      <c r="D122" s="3">
        <f>+AVERAGE($B121:D121)</f>
        <v>0.14051633992671597</v>
      </c>
      <c r="E122" s="3">
        <f>+AVERAGE($B121:E121)</f>
        <v>0.14003456162455577</v>
      </c>
      <c r="F122" s="3">
        <f>+AVERAGE($B121:F121)</f>
        <v>0.13951780630535107</v>
      </c>
      <c r="G122" s="3">
        <f>+AVERAGE($B121:G121)</f>
        <v>0.13899466838221008</v>
      </c>
      <c r="H122" s="3">
        <f>+AVERAGE($B121:H121)</f>
        <v>0.13848187014323651</v>
      </c>
      <c r="I122" s="3">
        <f>+AVERAGE($B121:I121)</f>
        <v>0.13794660319965615</v>
      </c>
      <c r="J122" s="3">
        <f>+AVERAGE($B121:J121)</f>
        <v>0.13741887224924157</v>
      </c>
      <c r="K122" s="3">
        <f>+AVERAGE($B121:K121)</f>
        <v>0.13689294321432738</v>
      </c>
      <c r="L122" s="3">
        <f>+AVERAGE($B121:L121)</f>
        <v>0.13638104371840648</v>
      </c>
      <c r="M122" s="3">
        <f>+AVERAGE($B121:M121)</f>
        <v>0.13587715963065747</v>
      </c>
      <c r="N122" s="3">
        <f>+AVERAGE($B121:N121)</f>
        <v>0.13538869401149259</v>
      </c>
      <c r="O122" s="3">
        <f>+AVERAGE($B121:O121)</f>
        <v>0.13491785719839158</v>
      </c>
      <c r="P122" s="3">
        <f>+AVERAGE($B121:P121)</f>
        <v>0.13446452081224622</v>
      </c>
      <c r="Q122" s="3">
        <f>+AVERAGE($B121:Q121)</f>
        <v>0.13402735851031575</v>
      </c>
      <c r="R122" s="3">
        <f>+AVERAGE($B121:R121)</f>
        <v>0.13360476906242785</v>
      </c>
      <c r="S122" s="3">
        <f>+AVERAGE($B121:S121)</f>
        <v>0.13319516984461596</v>
      </c>
      <c r="T122" s="3">
        <f>+AVERAGE($B121:T121)</f>
        <v>0.13279732957248069</v>
      </c>
      <c r="U122" s="3">
        <f>+AVERAGE($B121:U121)</f>
        <v>0.13240192942590753</v>
      </c>
      <c r="V122" s="3">
        <f>+AVERAGE($B121:V121)</f>
        <v>0.13201263925688614</v>
      </c>
      <c r="W122" s="3">
        <f>+AVERAGE($B121:W121)</f>
        <v>0.13162975404825628</v>
      </c>
      <c r="X122" s="3">
        <f>+AVERAGE($B121:X121)</f>
        <v>0.13125315102884957</v>
      </c>
      <c r="Y122" s="3">
        <f>+AVERAGE($B121:Y121)</f>
        <v>0.13088254357152126</v>
      </c>
      <c r="Z122" s="3">
        <f>+AVERAGE($B121:Z121)</f>
        <v>0.13051770172294858</v>
      </c>
      <c r="AA122" s="3">
        <f>+AVERAGE($B121:AA121)</f>
        <v>0.13015855727549686</v>
      </c>
      <c r="AB122" s="3">
        <f>+AVERAGE($B121:AB121)</f>
        <v>0.12980534383861164</v>
      </c>
      <c r="AC122" s="3">
        <f>+AVERAGE($B121:AC121)</f>
        <v>0.12945708826845051</v>
      </c>
      <c r="AD122" s="3">
        <f>+AVERAGE($B121:AD121)</f>
        <v>0.12911336800144171</v>
      </c>
      <c r="AE122" s="3">
        <f>+AVERAGE($B121:AE121)</f>
        <v>0.12877396349415121</v>
      </c>
      <c r="AF122" s="3">
        <f>+AVERAGE($B121:AF121)</f>
        <v>0.12843878331374231</v>
      </c>
      <c r="AG122" s="3">
        <f>+AVERAGE($B121:AG121)</f>
        <v>0.12810781481487013</v>
      </c>
      <c r="AH122" s="3">
        <f>+AVERAGE($B121:AH121)</f>
        <v>0.12778109126518569</v>
      </c>
      <c r="AI122" s="3">
        <f>+AVERAGE($B121:AI121)</f>
        <v>0.12745866982946372</v>
      </c>
      <c r="AJ122" s="3">
        <f>+AVERAGE($B121:AJ121)</f>
        <v>0.12714061690203815</v>
      </c>
      <c r="AK122" s="3">
        <f>+AVERAGE($B121:AK121)</f>
        <v>0.12682699852886498</v>
      </c>
      <c r="AL122" s="3">
        <f>+AVERAGE($B121:AL121)</f>
        <v>0.12651787444943005</v>
      </c>
      <c r="AM122" s="3">
        <f>+AVERAGE($B121:AM121)</f>
        <v>0.12621329481524693</v>
      </c>
      <c r="AN122" s="3">
        <f>+AVERAGE($B121:AN121)</f>
        <v>0.12591329903704937</v>
      </c>
      <c r="AO122" s="3">
        <f>+AVERAGE($B121:AO121)</f>
        <v>0.12561791655206994</v>
      </c>
      <c r="AP122" s="3">
        <f>+AVERAGE($B121:AP121)</f>
        <v>0.12532716969048766</v>
      </c>
      <c r="AQ122" s="3">
        <f>+AVERAGE($B121:AQ121)</f>
        <v>0.12504107929757005</v>
      </c>
      <c r="AR122" s="3">
        <f>+AVERAGE($B121:AR121)</f>
        <v>0.12475967453839273</v>
      </c>
      <c r="AS122" s="3">
        <f>+AVERAGE($B121:AS121)</f>
        <v>0.12448300953225519</v>
      </c>
      <c r="AT122" s="3">
        <f>+AVERAGE($B121:AT121)</f>
        <v>0.12421119154478372</v>
      </c>
      <c r="AU122" s="3">
        <f>+AVERAGE($B121:AU121)</f>
        <v>0.12394442905991088</v>
      </c>
      <c r="AV122" s="3">
        <f>+AVERAGE($B121:AV121)</f>
        <v>0.12368311435165585</v>
      </c>
      <c r="AW122" s="3">
        <f>+AVERAGE($B121:AW121)</f>
        <v>0.12342796645936337</v>
      </c>
      <c r="AX122" s="3">
        <f>+AVERAGE($B121:AX121)</f>
        <v>0.12318028117940644</v>
      </c>
      <c r="AY122" s="3">
        <f>+AVERAGE($B121:AY121)</f>
        <v>0.12294237458272969</v>
      </c>
      <c r="AZ122" s="3">
        <f>+AVERAGE($B121:AZ121)</f>
        <v>0.12271838862226007</v>
      </c>
      <c r="BA122" s="3">
        <f>+AVERAGE($B121:BA121)</f>
        <v>0.12246480373593437</v>
      </c>
      <c r="BB122" s="3">
        <f>+AVERAGE($B121:BB121)</f>
        <v>0.12219419684342904</v>
      </c>
      <c r="BC122" s="3">
        <f>+AVERAGE($B121:BC121)</f>
        <v>0.12191472729528527</v>
      </c>
      <c r="BD122" s="3">
        <f>+AVERAGE($B121:BD121)</f>
        <v>0.12163172551982833</v>
      </c>
      <c r="BE122" s="3">
        <f>+AVERAGE($B121:BE121)</f>
        <v>0.12134867726072374</v>
      </c>
      <c r="BF122" s="3">
        <f>+AVERAGE($B121:BF121)</f>
        <v>0.12106785014509407</v>
      </c>
      <c r="BG122" s="3">
        <f>+AVERAGE($B121:BG121)</f>
        <v>0.12079070059909186</v>
      </c>
      <c r="BH122" s="3">
        <f>+AVERAGE($B121:BH121)</f>
        <v>0.12051814199756158</v>
      </c>
      <c r="BI122" s="3">
        <f>+AVERAGE($B121:BI121)</f>
        <v>0.12025072325438316</v>
      </c>
    </row>
    <row r="123" spans="1:124" ht="22.5" x14ac:dyDescent="0.35">
      <c r="A123" s="97" t="s">
        <v>52</v>
      </c>
    </row>
    <row r="124" spans="1:124" x14ac:dyDescent="0.35">
      <c r="A124" s="92" t="s">
        <v>45</v>
      </c>
      <c r="B124" s="51">
        <f>B111-B117</f>
        <v>47.015837227608472</v>
      </c>
      <c r="C124" s="3">
        <f t="shared" ref="C124:BI124" si="25">C111-C117</f>
        <v>56.274331690815117</v>
      </c>
      <c r="D124" s="3">
        <f t="shared" si="25"/>
        <v>66.622833289529837</v>
      </c>
      <c r="E124" s="3">
        <f t="shared" si="25"/>
        <v>78.057056787017785</v>
      </c>
      <c r="F124" s="3">
        <f t="shared" si="25"/>
        <v>90.557581495045213</v>
      </c>
      <c r="G124" s="3">
        <f t="shared" si="25"/>
        <v>104.11740142335066</v>
      </c>
      <c r="H124" s="3">
        <f t="shared" si="25"/>
        <v>118.87780981552412</v>
      </c>
      <c r="I124" s="3">
        <f t="shared" si="25"/>
        <v>134.63955098079313</v>
      </c>
      <c r="J124" s="3">
        <f t="shared" si="25"/>
        <v>151.513784844318</v>
      </c>
      <c r="K124" s="3">
        <f t="shared" si="25"/>
        <v>169.384394715718</v>
      </c>
      <c r="L124" s="3">
        <f t="shared" si="25"/>
        <v>188.35540112823847</v>
      </c>
      <c r="M124" s="3">
        <f t="shared" si="25"/>
        <v>208.30902772763577</v>
      </c>
      <c r="N124" s="3">
        <f t="shared" si="25"/>
        <v>229.27364660955902</v>
      </c>
      <c r="O124" s="3">
        <f t="shared" si="25"/>
        <v>251.27215795795792</v>
      </c>
      <c r="P124" s="3">
        <f t="shared" si="25"/>
        <v>274.32446849693139</v>
      </c>
      <c r="Q124" s="3">
        <f t="shared" si="25"/>
        <v>298.44401036455787</v>
      </c>
      <c r="R124" s="3">
        <f t="shared" si="25"/>
        <v>323.64070777750328</v>
      </c>
      <c r="S124" s="3">
        <f t="shared" si="25"/>
        <v>349.91985900631136</v>
      </c>
      <c r="T124" s="3">
        <f t="shared" si="25"/>
        <v>377.48216541461164</v>
      </c>
      <c r="U124" s="3">
        <f t="shared" si="25"/>
        <v>406.00510237412294</v>
      </c>
      <c r="V124" s="3">
        <f t="shared" si="25"/>
        <v>435.5459133345596</v>
      </c>
      <c r="W124" s="3">
        <f t="shared" si="25"/>
        <v>466.11371151594176</v>
      </c>
      <c r="X124" s="3">
        <f t="shared" si="25"/>
        <v>497.70877731169708</v>
      </c>
      <c r="Y124" s="3">
        <f t="shared" si="25"/>
        <v>530.32555688449065</v>
      </c>
      <c r="Z124" s="3">
        <f t="shared" si="25"/>
        <v>563.95715621166062</v>
      </c>
      <c r="AA124" s="3">
        <f t="shared" si="25"/>
        <v>598.60082479446544</v>
      </c>
      <c r="AB124" s="3">
        <f t="shared" si="25"/>
        <v>634.21182068904727</v>
      </c>
      <c r="AC124" s="3">
        <f t="shared" si="25"/>
        <v>670.73328942821615</v>
      </c>
      <c r="AD124" s="3">
        <f t="shared" si="25"/>
        <v>708.11153262142329</v>
      </c>
      <c r="AE124" s="3">
        <f t="shared" si="25"/>
        <v>746.29331004843198</v>
      </c>
      <c r="AF124" s="3">
        <f t="shared" si="25"/>
        <v>785.22553393668954</v>
      </c>
      <c r="AG124" s="3">
        <f t="shared" si="25"/>
        <v>824.85517904718517</v>
      </c>
      <c r="AH124" s="3">
        <f t="shared" si="25"/>
        <v>865.12931537054283</v>
      </c>
      <c r="AI124" s="3">
        <f t="shared" si="25"/>
        <v>905.99520982309173</v>
      </c>
      <c r="AJ124" s="3">
        <f t="shared" si="25"/>
        <v>947.40046631582686</v>
      </c>
      <c r="AK124" s="3">
        <f t="shared" si="25"/>
        <v>989.29319179486993</v>
      </c>
      <c r="AL124" s="3">
        <f t="shared" si="25"/>
        <v>1031.6221881652477</v>
      </c>
      <c r="AM124" s="3">
        <f t="shared" si="25"/>
        <v>1074.3371865764777</v>
      </c>
      <c r="AN124" s="3">
        <f t="shared" si="25"/>
        <v>1117.3891566035295</v>
      </c>
      <c r="AO124" s="3">
        <f t="shared" si="25"/>
        <v>1160.7307664926989</v>
      </c>
      <c r="AP124" s="3">
        <f t="shared" si="25"/>
        <v>1204.3171087290386</v>
      </c>
      <c r="AQ124" s="3">
        <f t="shared" si="25"/>
        <v>1248.1069376913904</v>
      </c>
      <c r="AR124" s="3">
        <f t="shared" si="25"/>
        <v>1292.0648296904978</v>
      </c>
      <c r="AS124" s="3">
        <f t="shared" si="25"/>
        <v>1336.1650326285317</v>
      </c>
      <c r="AT124" s="3">
        <f t="shared" si="25"/>
        <v>1380.3983912219976</v>
      </c>
      <c r="AU124" s="3">
        <f t="shared" si="25"/>
        <v>1424.7848609464488</v>
      </c>
      <c r="AV124" s="3">
        <f t="shared" si="25"/>
        <v>1469.3962166431534</v>
      </c>
      <c r="AW124" s="3">
        <f t="shared" si="25"/>
        <v>1514.3973872907147</v>
      </c>
      <c r="AX124" s="3">
        <f t="shared" si="25"/>
        <v>1560.122252479621</v>
      </c>
      <c r="AY124" s="3">
        <f t="shared" si="25"/>
        <v>1607.2142749631666</v>
      </c>
      <c r="AZ124" s="3">
        <f t="shared" si="25"/>
        <v>1613.8689469615401</v>
      </c>
      <c r="BA124" s="3">
        <f t="shared" si="25"/>
        <v>1667.9070222644455</v>
      </c>
      <c r="BB124" s="3">
        <f t="shared" si="25"/>
        <v>1718.7243421276894</v>
      </c>
      <c r="BC124" s="3">
        <f t="shared" si="25"/>
        <v>1767.1415316371663</v>
      </c>
      <c r="BD124" s="3">
        <f t="shared" si="25"/>
        <v>1813.7342929151</v>
      </c>
      <c r="BE124" s="3">
        <f t="shared" si="25"/>
        <v>1858.907030203984</v>
      </c>
      <c r="BF124" s="3">
        <f t="shared" si="25"/>
        <v>1902.9433975677748</v>
      </c>
      <c r="BG124" s="3">
        <f t="shared" si="25"/>
        <v>1946.0415218428811</v>
      </c>
      <c r="BH124" s="3">
        <f t="shared" si="25"/>
        <v>1988.3388031954537</v>
      </c>
      <c r="BI124" s="3">
        <f t="shared" si="25"/>
        <v>2029.9295027011217</v>
      </c>
    </row>
    <row r="125" spans="1:124" x14ac:dyDescent="0.35">
      <c r="A125" s="92" t="s">
        <v>108</v>
      </c>
      <c r="B125" s="51">
        <f>+C125</f>
        <v>5.3528905513462348</v>
      </c>
      <c r="C125" s="51">
        <f t="shared" ref="C125:BI125" si="26">+(C118-B118)/(C2-B2)</f>
        <v>5.3528905513462348</v>
      </c>
      <c r="D125" s="51">
        <f t="shared" si="26"/>
        <v>6.1341238608034985</v>
      </c>
      <c r="E125" s="51">
        <f t="shared" si="26"/>
        <v>6.9041482549435669</v>
      </c>
      <c r="F125" s="51">
        <f t="shared" si="26"/>
        <v>7.6758263528441093</v>
      </c>
      <c r="G125" s="51">
        <f t="shared" si="26"/>
        <v>8.4234147561642434</v>
      </c>
      <c r="H125" s="51">
        <f t="shared" si="26"/>
        <v>9.1591163453733309</v>
      </c>
      <c r="I125" s="51">
        <f t="shared" si="26"/>
        <v>10.174355909594919</v>
      </c>
      <c r="J125" s="51">
        <f t="shared" si="26"/>
        <v>10.875273540972534</v>
      </c>
      <c r="K125" s="51">
        <f t="shared" si="26"/>
        <v>11.793648458716962</v>
      </c>
      <c r="L125" s="51">
        <f t="shared" si="26"/>
        <v>12.53360705129894</v>
      </c>
      <c r="M125" s="51">
        <f t="shared" si="26"/>
        <v>13.477197363205573</v>
      </c>
      <c r="N125" s="51">
        <f t="shared" si="26"/>
        <v>14.220085099531252</v>
      </c>
      <c r="O125" s="51">
        <f t="shared" si="26"/>
        <v>14.997896399643036</v>
      </c>
      <c r="P125" s="51">
        <f t="shared" si="26"/>
        <v>15.801443122099226</v>
      </c>
      <c r="Q125" s="51">
        <f t="shared" si="26"/>
        <v>16.631271428876993</v>
      </c>
      <c r="R125" s="51">
        <f t="shared" si="26"/>
        <v>17.476387823810818</v>
      </c>
      <c r="S125" s="51">
        <f t="shared" si="26"/>
        <v>18.332128661624029</v>
      </c>
      <c r="T125" s="51">
        <f t="shared" si="26"/>
        <v>19.183353171918998</v>
      </c>
      <c r="U125" s="51">
        <f t="shared" si="26"/>
        <v>20.535964903365265</v>
      </c>
      <c r="V125" s="51">
        <f t="shared" si="26"/>
        <v>21.230577988872756</v>
      </c>
      <c r="W125" s="51">
        <f t="shared" si="26"/>
        <v>22.076996108155253</v>
      </c>
      <c r="X125" s="51">
        <f t="shared" si="26"/>
        <v>22.937728572584547</v>
      </c>
      <c r="Y125" s="51">
        <f t="shared" si="26"/>
        <v>23.802811491029843</v>
      </c>
      <c r="Z125" s="51">
        <f t="shared" si="26"/>
        <v>24.654043235777998</v>
      </c>
      <c r="AA125" s="51">
        <f t="shared" si="26"/>
        <v>25.474282124777755</v>
      </c>
      <c r="AB125" s="51">
        <f t="shared" si="26"/>
        <v>26.233271389096444</v>
      </c>
      <c r="AC125" s="51">
        <f t="shared" si="26"/>
        <v>27.140631355148706</v>
      </c>
      <c r="AD125" s="51">
        <f t="shared" si="26"/>
        <v>27.978320228321991</v>
      </c>
      <c r="AE125" s="51">
        <f t="shared" si="26"/>
        <v>28.775489585490686</v>
      </c>
      <c r="AF125" s="51">
        <f t="shared" si="26"/>
        <v>29.532610017249681</v>
      </c>
      <c r="AG125" s="51">
        <f t="shared" si="26"/>
        <v>30.249704463739544</v>
      </c>
      <c r="AH125" s="51">
        <f t="shared" si="26"/>
        <v>30.926613618581541</v>
      </c>
      <c r="AI125" s="51">
        <f t="shared" si="26"/>
        <v>31.563146640754532</v>
      </c>
      <c r="AJ125" s="51">
        <f t="shared" si="26"/>
        <v>32.159157774642246</v>
      </c>
      <c r="AK125" s="51">
        <f t="shared" si="26"/>
        <v>32.714572647546809</v>
      </c>
      <c r="AL125" s="51">
        <f t="shared" si="26"/>
        <v>33.229372988366869</v>
      </c>
      <c r="AM125" s="51">
        <f t="shared" si="26"/>
        <v>33.703537033109022</v>
      </c>
      <c r="AN125" s="51">
        <f t="shared" si="26"/>
        <v>34.136915586550643</v>
      </c>
      <c r="AO125" s="51">
        <f t="shared" si="26"/>
        <v>34.529004719907064</v>
      </c>
      <c r="AP125" s="51">
        <f t="shared" si="26"/>
        <v>34.878527358066279</v>
      </c>
      <c r="AQ125" s="51">
        <f t="shared" si="26"/>
        <v>35.182686832551738</v>
      </c>
      <c r="AR125" s="51">
        <f t="shared" si="26"/>
        <v>35.435806603415223</v>
      </c>
      <c r="AS125" s="51">
        <f t="shared" si="26"/>
        <v>35.626872362049838</v>
      </c>
      <c r="AT125" s="51">
        <f t="shared" si="26"/>
        <v>35.735078779554897</v>
      </c>
      <c r="AU125" s="51">
        <f t="shared" si="26"/>
        <v>35.721758405206494</v>
      </c>
      <c r="AV125" s="51">
        <f t="shared" si="26"/>
        <v>35.515750190917785</v>
      </c>
      <c r="AW125" s="51">
        <f t="shared" si="26"/>
        <v>34.986815138267772</v>
      </c>
      <c r="AX125" s="51">
        <f t="shared" si="26"/>
        <v>33.897196144803999</v>
      </c>
      <c r="AY125" s="51">
        <f t="shared" si="26"/>
        <v>31.812651157675283</v>
      </c>
      <c r="AZ125" s="51">
        <f t="shared" si="26"/>
        <v>27.93682032886354</v>
      </c>
      <c r="BA125" s="51">
        <f t="shared" si="26"/>
        <v>63.81932602564666</v>
      </c>
      <c r="BB125" s="51">
        <f t="shared" si="26"/>
        <v>56.50150361786018</v>
      </c>
      <c r="BC125" s="51">
        <f t="shared" si="26"/>
        <v>51.058889609404105</v>
      </c>
      <c r="BD125" s="51">
        <f t="shared" si="26"/>
        <v>47.009320786792522</v>
      </c>
      <c r="BE125" s="51">
        <f t="shared" si="26"/>
        <v>43.982798919245397</v>
      </c>
      <c r="BF125" s="51">
        <f t="shared" si="26"/>
        <v>41.701195382632797</v>
      </c>
      <c r="BG125" s="51">
        <f t="shared" si="26"/>
        <v>39.958231068525492</v>
      </c>
      <c r="BH125" s="51">
        <f t="shared" si="26"/>
        <v>38.602318423735049</v>
      </c>
      <c r="BI125" s="51">
        <f t="shared" si="26"/>
        <v>37.522800619873486</v>
      </c>
      <c r="BJ125" s="51"/>
      <c r="BK125" s="51"/>
      <c r="BL125" s="51"/>
      <c r="BM125" s="51"/>
      <c r="BN125" s="51"/>
      <c r="BO125" s="51"/>
      <c r="BP125" s="51"/>
      <c r="BQ125" s="51"/>
      <c r="BR125" s="51"/>
      <c r="BS125" s="51"/>
      <c r="BT125" s="51"/>
      <c r="BU125" s="51"/>
      <c r="BV125" s="51"/>
      <c r="BW125" s="51"/>
      <c r="BX125" s="51"/>
      <c r="BY125" s="51"/>
      <c r="BZ125" s="51"/>
      <c r="CA125" s="51"/>
      <c r="CB125" s="51"/>
      <c r="CC125" s="51"/>
      <c r="CD125" s="51"/>
      <c r="CE125" s="51"/>
      <c r="CF125" s="51"/>
      <c r="CG125" s="51"/>
      <c r="CH125" s="51"/>
      <c r="CI125" s="51"/>
      <c r="CJ125" s="51"/>
      <c r="CK125" s="51"/>
      <c r="CL125" s="51"/>
      <c r="CM125" s="51"/>
      <c r="CN125" s="51"/>
      <c r="CO125" s="51"/>
      <c r="CP125" s="51"/>
      <c r="CQ125" s="51"/>
      <c r="CR125" s="51"/>
      <c r="CS125" s="51"/>
      <c r="CT125" s="51"/>
      <c r="CU125" s="51"/>
      <c r="CV125" s="51"/>
      <c r="CW125" s="51"/>
      <c r="CX125" s="51"/>
      <c r="CY125" s="51"/>
      <c r="CZ125" s="51"/>
      <c r="DA125" s="51"/>
      <c r="DB125" s="51"/>
      <c r="DC125" s="51"/>
      <c r="DD125" s="51"/>
      <c r="DE125" s="51"/>
      <c r="DF125" s="51"/>
      <c r="DG125" s="51"/>
      <c r="DH125" s="51"/>
      <c r="DI125" s="51"/>
      <c r="DJ125" s="51"/>
      <c r="DK125" s="51"/>
      <c r="DL125" s="51"/>
      <c r="DM125" s="51"/>
      <c r="DN125" s="51"/>
      <c r="DO125" s="51"/>
      <c r="DP125" s="51"/>
      <c r="DQ125" s="51"/>
      <c r="DR125" s="51"/>
      <c r="DS125" s="51"/>
      <c r="DT125" s="51"/>
    </row>
    <row r="126" spans="1:124" x14ac:dyDescent="0.35">
      <c r="A126" s="92" t="s">
        <v>229</v>
      </c>
      <c r="B126" s="51">
        <f t="shared" ref="B126:AG126" si="27">+SUM(B124:B125)</f>
        <v>52.368727778954707</v>
      </c>
      <c r="C126" s="51">
        <f t="shared" si="27"/>
        <v>61.627222242161352</v>
      </c>
      <c r="D126" s="51">
        <f t="shared" si="27"/>
        <v>72.756957150333335</v>
      </c>
      <c r="E126" s="51">
        <f t="shared" si="27"/>
        <v>84.96120504196135</v>
      </c>
      <c r="F126" s="51">
        <f t="shared" si="27"/>
        <v>98.233407847889325</v>
      </c>
      <c r="G126" s="51">
        <f t="shared" si="27"/>
        <v>112.54081617951491</v>
      </c>
      <c r="H126" s="51">
        <f t="shared" si="27"/>
        <v>128.03692616089745</v>
      </c>
      <c r="I126" s="51">
        <f t="shared" si="27"/>
        <v>144.81390689038804</v>
      </c>
      <c r="J126" s="51">
        <f t="shared" si="27"/>
        <v>162.38905838529053</v>
      </c>
      <c r="K126" s="51">
        <f t="shared" si="27"/>
        <v>181.17804317443498</v>
      </c>
      <c r="L126" s="51">
        <f t="shared" si="27"/>
        <v>200.8890081795374</v>
      </c>
      <c r="M126" s="51">
        <f t="shared" si="27"/>
        <v>221.78622509084133</v>
      </c>
      <c r="N126" s="51">
        <f t="shared" si="27"/>
        <v>243.49373170909027</v>
      </c>
      <c r="O126" s="51">
        <f t="shared" si="27"/>
        <v>266.27005435760094</v>
      </c>
      <c r="P126" s="51">
        <f t="shared" si="27"/>
        <v>290.1259116190306</v>
      </c>
      <c r="Q126" s="51">
        <f t="shared" si="27"/>
        <v>315.07528179343484</v>
      </c>
      <c r="R126" s="51">
        <f t="shared" si="27"/>
        <v>341.11709560131408</v>
      </c>
      <c r="S126" s="51">
        <f t="shared" si="27"/>
        <v>368.2519876679354</v>
      </c>
      <c r="T126" s="51">
        <f t="shared" si="27"/>
        <v>396.66551858653065</v>
      </c>
      <c r="U126" s="51">
        <f t="shared" si="27"/>
        <v>426.5410672774882</v>
      </c>
      <c r="V126" s="51">
        <f t="shared" si="27"/>
        <v>456.77649132343237</v>
      </c>
      <c r="W126" s="51">
        <f t="shared" si="27"/>
        <v>488.190707624097</v>
      </c>
      <c r="X126" s="51">
        <f t="shared" si="27"/>
        <v>520.64650588428162</v>
      </c>
      <c r="Y126" s="51">
        <f t="shared" si="27"/>
        <v>554.12836837552049</v>
      </c>
      <c r="Z126" s="51">
        <f t="shared" si="27"/>
        <v>588.61119944743859</v>
      </c>
      <c r="AA126" s="51">
        <f t="shared" si="27"/>
        <v>624.07510691924324</v>
      </c>
      <c r="AB126" s="51">
        <f t="shared" si="27"/>
        <v>660.44509207814372</v>
      </c>
      <c r="AC126" s="51">
        <f t="shared" si="27"/>
        <v>697.87392078336484</v>
      </c>
      <c r="AD126" s="51">
        <f t="shared" si="27"/>
        <v>736.08985284974528</v>
      </c>
      <c r="AE126" s="51">
        <f t="shared" si="27"/>
        <v>775.06879963392271</v>
      </c>
      <c r="AF126" s="51">
        <f t="shared" si="27"/>
        <v>814.75814395393922</v>
      </c>
      <c r="AG126" s="51">
        <f t="shared" si="27"/>
        <v>855.10488351092476</v>
      </c>
      <c r="AH126" s="51">
        <f t="shared" ref="AH126:BI126" si="28">+SUM(AH124:AH125)</f>
        <v>896.05592898912437</v>
      </c>
      <c r="AI126" s="51">
        <f t="shared" si="28"/>
        <v>937.55835646384628</v>
      </c>
      <c r="AJ126" s="51">
        <f t="shared" si="28"/>
        <v>979.55962409046913</v>
      </c>
      <c r="AK126" s="51">
        <f t="shared" si="28"/>
        <v>1022.0077644424167</v>
      </c>
      <c r="AL126" s="51">
        <f t="shared" si="28"/>
        <v>1064.8515611536145</v>
      </c>
      <c r="AM126" s="51">
        <f t="shared" si="28"/>
        <v>1108.0407236095868</v>
      </c>
      <c r="AN126" s="51">
        <f t="shared" si="28"/>
        <v>1151.5260721900802</v>
      </c>
      <c r="AO126" s="51">
        <f t="shared" si="28"/>
        <v>1195.259771212606</v>
      </c>
      <c r="AP126" s="51">
        <f t="shared" si="28"/>
        <v>1239.195636087105</v>
      </c>
      <c r="AQ126" s="51">
        <f t="shared" si="28"/>
        <v>1283.2896245239422</v>
      </c>
      <c r="AR126" s="51">
        <f t="shared" si="28"/>
        <v>1327.500636293913</v>
      </c>
      <c r="AS126" s="51">
        <f t="shared" si="28"/>
        <v>1371.7919049905815</v>
      </c>
      <c r="AT126" s="51">
        <f t="shared" si="28"/>
        <v>1416.1334700015525</v>
      </c>
      <c r="AU126" s="51">
        <f t="shared" si="28"/>
        <v>1460.5066193516552</v>
      </c>
      <c r="AV126" s="51">
        <f t="shared" si="28"/>
        <v>1504.9119668340711</v>
      </c>
      <c r="AW126" s="51">
        <f t="shared" si="28"/>
        <v>1549.3842024289825</v>
      </c>
      <c r="AX126" s="51">
        <f t="shared" si="28"/>
        <v>1594.019448624425</v>
      </c>
      <c r="AY126" s="51">
        <f t="shared" si="28"/>
        <v>1639.0269261208418</v>
      </c>
      <c r="AZ126" s="51">
        <f t="shared" si="28"/>
        <v>1641.8057672904038</v>
      </c>
      <c r="BA126" s="51">
        <f t="shared" si="28"/>
        <v>1731.7263482900921</v>
      </c>
      <c r="BB126" s="51">
        <f t="shared" si="28"/>
        <v>1775.2258457455496</v>
      </c>
      <c r="BC126" s="51">
        <f t="shared" si="28"/>
        <v>1818.2004212465704</v>
      </c>
      <c r="BD126" s="51">
        <f t="shared" si="28"/>
        <v>1860.7436137018926</v>
      </c>
      <c r="BE126" s="51">
        <f t="shared" si="28"/>
        <v>1902.8898291232294</v>
      </c>
      <c r="BF126" s="51">
        <f t="shared" si="28"/>
        <v>1944.6445929504075</v>
      </c>
      <c r="BG126" s="51">
        <f t="shared" si="28"/>
        <v>1985.9997529114066</v>
      </c>
      <c r="BH126" s="51">
        <f t="shared" si="28"/>
        <v>2026.9411216191888</v>
      </c>
      <c r="BI126" s="51">
        <f t="shared" si="28"/>
        <v>2067.4523033209953</v>
      </c>
      <c r="BJ126" s="51"/>
      <c r="BK126" s="51"/>
      <c r="BL126" s="51"/>
      <c r="BM126" s="51"/>
      <c r="BN126" s="51"/>
      <c r="BO126" s="51"/>
      <c r="BP126" s="51"/>
      <c r="BQ126" s="51"/>
      <c r="BR126" s="51"/>
      <c r="BS126" s="51"/>
      <c r="BT126" s="51"/>
      <c r="BU126" s="51"/>
      <c r="BV126" s="51"/>
      <c r="BW126" s="51"/>
      <c r="BX126" s="51"/>
      <c r="BY126" s="51"/>
      <c r="BZ126" s="51"/>
      <c r="CA126" s="51"/>
      <c r="CB126" s="51"/>
      <c r="CC126" s="51"/>
      <c r="CD126" s="51"/>
      <c r="CE126" s="51"/>
      <c r="CF126" s="51"/>
      <c r="CG126" s="51"/>
      <c r="CH126" s="51"/>
      <c r="CI126" s="51"/>
      <c r="CJ126" s="51"/>
      <c r="CK126" s="51"/>
      <c r="CL126" s="51"/>
      <c r="CM126" s="51"/>
      <c r="CN126" s="51"/>
      <c r="CO126" s="51"/>
      <c r="CP126" s="51"/>
      <c r="CQ126" s="51"/>
      <c r="CR126" s="51"/>
      <c r="CS126" s="51"/>
      <c r="CT126" s="51"/>
      <c r="CU126" s="51"/>
      <c r="CV126" s="51"/>
      <c r="CW126" s="51"/>
      <c r="CX126" s="51"/>
      <c r="CY126" s="51"/>
      <c r="CZ126" s="51"/>
      <c r="DA126" s="51"/>
      <c r="DB126" s="51"/>
      <c r="DC126" s="51"/>
      <c r="DD126" s="51"/>
      <c r="DE126" s="51"/>
      <c r="DF126" s="51"/>
      <c r="DG126" s="51"/>
      <c r="DH126" s="51"/>
      <c r="DI126" s="51"/>
      <c r="DJ126" s="51"/>
      <c r="DK126" s="51"/>
      <c r="DL126" s="51"/>
      <c r="DM126" s="51"/>
      <c r="DN126" s="51"/>
      <c r="DO126" s="51"/>
      <c r="DP126" s="51"/>
      <c r="DQ126" s="51"/>
      <c r="DR126" s="51"/>
      <c r="DS126" s="51"/>
      <c r="DT126" s="51"/>
    </row>
    <row r="127" spans="1:124" x14ac:dyDescent="0.35">
      <c r="A127" s="92" t="s">
        <v>65</v>
      </c>
      <c r="B127" s="3">
        <f t="shared" ref="B127:BI127" si="29">(B124/B53)*1000</f>
        <v>6.8756708434642402</v>
      </c>
      <c r="C127" s="3">
        <f t="shared" si="29"/>
        <v>7.7683916889182276</v>
      </c>
      <c r="D127" s="3">
        <f t="shared" si="29"/>
        <v>8.7490867953467415</v>
      </c>
      <c r="E127" s="3">
        <f t="shared" si="29"/>
        <v>9.8171754663567601</v>
      </c>
      <c r="F127" s="3">
        <f t="shared" si="29"/>
        <v>10.971289868932283</v>
      </c>
      <c r="G127" s="3">
        <f t="shared" si="29"/>
        <v>12.212343392507988</v>
      </c>
      <c r="H127" s="3">
        <f t="shared" si="29"/>
        <v>13.558443829532203</v>
      </c>
      <c r="I127" s="3">
        <f t="shared" si="29"/>
        <v>14.988264916399991</v>
      </c>
      <c r="J127" s="3">
        <f t="shared" si="29"/>
        <v>16.516451031715757</v>
      </c>
      <c r="K127" s="3">
        <f t="shared" si="29"/>
        <v>18.132163329332581</v>
      </c>
      <c r="L127" s="3">
        <f t="shared" si="29"/>
        <v>19.848461471361041</v>
      </c>
      <c r="M127" s="3">
        <f t="shared" si="29"/>
        <v>21.654473621005831</v>
      </c>
      <c r="N127" s="3">
        <f t="shared" si="29"/>
        <v>23.554786896247968</v>
      </c>
      <c r="O127" s="3">
        <f t="shared" si="29"/>
        <v>25.553050951287766</v>
      </c>
      <c r="P127" s="3">
        <f t="shared" si="29"/>
        <v>27.652323457153749</v>
      </c>
      <c r="Q127" s="3">
        <f t="shared" si="29"/>
        <v>29.854782558360945</v>
      </c>
      <c r="R127" s="3">
        <f t="shared" si="29"/>
        <v>32.162079756224735</v>
      </c>
      <c r="S127" s="3">
        <f t="shared" si="29"/>
        <v>34.575264000623832</v>
      </c>
      <c r="T127" s="3">
        <f t="shared" si="29"/>
        <v>37.114478793725041</v>
      </c>
      <c r="U127" s="3">
        <f t="shared" si="29"/>
        <v>39.748210913563035</v>
      </c>
      <c r="V127" s="3">
        <f t="shared" si="29"/>
        <v>42.482441364751644</v>
      </c>
      <c r="W127" s="3">
        <f t="shared" si="29"/>
        <v>45.318281955147917</v>
      </c>
      <c r="X127" s="3">
        <f t="shared" si="29"/>
        <v>48.25589419769576</v>
      </c>
      <c r="Y127" s="3">
        <f t="shared" si="29"/>
        <v>51.294806379280352</v>
      </c>
      <c r="Z127" s="3">
        <f t="shared" si="29"/>
        <v>54.434364719223076</v>
      </c>
      <c r="AA127" s="3">
        <f t="shared" si="29"/>
        <v>57.674271487724077</v>
      </c>
      <c r="AB127" s="3">
        <f t="shared" si="29"/>
        <v>61.010151297319538</v>
      </c>
      <c r="AC127" s="3">
        <f t="shared" si="29"/>
        <v>64.436456410978337</v>
      </c>
      <c r="AD127" s="3">
        <f t="shared" si="29"/>
        <v>67.947937966430388</v>
      </c>
      <c r="AE127" s="3">
        <f t="shared" si="29"/>
        <v>71.539384433146523</v>
      </c>
      <c r="AF127" s="3">
        <f t="shared" si="29"/>
        <v>75.205592380340491</v>
      </c>
      <c r="AG127" s="3">
        <f t="shared" si="29"/>
        <v>78.941358791406216</v>
      </c>
      <c r="AH127" s="3">
        <f t="shared" si="29"/>
        <v>82.74148554312022</v>
      </c>
      <c r="AI127" s="3">
        <f t="shared" si="29"/>
        <v>86.600790653269044</v>
      </c>
      <c r="AJ127" s="3">
        <f t="shared" si="29"/>
        <v>90.514123209454979</v>
      </c>
      <c r="AK127" s="3">
        <f t="shared" si="29"/>
        <v>94.476380698835186</v>
      </c>
      <c r="AL127" s="3">
        <f t="shared" si="29"/>
        <v>98.482528673370581</v>
      </c>
      <c r="AM127" s="3">
        <f t="shared" si="29"/>
        <v>102.52762429048845</v>
      </c>
      <c r="AN127" s="3">
        <f t="shared" si="29"/>
        <v>106.60684681482924</v>
      </c>
      <c r="AO127" s="3">
        <f t="shared" si="29"/>
        <v>110.71554233694482</v>
      </c>
      <c r="AP127" s="3">
        <f t="shared" si="29"/>
        <v>114.84929359714816</v>
      </c>
      <c r="AQ127" s="3">
        <f t="shared" si="29"/>
        <v>119.00403843493447</v>
      </c>
      <c r="AR127" s="3">
        <f t="shared" si="29"/>
        <v>123.17627596022807</v>
      </c>
      <c r="AS127" s="3">
        <f t="shared" si="29"/>
        <v>127.3634335468776</v>
      </c>
      <c r="AT127" s="3">
        <f t="shared" si="29"/>
        <v>131.564526681073</v>
      </c>
      <c r="AU127" s="3">
        <f t="shared" si="29"/>
        <v>135.78135106397085</v>
      </c>
      <c r="AV127" s="3">
        <f t="shared" si="29"/>
        <v>140.02064570235189</v>
      </c>
      <c r="AW127" s="3">
        <f t="shared" si="29"/>
        <v>144.29803009354453</v>
      </c>
      <c r="AX127" s="3">
        <f t="shared" si="29"/>
        <v>148.6452238252335</v>
      </c>
      <c r="AY127" s="3">
        <f t="shared" si="29"/>
        <v>153.12344168688207</v>
      </c>
      <c r="AZ127" s="3">
        <f t="shared" si="29"/>
        <v>153.74996455901174</v>
      </c>
      <c r="BA127" s="3">
        <f t="shared" si="29"/>
        <v>158.8913656599824</v>
      </c>
      <c r="BB127" s="3">
        <f t="shared" si="29"/>
        <v>163.72645213874756</v>
      </c>
      <c r="BC127" s="3">
        <f t="shared" si="29"/>
        <v>168.33338219607703</v>
      </c>
      <c r="BD127" s="3">
        <f t="shared" si="29"/>
        <v>172.76696977074118</v>
      </c>
      <c r="BE127" s="3">
        <f t="shared" si="29"/>
        <v>177.06570506247445</v>
      </c>
      <c r="BF127" s="3">
        <f t="shared" si="29"/>
        <v>181.25657373614732</v>
      </c>
      <c r="BG127" s="3">
        <f t="shared" si="29"/>
        <v>185.35841453254559</v>
      </c>
      <c r="BH127" s="3">
        <f t="shared" si="29"/>
        <v>189.38428299800046</v>
      </c>
      <c r="BI127" s="3">
        <f t="shared" si="29"/>
        <v>193.34312748767377</v>
      </c>
    </row>
    <row r="128" spans="1:124" s="2" customFormat="1" ht="21" customHeight="1" x14ac:dyDescent="0.35">
      <c r="A128" s="98" t="s">
        <v>230</v>
      </c>
      <c r="B128" s="2">
        <f>((B127)^(1-$B$19)-1)/(1-$B$19)-1</f>
        <v>0.28897715891999542</v>
      </c>
      <c r="C128" s="2">
        <f t="shared" ref="C128:BI128" si="30">((C127)^(1-$B$19)-1)/(1-$B$19)-1</f>
        <v>0.33886068714947859</v>
      </c>
      <c r="D128" s="2">
        <f t="shared" si="30"/>
        <v>0.38487755267921431</v>
      </c>
      <c r="E128" s="2">
        <f t="shared" si="30"/>
        <v>0.42717387845471877</v>
      </c>
      <c r="F128" s="2">
        <f t="shared" si="30"/>
        <v>0.46596153341040836</v>
      </c>
      <c r="G128" s="2">
        <f t="shared" si="30"/>
        <v>0.50156634494788221</v>
      </c>
      <c r="H128" s="2">
        <f t="shared" si="30"/>
        <v>0.53469000224898533</v>
      </c>
      <c r="I128" s="2">
        <f t="shared" si="30"/>
        <v>0.56501946931550373</v>
      </c>
      <c r="J128" s="2">
        <f t="shared" si="30"/>
        <v>0.5931145872719823</v>
      </c>
      <c r="K128" s="2">
        <f t="shared" si="30"/>
        <v>0.61898913269937172</v>
      </c>
      <c r="L128" s="2">
        <f t="shared" si="30"/>
        <v>0.64304642604823137</v>
      </c>
      <c r="M128" s="2">
        <f t="shared" si="30"/>
        <v>0.66530448216084803</v>
      </c>
      <c r="N128" s="2">
        <f t="shared" si="30"/>
        <v>0.68599129860688812</v>
      </c>
      <c r="O128" s="2">
        <f t="shared" si="30"/>
        <v>0.70528447744748068</v>
      </c>
      <c r="P128" s="2">
        <f t="shared" si="30"/>
        <v>0.72332825369429532</v>
      </c>
      <c r="Q128" s="2">
        <f t="shared" si="30"/>
        <v>0.7402397714613389</v>
      </c>
      <c r="R128" s="2">
        <f t="shared" si="30"/>
        <v>0.7561184366565088</v>
      </c>
      <c r="S128" s="2">
        <f t="shared" si="30"/>
        <v>0.77104931862409742</v>
      </c>
      <c r="T128" s="2">
        <f t="shared" si="30"/>
        <v>0.78521061567741079</v>
      </c>
      <c r="U128" s="2">
        <f t="shared" si="30"/>
        <v>0.79848699292591174</v>
      </c>
      <c r="V128" s="2">
        <f t="shared" si="30"/>
        <v>0.81098423370169037</v>
      </c>
      <c r="W128" s="2">
        <f t="shared" si="30"/>
        <v>0.82277036978357554</v>
      </c>
      <c r="X128" s="2">
        <f t="shared" si="30"/>
        <v>0.83390216697058106</v>
      </c>
      <c r="Y128" s="2">
        <f t="shared" si="30"/>
        <v>0.84442874222484687</v>
      </c>
      <c r="Z128" s="2">
        <f t="shared" si="30"/>
        <v>0.85439440939935229</v>
      </c>
      <c r="AA128" s="2">
        <f t="shared" si="30"/>
        <v>0.8638407630616054</v>
      </c>
      <c r="AB128" s="2">
        <f t="shared" si="30"/>
        <v>0.87279515726748724</v>
      </c>
      <c r="AC128" s="2">
        <f t="shared" si="30"/>
        <v>0.88128199663851881</v>
      </c>
      <c r="AD128" s="2">
        <f t="shared" si="30"/>
        <v>0.88932654210138029</v>
      </c>
      <c r="AE128" s="2">
        <f t="shared" si="30"/>
        <v>0.89695361751019576</v>
      </c>
      <c r="AF128" s="2">
        <f t="shared" si="30"/>
        <v>0.90418721654359002</v>
      </c>
      <c r="AG128" s="2">
        <f t="shared" si="30"/>
        <v>0.91105028947776479</v>
      </c>
      <c r="AH128" s="2">
        <f t="shared" si="30"/>
        <v>0.91756463736204985</v>
      </c>
      <c r="AI128" s="2">
        <f t="shared" si="30"/>
        <v>0.92375087180117554</v>
      </c>
      <c r="AJ128" s="2">
        <f t="shared" si="30"/>
        <v>0.92962841551204622</v>
      </c>
      <c r="AK128" s="2">
        <f t="shared" si="30"/>
        <v>0.93521552906419636</v>
      </c>
      <c r="AL128" s="2">
        <f t="shared" si="30"/>
        <v>0.94052935506870994</v>
      </c>
      <c r="AM128" s="2">
        <f t="shared" si="30"/>
        <v>0.94558597540725864</v>
      </c>
      <c r="AN128" s="2">
        <f t="shared" si="30"/>
        <v>0.95040047978054876</v>
      </c>
      <c r="AO128" s="2">
        <f t="shared" si="30"/>
        <v>0.95498704840625459</v>
      </c>
      <c r="AP128" s="2">
        <f t="shared" si="30"/>
        <v>0.95935905373100661</v>
      </c>
      <c r="AQ128" s="2">
        <f t="shared" si="30"/>
        <v>0.96352919591078878</v>
      </c>
      <c r="AR128" s="2">
        <f t="shared" si="30"/>
        <v>0.96750969502184336</v>
      </c>
      <c r="AS128" s="2">
        <f t="shared" si="30"/>
        <v>0.97131258363180106</v>
      </c>
      <c r="AT128" s="2">
        <f t="shared" si="30"/>
        <v>0.97495017596204669</v>
      </c>
      <c r="AU128" s="2">
        <f t="shared" si="30"/>
        <v>0.97843584721242927</v>
      </c>
      <c r="AV128" s="2">
        <f t="shared" si="30"/>
        <v>0.98178535980879933</v>
      </c>
      <c r="AW128" s="2">
        <f t="shared" si="30"/>
        <v>0.98501915243662763</v>
      </c>
      <c r="AX128" s="2">
        <f t="shared" si="30"/>
        <v>0.98816634302573436</v>
      </c>
      <c r="AY128" s="2">
        <f t="shared" si="30"/>
        <v>0.99127181660565622</v>
      </c>
      <c r="AZ128" s="2">
        <f t="shared" si="30"/>
        <v>0.99169579192647017</v>
      </c>
      <c r="BA128" s="2">
        <f t="shared" si="30"/>
        <v>0.99508288603865602</v>
      </c>
      <c r="BB128" s="2">
        <f t="shared" si="30"/>
        <v>0.9981262745423567</v>
      </c>
      <c r="BC128" s="2">
        <f t="shared" si="30"/>
        <v>1.0009072099943093</v>
      </c>
      <c r="BD128" s="2">
        <f t="shared" si="30"/>
        <v>1.0034812369340433</v>
      </c>
      <c r="BE128" s="2">
        <f t="shared" si="30"/>
        <v>1.0058871253898762</v>
      </c>
      <c r="BF128" s="2">
        <f t="shared" si="30"/>
        <v>1.0081524773986481</v>
      </c>
      <c r="BG128" s="2">
        <f t="shared" si="30"/>
        <v>1.0102973409598555</v>
      </c>
      <c r="BH128" s="2">
        <f t="shared" si="30"/>
        <v>1.0123365870796541</v>
      </c>
      <c r="BI128" s="2">
        <f t="shared" si="30"/>
        <v>1.0142814973844581</v>
      </c>
    </row>
    <row r="129" spans="1:124" x14ac:dyDescent="0.35">
      <c r="A129" s="92" t="s">
        <v>231</v>
      </c>
      <c r="B129" s="51">
        <f t="shared" ref="B129:BI129" si="31">B$18*B$53*B128</f>
        <v>1976.0258126949286</v>
      </c>
      <c r="C129" s="51">
        <f t="shared" si="31"/>
        <v>2278.6110914757851</v>
      </c>
      <c r="D129" s="51">
        <f t="shared" si="31"/>
        <v>2525.3555560462778</v>
      </c>
      <c r="E129" s="51">
        <f t="shared" si="31"/>
        <v>2716.687425159852</v>
      </c>
      <c r="F129" s="51">
        <f t="shared" si="31"/>
        <v>2855.5932494098902</v>
      </c>
      <c r="G129" s="51">
        <f t="shared" si="31"/>
        <v>2947.1459542003872</v>
      </c>
      <c r="H129" s="51">
        <f t="shared" si="31"/>
        <v>2999.2436293587152</v>
      </c>
      <c r="I129" s="51">
        <f t="shared" si="31"/>
        <v>3014.2080695010422</v>
      </c>
      <c r="J129" s="51">
        <f t="shared" si="31"/>
        <v>2999.3857815669862</v>
      </c>
      <c r="K129" s="51">
        <f t="shared" si="31"/>
        <v>2958.9314049910572</v>
      </c>
      <c r="L129" s="51">
        <f t="shared" si="31"/>
        <v>2898.6210780129877</v>
      </c>
      <c r="M129" s="51">
        <f t="shared" si="31"/>
        <v>2821.9452669822836</v>
      </c>
      <c r="N129" s="51">
        <f t="shared" si="31"/>
        <v>2732.9458770780002</v>
      </c>
      <c r="O129" s="51">
        <f t="shared" si="31"/>
        <v>2634.9549110432326</v>
      </c>
      <c r="P129" s="51">
        <f t="shared" si="31"/>
        <v>2530.7275326091662</v>
      </c>
      <c r="Q129" s="51">
        <f t="shared" si="31"/>
        <v>2422.524629596609</v>
      </c>
      <c r="R129" s="51">
        <f t="shared" si="31"/>
        <v>2312.2003653763327</v>
      </c>
      <c r="S129" s="51">
        <f t="shared" si="31"/>
        <v>2201.2615735600621</v>
      </c>
      <c r="T129" s="51">
        <f t="shared" si="31"/>
        <v>2091.1993326795027</v>
      </c>
      <c r="U129" s="51">
        <f t="shared" si="31"/>
        <v>1982.4750861682346</v>
      </c>
      <c r="V129" s="51">
        <f t="shared" si="31"/>
        <v>1875.9992602316634</v>
      </c>
      <c r="W129" s="51">
        <f t="shared" si="31"/>
        <v>1772.4037021234913</v>
      </c>
      <c r="X129" s="51">
        <f t="shared" si="31"/>
        <v>1672.1505926607067</v>
      </c>
      <c r="Y129" s="51">
        <f t="shared" si="31"/>
        <v>1575.5685757769829</v>
      </c>
      <c r="Z129" s="51">
        <f t="shared" si="31"/>
        <v>1482.880933406926</v>
      </c>
      <c r="AA129" s="51">
        <f t="shared" si="31"/>
        <v>1394.2273763349629</v>
      </c>
      <c r="AB129" s="51">
        <f t="shared" si="31"/>
        <v>1309.6615151766723</v>
      </c>
      <c r="AC129" s="51">
        <f t="shared" si="31"/>
        <v>1229.1854392907815</v>
      </c>
      <c r="AD129" s="51">
        <f t="shared" si="31"/>
        <v>1152.7648489525061</v>
      </c>
      <c r="AE129" s="51">
        <f t="shared" si="31"/>
        <v>1080.3344102651222</v>
      </c>
      <c r="AF129" s="51">
        <f t="shared" si="31"/>
        <v>1011.8037911429632</v>
      </c>
      <c r="AG129" s="51">
        <f t="shared" si="31"/>
        <v>947.06308730658577</v>
      </c>
      <c r="AH129" s="51">
        <f t="shared" si="31"/>
        <v>885.98755653187493</v>
      </c>
      <c r="AI129" s="51">
        <f t="shared" si="31"/>
        <v>828.44166825966749</v>
      </c>
      <c r="AJ129" s="51">
        <f t="shared" si="31"/>
        <v>774.28251678500317</v>
      </c>
      <c r="AK129" s="51">
        <f t="shared" si="31"/>
        <v>723.36266344553962</v>
      </c>
      <c r="AL129" s="51">
        <f t="shared" si="31"/>
        <v>675.53247738495747</v>
      </c>
      <c r="AM129" s="51">
        <f t="shared" si="31"/>
        <v>630.64204281032323</v>
      </c>
      <c r="AN129" s="51">
        <f t="shared" si="31"/>
        <v>588.54269549358389</v>
      </c>
      <c r="AO129" s="51">
        <f t="shared" si="31"/>
        <v>549.08824633107429</v>
      </c>
      <c r="AP129" s="51">
        <f t="shared" si="31"/>
        <v>512.13594247442177</v>
      </c>
      <c r="AQ129" s="51">
        <f t="shared" si="31"/>
        <v>477.54721358717723</v>
      </c>
      <c r="AR129" s="51">
        <f t="shared" si="31"/>
        <v>445.18824510480181</v>
      </c>
      <c r="AS129" s="51">
        <f t="shared" si="31"/>
        <v>414.93041953024817</v>
      </c>
      <c r="AT129" s="51">
        <f t="shared" si="31"/>
        <v>386.65066726359026</v>
      </c>
      <c r="AU129" s="51">
        <f t="shared" si="31"/>
        <v>360.23177312637756</v>
      </c>
      <c r="AV129" s="51">
        <f t="shared" si="31"/>
        <v>335.56269649400849</v>
      </c>
      <c r="AW129" s="51">
        <f t="shared" si="31"/>
        <v>312.53898377570016</v>
      </c>
      <c r="AX129" s="51">
        <f t="shared" si="31"/>
        <v>291.06339451717719</v>
      </c>
      <c r="AY129" s="51">
        <f t="shared" si="31"/>
        <v>271.04693879321621</v>
      </c>
      <c r="AZ129" s="51">
        <f t="shared" si="31"/>
        <v>251.72198569639519</v>
      </c>
      <c r="BA129" s="51">
        <f t="shared" si="31"/>
        <v>234.47147900691189</v>
      </c>
      <c r="BB129" s="51">
        <f t="shared" si="31"/>
        <v>218.3242013413651</v>
      </c>
      <c r="BC129" s="51">
        <f t="shared" si="31"/>
        <v>203.23275574229197</v>
      </c>
      <c r="BD129" s="51">
        <f t="shared" si="31"/>
        <v>189.14322841164736</v>
      </c>
      <c r="BE129" s="51">
        <f t="shared" si="31"/>
        <v>175.99926242650113</v>
      </c>
      <c r="BF129" s="51">
        <f t="shared" si="31"/>
        <v>163.74441503867823</v>
      </c>
      <c r="BG129" s="51">
        <f t="shared" si="31"/>
        <v>152.32351933920808</v>
      </c>
      <c r="BH129" s="51">
        <f t="shared" si="31"/>
        <v>141.68345369907391</v>
      </c>
      <c r="BI129" s="51">
        <f t="shared" si="31"/>
        <v>131.77355295381301</v>
      </c>
      <c r="BJ129" s="51"/>
      <c r="BK129" s="51"/>
      <c r="BL129" s="51"/>
      <c r="BM129" s="51"/>
      <c r="BN129" s="51"/>
      <c r="BO129" s="51"/>
      <c r="BP129" s="51"/>
      <c r="BQ129" s="51"/>
      <c r="BR129" s="51"/>
      <c r="BS129" s="51"/>
      <c r="BT129" s="51"/>
      <c r="BU129" s="51"/>
      <c r="BV129" s="51"/>
      <c r="BW129" s="51"/>
      <c r="BX129" s="51"/>
      <c r="BY129" s="51"/>
      <c r="BZ129" s="51"/>
      <c r="CA129" s="51"/>
      <c r="CB129" s="51"/>
      <c r="CC129" s="51"/>
      <c r="CD129" s="51"/>
      <c r="CE129" s="51"/>
      <c r="CF129" s="51"/>
      <c r="CG129" s="51"/>
      <c r="CH129" s="51"/>
      <c r="CI129" s="51"/>
      <c r="CJ129" s="51"/>
      <c r="CK129" s="51"/>
      <c r="CL129" s="51"/>
      <c r="CM129" s="51"/>
      <c r="CN129" s="51"/>
      <c r="CO129" s="51"/>
      <c r="CP129" s="51"/>
      <c r="CQ129" s="51"/>
      <c r="CR129" s="51"/>
      <c r="CS129" s="51"/>
      <c r="CT129" s="51"/>
      <c r="CU129" s="51"/>
      <c r="CV129" s="51"/>
      <c r="CW129" s="51"/>
      <c r="CX129" s="51"/>
      <c r="CY129" s="51"/>
      <c r="CZ129" s="51"/>
      <c r="DA129" s="51"/>
      <c r="DB129" s="51"/>
      <c r="DC129" s="51"/>
      <c r="DD129" s="51"/>
      <c r="DE129" s="51"/>
      <c r="DF129" s="51"/>
      <c r="DG129" s="51"/>
      <c r="DH129" s="51"/>
      <c r="DI129" s="51"/>
      <c r="DJ129" s="51"/>
      <c r="DK129" s="51"/>
      <c r="DL129" s="51"/>
      <c r="DM129" s="51"/>
      <c r="DN129" s="51"/>
      <c r="DO129" s="51"/>
      <c r="DP129" s="51"/>
      <c r="DQ129" s="51"/>
      <c r="DR129" s="51"/>
      <c r="DS129" s="51"/>
      <c r="DT129" s="51"/>
    </row>
    <row r="130" spans="1:124" x14ac:dyDescent="0.35">
      <c r="A130" s="99" t="s">
        <v>232</v>
      </c>
      <c r="B130" s="17">
        <f>SUM(B129:BI129)*5*B49+B50</f>
        <v>2712.6170670439433</v>
      </c>
      <c r="C130" s="16">
        <f>+Base!C129</f>
        <v>2688.7871864330928</v>
      </c>
      <c r="D130" s="16">
        <f>+B130-C130</f>
        <v>23.829880610850523</v>
      </c>
      <c r="U130" s="3">
        <f>+D130</f>
        <v>23.829880610850523</v>
      </c>
    </row>
    <row r="131" spans="1:124" ht="23" thickBot="1" x14ac:dyDescent="0.4">
      <c r="A131" s="88" t="s">
        <v>27</v>
      </c>
      <c r="C131" s="72"/>
      <c r="D131" s="72"/>
    </row>
    <row r="132" spans="1:124" s="28" customFormat="1" ht="16.75" customHeight="1" thickTop="1" x14ac:dyDescent="0.35">
      <c r="A132" s="26" t="s">
        <v>90</v>
      </c>
      <c r="B132" s="148">
        <v>0.258723401880673</v>
      </c>
      <c r="C132" s="148">
        <v>0.256194170370457</v>
      </c>
      <c r="D132" s="148">
        <v>0.25384168752407199</v>
      </c>
      <c r="E132" s="148">
        <v>0.251760976253524</v>
      </c>
      <c r="F132" s="148">
        <v>0.249807498731455</v>
      </c>
      <c r="G132" s="148">
        <v>0.24801880178305499</v>
      </c>
      <c r="H132" s="148">
        <v>0.24753188834666701</v>
      </c>
      <c r="I132" s="148">
        <v>0.24619404272748999</v>
      </c>
      <c r="J132" s="148">
        <v>0.24567149018475001</v>
      </c>
      <c r="K132" s="148">
        <v>0.24482882289239</v>
      </c>
      <c r="L132" s="148">
        <v>0.24460400681686101</v>
      </c>
      <c r="M132" s="148">
        <v>0.244057863063293</v>
      </c>
      <c r="N132" s="148">
        <v>0.24364039294602099</v>
      </c>
      <c r="O132" s="148">
        <v>0.243319513763811</v>
      </c>
      <c r="P132" s="148">
        <v>0.243085542497885</v>
      </c>
      <c r="Q132" s="148">
        <v>0.24291219133352601</v>
      </c>
      <c r="R132" s="148">
        <v>0.24278486222787601</v>
      </c>
      <c r="S132" s="148">
        <v>0.24267434936558499</v>
      </c>
      <c r="T132" s="148">
        <v>0.243245866394809</v>
      </c>
      <c r="U132" s="148">
        <v>0.243155693395222</v>
      </c>
      <c r="V132" s="148">
        <v>0.24322119203829301</v>
      </c>
      <c r="W132" s="148">
        <v>0.24331615427942499</v>
      </c>
      <c r="X132" s="148">
        <v>0.24342972018207401</v>
      </c>
      <c r="Y132" s="148">
        <v>0.243542097688971</v>
      </c>
      <c r="Z132" s="148">
        <v>0.24363198806704101</v>
      </c>
      <c r="AA132" s="148">
        <v>0.24366254000895499</v>
      </c>
      <c r="AB132" s="148">
        <v>0.24382275887504001</v>
      </c>
      <c r="AC132" s="148">
        <v>0.24397278685614199</v>
      </c>
      <c r="AD132" s="148">
        <v>0.24412811670161699</v>
      </c>
      <c r="AE132" s="148">
        <v>0.24428823433441599</v>
      </c>
      <c r="AF132" s="148">
        <v>0.24445251567385701</v>
      </c>
      <c r="AG132" s="148">
        <v>0.24462033802811101</v>
      </c>
      <c r="AH132" s="148">
        <v>0.24479113072679801</v>
      </c>
      <c r="AI132" s="148">
        <v>0.24496438928424899</v>
      </c>
      <c r="AJ132" s="148">
        <v>0.245139665649629</v>
      </c>
      <c r="AK132" s="148">
        <v>0.24531653708162901</v>
      </c>
      <c r="AL132" s="148">
        <v>0.245494549142597</v>
      </c>
      <c r="AM132" s="148">
        <v>0.24567311735890399</v>
      </c>
      <c r="AN132" s="148">
        <v>0.24585136055656301</v>
      </c>
      <c r="AO132" s="148">
        <v>0.24602780853175299</v>
      </c>
      <c r="AP132" s="148">
        <v>0.24619989762871</v>
      </c>
      <c r="AQ132" s="148">
        <v>0.24636307952787501</v>
      </c>
      <c r="AR132" s="148">
        <v>0.24650925461477499</v>
      </c>
      <c r="AS132" s="148">
        <v>0.24662400802184301</v>
      </c>
      <c r="AT132" s="148">
        <v>0.24668172637219099</v>
      </c>
      <c r="AU132" s="148">
        <v>0.24663695838865299</v>
      </c>
      <c r="AV132" s="148">
        <v>0.24640907742961901</v>
      </c>
      <c r="AW132" s="148">
        <v>0.245854927667296</v>
      </c>
      <c r="AX132" s="148">
        <v>0.244719547662582</v>
      </c>
      <c r="AY132" s="148">
        <v>0.24254589849885</v>
      </c>
      <c r="AZ132" s="148">
        <v>0.258278145695364</v>
      </c>
      <c r="BA132" s="148">
        <v>0.258278145695364</v>
      </c>
      <c r="BB132" s="148">
        <v>0.258278145695364</v>
      </c>
      <c r="BC132" s="148">
        <v>0.258278145695364</v>
      </c>
      <c r="BD132" s="148">
        <v>0.258278145695364</v>
      </c>
      <c r="BE132" s="148">
        <v>0.258278145695364</v>
      </c>
      <c r="BF132" s="148">
        <v>0.258278145695364</v>
      </c>
      <c r="BG132" s="148">
        <v>0.258278145695364</v>
      </c>
      <c r="BH132" s="148">
        <v>0.258278145695364</v>
      </c>
      <c r="BI132" s="148">
        <v>0.258278145695364</v>
      </c>
      <c r="BJ132" s="27"/>
      <c r="BK132" s="27"/>
      <c r="BL132" s="27"/>
      <c r="BM132" s="27"/>
      <c r="BN132" s="27"/>
      <c r="BO132" s="27"/>
      <c r="BP132" s="27"/>
      <c r="BQ132" s="27"/>
      <c r="BR132" s="27"/>
      <c r="BS132" s="27"/>
      <c r="BT132" s="27"/>
      <c r="BU132" s="27"/>
      <c r="BV132" s="27"/>
      <c r="BW132" s="27"/>
      <c r="BX132" s="27"/>
      <c r="BY132" s="27"/>
      <c r="BZ132" s="27"/>
      <c r="CA132" s="27"/>
      <c r="CB132" s="27"/>
      <c r="CC132" s="27"/>
      <c r="CD132" s="27"/>
      <c r="CE132" s="27"/>
      <c r="CF132" s="27"/>
      <c r="CG132" s="27"/>
      <c r="CH132" s="27"/>
      <c r="CI132" s="27"/>
      <c r="CJ132" s="27"/>
      <c r="CK132" s="27"/>
      <c r="CL132" s="27"/>
      <c r="CM132" s="27"/>
      <c r="CN132" s="27"/>
      <c r="CO132" s="27"/>
      <c r="CP132" s="27"/>
      <c r="CQ132" s="27"/>
      <c r="CR132" s="27"/>
      <c r="CS132" s="27"/>
      <c r="CT132" s="27"/>
      <c r="CU132" s="27"/>
      <c r="CV132" s="27"/>
      <c r="CW132" s="27"/>
      <c r="CX132" s="27"/>
      <c r="CY132" s="27"/>
      <c r="CZ132" s="27"/>
      <c r="DA132" s="27"/>
      <c r="DB132" s="27"/>
      <c r="DC132" s="27"/>
      <c r="DD132" s="27"/>
      <c r="DE132" s="27"/>
      <c r="DF132" s="27"/>
      <c r="DG132" s="27"/>
      <c r="DH132" s="27"/>
      <c r="DI132" s="27"/>
      <c r="DJ132" s="27"/>
      <c r="DK132" s="27"/>
      <c r="DL132" s="27"/>
      <c r="DM132" s="27"/>
      <c r="DN132" s="27"/>
      <c r="DO132" s="27"/>
      <c r="DP132" s="27"/>
      <c r="DQ132" s="27"/>
      <c r="DR132" s="27"/>
      <c r="DS132" s="27"/>
      <c r="DT132" s="27"/>
    </row>
    <row r="133" spans="1:124" s="106" customFormat="1" x14ac:dyDescent="0.35">
      <c r="A133" s="105" t="s">
        <v>301</v>
      </c>
      <c r="B133" s="166">
        <v>1</v>
      </c>
      <c r="C133" s="107">
        <f t="shared" ref="C133:BI133" si="32">+C34*C139^($B$39-1)</f>
        <v>10.134164730561464</v>
      </c>
      <c r="D133" s="107">
        <f t="shared" si="32"/>
        <v>35.813675013911208</v>
      </c>
      <c r="E133" s="107">
        <f t="shared" si="32"/>
        <v>54.653995928259704</v>
      </c>
      <c r="F133" s="107">
        <f t="shared" si="32"/>
        <v>85.423518903380213</v>
      </c>
      <c r="G133" s="107">
        <f t="shared" si="32"/>
        <v>117.07054112126988</v>
      </c>
      <c r="H133" s="107">
        <f t="shared" si="32"/>
        <v>63.722283669629391</v>
      </c>
      <c r="I133" s="107">
        <f t="shared" si="32"/>
        <v>90.835515430858408</v>
      </c>
      <c r="J133" s="107">
        <f t="shared" si="32"/>
        <v>81.89498887701329</v>
      </c>
      <c r="K133" s="107">
        <f t="shared" si="32"/>
        <v>100.6642152187478</v>
      </c>
      <c r="L133" s="107">
        <f t="shared" si="32"/>
        <v>96.59180575260946</v>
      </c>
      <c r="M133" s="107">
        <f t="shared" si="32"/>
        <v>112.66525919791258</v>
      </c>
      <c r="N133" s="107">
        <f t="shared" si="32"/>
        <v>126.29416412062282</v>
      </c>
      <c r="O133" s="107">
        <f t="shared" si="32"/>
        <v>137.83261896034531</v>
      </c>
      <c r="P133" s="107">
        <f t="shared" si="32"/>
        <v>147.19561323614633</v>
      </c>
      <c r="Q133" s="107">
        <f t="shared" si="32"/>
        <v>154.75672932953819</v>
      </c>
      <c r="R133" s="107">
        <f t="shared" si="32"/>
        <v>160.57326194512737</v>
      </c>
      <c r="S133" s="107">
        <f t="shared" si="32"/>
        <v>164.96731753222537</v>
      </c>
      <c r="T133" s="107">
        <f t="shared" si="32"/>
        <v>144.02156465986928</v>
      </c>
      <c r="U133" s="107">
        <f t="shared" si="32"/>
        <v>149.48680538391426</v>
      </c>
      <c r="V133" s="107">
        <f t="shared" si="32"/>
        <v>151.19572089106185</v>
      </c>
      <c r="W133" s="107">
        <f t="shared" si="32"/>
        <v>152.29820468970914</v>
      </c>
      <c r="X133" s="107">
        <f t="shared" si="32"/>
        <v>152.7887312230842</v>
      </c>
      <c r="Y133" s="107">
        <f t="shared" si="32"/>
        <v>152.81460649248228</v>
      </c>
      <c r="Z133" s="107">
        <f t="shared" si="32"/>
        <v>152.40638632870036</v>
      </c>
      <c r="AA133" s="107">
        <f t="shared" si="32"/>
        <v>151.64279929533956</v>
      </c>
      <c r="AB133" s="107">
        <f t="shared" si="32"/>
        <v>147.33806696243366</v>
      </c>
      <c r="AC133" s="107">
        <f t="shared" si="32"/>
        <v>143.65461528837278</v>
      </c>
      <c r="AD133" s="107">
        <f t="shared" si="32"/>
        <v>140.06324990616346</v>
      </c>
      <c r="AE133" s="107">
        <f t="shared" si="32"/>
        <v>136.56166865850938</v>
      </c>
      <c r="AF133" s="107">
        <f t="shared" si="32"/>
        <v>133.14762694204663</v>
      </c>
      <c r="AG133" s="107">
        <f t="shared" si="32"/>
        <v>129.81893626849546</v>
      </c>
      <c r="AH133" s="107">
        <f t="shared" si="32"/>
        <v>126.57346286178307</v>
      </c>
      <c r="AI133" s="107">
        <f t="shared" si="32"/>
        <v>123.40912629023849</v>
      </c>
      <c r="AJ133" s="107">
        <f t="shared" si="32"/>
        <v>120.32389813298251</v>
      </c>
      <c r="AK133" s="107">
        <f t="shared" si="32"/>
        <v>117.31580067965794</v>
      </c>
      <c r="AL133" s="107">
        <f t="shared" si="32"/>
        <v>114.38290566266649</v>
      </c>
      <c r="AM133" s="107">
        <f t="shared" si="32"/>
        <v>111.52333302109982</v>
      </c>
      <c r="AN133" s="107">
        <f t="shared" si="32"/>
        <v>108.73524969557232</v>
      </c>
      <c r="AO133" s="107">
        <f t="shared" si="32"/>
        <v>106.01686845318301</v>
      </c>
      <c r="AP133" s="107">
        <f t="shared" si="32"/>
        <v>103.36644674185342</v>
      </c>
      <c r="AQ133" s="107">
        <f t="shared" si="32"/>
        <v>100.78228557330709</v>
      </c>
      <c r="AR133" s="107">
        <f t="shared" si="32"/>
        <v>98.262728433974416</v>
      </c>
      <c r="AS133" s="107">
        <f t="shared" si="32"/>
        <v>95.806160223125048</v>
      </c>
      <c r="AT133" s="107">
        <f t="shared" si="32"/>
        <v>93.411006217546912</v>
      </c>
      <c r="AU133" s="107">
        <f t="shared" si="32"/>
        <v>91.075731062108233</v>
      </c>
      <c r="AV133" s="107">
        <f t="shared" si="32"/>
        <v>88.79883778555552</v>
      </c>
      <c r="AW133" s="107">
        <f t="shared" si="32"/>
        <v>86.578866840916646</v>
      </c>
      <c r="AX133" s="107">
        <f t="shared" si="32"/>
        <v>84.414395169893723</v>
      </c>
      <c r="AY133" s="107">
        <f t="shared" si="32"/>
        <v>82.304035290646382</v>
      </c>
      <c r="AZ133" s="107">
        <f t="shared" si="32"/>
        <v>80.24643440838021</v>
      </c>
      <c r="BA133" s="107">
        <f t="shared" si="32"/>
        <v>78.240273548170705</v>
      </c>
      <c r="BB133" s="107">
        <f t="shared" si="32"/>
        <v>76.284266709466436</v>
      </c>
      <c r="BC133" s="107">
        <f t="shared" si="32"/>
        <v>74.377160041729766</v>
      </c>
      <c r="BD133" s="107">
        <f t="shared" si="32"/>
        <v>72.517731040686527</v>
      </c>
      <c r="BE133" s="107">
        <f t="shared" si="32"/>
        <v>70.704787764669362</v>
      </c>
      <c r="BF133" s="107">
        <f t="shared" si="32"/>
        <v>68.93716807055263</v>
      </c>
      <c r="BG133" s="107">
        <f t="shared" si="32"/>
        <v>67.213738868788809</v>
      </c>
      <c r="BH133" s="107">
        <f t="shared" si="32"/>
        <v>65.533395397069086</v>
      </c>
      <c r="BI133" s="107">
        <f t="shared" si="32"/>
        <v>63.895060512142351</v>
      </c>
      <c r="BJ133" s="107"/>
      <c r="BK133" s="107"/>
      <c r="BL133" s="107"/>
      <c r="BM133" s="107"/>
      <c r="BN133" s="107"/>
      <c r="BO133" s="107"/>
      <c r="BP133" s="107"/>
      <c r="BQ133" s="107"/>
      <c r="BR133" s="107"/>
      <c r="BS133" s="107"/>
      <c r="BT133" s="107"/>
      <c r="BU133" s="107"/>
      <c r="BV133" s="107"/>
      <c r="BW133" s="107"/>
      <c r="BX133" s="107"/>
      <c r="BY133" s="107"/>
      <c r="BZ133" s="107"/>
      <c r="CA133" s="107"/>
      <c r="CB133" s="107"/>
      <c r="CC133" s="107"/>
      <c r="CD133" s="107"/>
      <c r="CE133" s="107"/>
      <c r="CF133" s="107"/>
      <c r="CG133" s="107"/>
      <c r="CH133" s="107"/>
      <c r="CI133" s="107"/>
      <c r="CJ133" s="107"/>
      <c r="CK133" s="107"/>
      <c r="CL133" s="107"/>
      <c r="CM133" s="107"/>
      <c r="CN133" s="107"/>
      <c r="CO133" s="107"/>
      <c r="CP133" s="107"/>
      <c r="CQ133" s="107"/>
      <c r="CR133" s="107"/>
      <c r="CS133" s="107"/>
      <c r="CT133" s="107"/>
      <c r="CU133" s="107"/>
      <c r="CV133" s="107"/>
      <c r="CW133" s="107"/>
      <c r="CX133" s="107"/>
      <c r="CY133" s="107"/>
      <c r="CZ133" s="107"/>
      <c r="DA133" s="107"/>
      <c r="DB133" s="107"/>
      <c r="DC133" s="107"/>
      <c r="DD133" s="107"/>
      <c r="DE133" s="107"/>
      <c r="DF133" s="107"/>
      <c r="DG133" s="107"/>
      <c r="DH133" s="107"/>
      <c r="DI133" s="107"/>
      <c r="DJ133" s="107"/>
      <c r="DK133" s="107"/>
      <c r="DL133" s="107"/>
      <c r="DM133" s="107"/>
      <c r="DN133" s="107"/>
      <c r="DO133" s="107"/>
      <c r="DP133" s="107"/>
      <c r="DQ133" s="107"/>
      <c r="DR133" s="107"/>
      <c r="DS133" s="107"/>
      <c r="DT133" s="107"/>
    </row>
    <row r="134" spans="1:124" s="2" customFormat="1" x14ac:dyDescent="0.35">
      <c r="A134" s="47" t="s">
        <v>307</v>
      </c>
      <c r="B134" s="8">
        <f>+MIN(B133+B97*Parameters!$B$30,B34)</f>
        <v>1</v>
      </c>
      <c r="C134" s="8">
        <f>+MIN(C133,C34)</f>
        <v>10.134164730561464</v>
      </c>
      <c r="D134" s="8">
        <f t="shared" ref="D134:BI134" si="33">+MIN(D133,D34)</f>
        <v>35.813675013911208</v>
      </c>
      <c r="E134" s="8">
        <f t="shared" si="33"/>
        <v>54.653995928259704</v>
      </c>
      <c r="F134" s="8">
        <f t="shared" si="33"/>
        <v>85.423518903380213</v>
      </c>
      <c r="G134" s="8">
        <f t="shared" si="33"/>
        <v>117.07054112126988</v>
      </c>
      <c r="H134" s="8">
        <f t="shared" si="33"/>
        <v>63.722283669629391</v>
      </c>
      <c r="I134" s="8">
        <f t="shared" si="33"/>
        <v>90.835515430858408</v>
      </c>
      <c r="J134" s="8">
        <f t="shared" si="33"/>
        <v>81.89498887701329</v>
      </c>
      <c r="K134" s="8">
        <f t="shared" si="33"/>
        <v>100.6642152187478</v>
      </c>
      <c r="L134" s="8">
        <f t="shared" si="33"/>
        <v>96.59180575260946</v>
      </c>
      <c r="M134" s="8">
        <f t="shared" si="33"/>
        <v>112.66525919791258</v>
      </c>
      <c r="N134" s="8">
        <f t="shared" si="33"/>
        <v>126.29416412062282</v>
      </c>
      <c r="O134" s="8">
        <f t="shared" si="33"/>
        <v>137.83261896034531</v>
      </c>
      <c r="P134" s="8">
        <f t="shared" si="33"/>
        <v>147.19561323614633</v>
      </c>
      <c r="Q134" s="8">
        <f t="shared" si="33"/>
        <v>154.75672932953819</v>
      </c>
      <c r="R134" s="8">
        <f t="shared" si="33"/>
        <v>160.57326194512737</v>
      </c>
      <c r="S134" s="8">
        <f t="shared" si="33"/>
        <v>164.96731753222537</v>
      </c>
      <c r="T134" s="8">
        <f t="shared" si="33"/>
        <v>144.02156465986928</v>
      </c>
      <c r="U134" s="8">
        <f t="shared" si="33"/>
        <v>149.48680538391426</v>
      </c>
      <c r="V134" s="8">
        <f t="shared" si="33"/>
        <v>151.19572089106185</v>
      </c>
      <c r="W134" s="8">
        <f t="shared" si="33"/>
        <v>152.29820468970914</v>
      </c>
      <c r="X134" s="8">
        <f t="shared" si="33"/>
        <v>152.7887312230842</v>
      </c>
      <c r="Y134" s="8">
        <f t="shared" si="33"/>
        <v>152.81460649248228</v>
      </c>
      <c r="Z134" s="8">
        <f t="shared" si="33"/>
        <v>152.40638632870036</v>
      </c>
      <c r="AA134" s="8">
        <f t="shared" si="33"/>
        <v>151.64279929533956</v>
      </c>
      <c r="AB134" s="8">
        <f t="shared" si="33"/>
        <v>147.33806696243366</v>
      </c>
      <c r="AC134" s="8">
        <f t="shared" si="33"/>
        <v>143.65461528837278</v>
      </c>
      <c r="AD134" s="8">
        <f t="shared" si="33"/>
        <v>140.06324990616346</v>
      </c>
      <c r="AE134" s="8">
        <f t="shared" si="33"/>
        <v>136.56166865850938</v>
      </c>
      <c r="AF134" s="8">
        <f t="shared" si="33"/>
        <v>133.14762694204663</v>
      </c>
      <c r="AG134" s="8">
        <f t="shared" si="33"/>
        <v>129.81893626849546</v>
      </c>
      <c r="AH134" s="8">
        <f t="shared" si="33"/>
        <v>126.57346286178307</v>
      </c>
      <c r="AI134" s="8">
        <f t="shared" si="33"/>
        <v>123.40912629023849</v>
      </c>
      <c r="AJ134" s="8">
        <f t="shared" si="33"/>
        <v>120.32389813298251</v>
      </c>
      <c r="AK134" s="8">
        <f t="shared" si="33"/>
        <v>117.31580067965794</v>
      </c>
      <c r="AL134" s="8">
        <f t="shared" si="33"/>
        <v>114.38290566266649</v>
      </c>
      <c r="AM134" s="8">
        <f t="shared" si="33"/>
        <v>111.52333302109982</v>
      </c>
      <c r="AN134" s="8">
        <f t="shared" si="33"/>
        <v>108.73524969557232</v>
      </c>
      <c r="AO134" s="8">
        <f t="shared" si="33"/>
        <v>106.01686845318301</v>
      </c>
      <c r="AP134" s="8">
        <f t="shared" si="33"/>
        <v>103.36644674185342</v>
      </c>
      <c r="AQ134" s="8">
        <f t="shared" si="33"/>
        <v>100.78228557330709</v>
      </c>
      <c r="AR134" s="8">
        <f t="shared" si="33"/>
        <v>98.262728433974416</v>
      </c>
      <c r="AS134" s="8">
        <f t="shared" si="33"/>
        <v>95.806160223125048</v>
      </c>
      <c r="AT134" s="8">
        <f t="shared" si="33"/>
        <v>93.411006217546912</v>
      </c>
      <c r="AU134" s="8">
        <f t="shared" si="33"/>
        <v>91.075731062108233</v>
      </c>
      <c r="AV134" s="8">
        <f t="shared" si="33"/>
        <v>88.79883778555552</v>
      </c>
      <c r="AW134" s="8">
        <f t="shared" si="33"/>
        <v>86.578866840916646</v>
      </c>
      <c r="AX134" s="8">
        <f t="shared" si="33"/>
        <v>84.414395169893723</v>
      </c>
      <c r="AY134" s="8">
        <f t="shared" si="33"/>
        <v>82.304035290646382</v>
      </c>
      <c r="AZ134" s="8">
        <f t="shared" si="33"/>
        <v>80.24643440838021</v>
      </c>
      <c r="BA134" s="8">
        <f t="shared" si="33"/>
        <v>78.240273548170705</v>
      </c>
      <c r="BB134" s="8">
        <f t="shared" si="33"/>
        <v>76.284266709466436</v>
      </c>
      <c r="BC134" s="8">
        <f t="shared" si="33"/>
        <v>74.377160041729766</v>
      </c>
      <c r="BD134" s="8">
        <f t="shared" si="33"/>
        <v>72.517731040686527</v>
      </c>
      <c r="BE134" s="8">
        <f t="shared" si="33"/>
        <v>70.704787764669362</v>
      </c>
      <c r="BF134" s="8">
        <f t="shared" si="33"/>
        <v>68.93716807055263</v>
      </c>
      <c r="BG134" s="8">
        <f t="shared" si="33"/>
        <v>67.213738868788809</v>
      </c>
      <c r="BH134" s="8">
        <f t="shared" si="33"/>
        <v>65.533395397069086</v>
      </c>
      <c r="BI134" s="8">
        <f t="shared" si="33"/>
        <v>63.895060512142351</v>
      </c>
      <c r="BJ134" s="8"/>
      <c r="BK134" s="8"/>
      <c r="BL134" s="8"/>
      <c r="BM134" s="8"/>
      <c r="BN134" s="8"/>
      <c r="BO134" s="8"/>
      <c r="BP134" s="8"/>
      <c r="BQ134" s="8"/>
      <c r="BR134" s="8"/>
      <c r="BS134" s="8"/>
      <c r="BT134" s="8"/>
      <c r="BU134" s="8"/>
      <c r="BV134" s="8"/>
      <c r="BW134" s="8"/>
      <c r="BX134" s="8"/>
      <c r="BY134" s="8"/>
      <c r="BZ134" s="8"/>
      <c r="CA134" s="8"/>
      <c r="CB134" s="8"/>
      <c r="CC134" s="8"/>
      <c r="CD134" s="8"/>
      <c r="CE134" s="8"/>
      <c r="CF134" s="8"/>
      <c r="CG134" s="8"/>
      <c r="CH134" s="8"/>
      <c r="CI134" s="8"/>
      <c r="CJ134" s="8"/>
      <c r="CK134" s="8"/>
      <c r="CL134" s="8"/>
      <c r="CM134" s="8"/>
      <c r="CN134" s="8"/>
      <c r="CO134" s="8"/>
      <c r="CP134" s="8"/>
      <c r="CQ134" s="8"/>
      <c r="CR134" s="8"/>
      <c r="CS134" s="8"/>
      <c r="CT134" s="8"/>
      <c r="CU134" s="8"/>
      <c r="CV134" s="8"/>
      <c r="CW134" s="8"/>
      <c r="CX134" s="8"/>
      <c r="CY134" s="8"/>
      <c r="CZ134" s="8"/>
      <c r="DA134" s="8"/>
      <c r="DB134" s="8"/>
      <c r="DC134" s="8"/>
      <c r="DD134" s="8"/>
      <c r="DE134" s="8"/>
      <c r="DF134" s="8"/>
      <c r="DG134" s="8"/>
      <c r="DH134" s="8"/>
      <c r="DI134" s="8"/>
      <c r="DJ134" s="8"/>
      <c r="DK134" s="8"/>
      <c r="DL134" s="8"/>
      <c r="DM134" s="8"/>
      <c r="DN134" s="8"/>
      <c r="DO134" s="8"/>
      <c r="DP134" s="8"/>
      <c r="DQ134" s="8"/>
      <c r="DR134" s="8"/>
      <c r="DS134" s="8"/>
      <c r="DT134" s="8"/>
    </row>
    <row r="135" spans="1:124" s="2" customFormat="1" x14ac:dyDescent="0.35">
      <c r="A135" s="13" t="s">
        <v>305</v>
      </c>
      <c r="B135" s="8">
        <f t="shared" ref="B135" si="34">+B133*3.666</f>
        <v>3.6659999999999999</v>
      </c>
      <c r="C135" s="8">
        <f t="shared" ref="C135:BI135" si="35">+C133*3.666</f>
        <v>37.151847902238323</v>
      </c>
      <c r="D135" s="8">
        <f t="shared" si="35"/>
        <v>131.29293260099848</v>
      </c>
      <c r="E135" s="8">
        <f t="shared" si="35"/>
        <v>200.36154907300008</v>
      </c>
      <c r="F135" s="8">
        <f t="shared" si="35"/>
        <v>313.16262029979185</v>
      </c>
      <c r="G135" s="8">
        <f t="shared" si="35"/>
        <v>429.18060375057536</v>
      </c>
      <c r="H135" s="8">
        <f t="shared" si="35"/>
        <v>233.60589193286134</v>
      </c>
      <c r="I135" s="8">
        <f t="shared" si="35"/>
        <v>333.00299956952693</v>
      </c>
      <c r="J135" s="8">
        <f t="shared" si="35"/>
        <v>300.22702922313073</v>
      </c>
      <c r="K135" s="8">
        <f t="shared" si="35"/>
        <v>369.03501299192942</v>
      </c>
      <c r="L135" s="8">
        <f t="shared" si="35"/>
        <v>354.10555988906628</v>
      </c>
      <c r="M135" s="8">
        <f t="shared" si="35"/>
        <v>413.03084021954749</v>
      </c>
      <c r="N135" s="8">
        <f t="shared" si="35"/>
        <v>462.99440566620325</v>
      </c>
      <c r="O135" s="8">
        <f t="shared" si="35"/>
        <v>505.29438110862588</v>
      </c>
      <c r="P135" s="8">
        <f t="shared" si="35"/>
        <v>539.61911812371238</v>
      </c>
      <c r="Q135" s="8">
        <f t="shared" si="35"/>
        <v>567.33816972208695</v>
      </c>
      <c r="R135" s="8">
        <f t="shared" si="35"/>
        <v>588.66157829083693</v>
      </c>
      <c r="S135" s="8">
        <f t="shared" si="35"/>
        <v>604.77018607313823</v>
      </c>
      <c r="T135" s="8">
        <f t="shared" si="35"/>
        <v>527.98305604308075</v>
      </c>
      <c r="U135" s="8">
        <f t="shared" si="35"/>
        <v>548.01862853742966</v>
      </c>
      <c r="V135" s="8">
        <f t="shared" si="35"/>
        <v>554.28351278663274</v>
      </c>
      <c r="W135" s="8">
        <f t="shared" si="35"/>
        <v>558.32521839247374</v>
      </c>
      <c r="X135" s="8">
        <f t="shared" si="35"/>
        <v>560.12348866382661</v>
      </c>
      <c r="Y135" s="8">
        <f t="shared" si="35"/>
        <v>560.21834740144004</v>
      </c>
      <c r="Z135" s="8">
        <f t="shared" si="35"/>
        <v>558.72181228101556</v>
      </c>
      <c r="AA135" s="8">
        <f t="shared" si="35"/>
        <v>555.92250221671486</v>
      </c>
      <c r="AB135" s="8">
        <f t="shared" si="35"/>
        <v>540.14135348428181</v>
      </c>
      <c r="AC135" s="8">
        <f t="shared" si="35"/>
        <v>526.63781964717464</v>
      </c>
      <c r="AD135" s="8">
        <f t="shared" si="35"/>
        <v>513.47187415599524</v>
      </c>
      <c r="AE135" s="8">
        <f t="shared" si="35"/>
        <v>500.63507730209534</v>
      </c>
      <c r="AF135" s="8">
        <f t="shared" si="35"/>
        <v>488.11920036954291</v>
      </c>
      <c r="AG135" s="8">
        <f t="shared" si="35"/>
        <v>475.91622036030435</v>
      </c>
      <c r="AH135" s="8">
        <f t="shared" si="35"/>
        <v>464.01831485129674</v>
      </c>
      <c r="AI135" s="8">
        <f t="shared" si="35"/>
        <v>452.41785698001428</v>
      </c>
      <c r="AJ135" s="8">
        <f t="shared" si="35"/>
        <v>441.10741055551387</v>
      </c>
      <c r="AK135" s="8">
        <f t="shared" si="35"/>
        <v>430.079725291626</v>
      </c>
      <c r="AL135" s="8">
        <f t="shared" si="35"/>
        <v>419.32773215933531</v>
      </c>
      <c r="AM135" s="8">
        <f t="shared" si="35"/>
        <v>408.84453885535191</v>
      </c>
      <c r="AN135" s="8">
        <f t="shared" si="35"/>
        <v>398.62342538396814</v>
      </c>
      <c r="AO135" s="8">
        <f t="shared" si="35"/>
        <v>388.65783974936892</v>
      </c>
      <c r="AP135" s="8">
        <f t="shared" si="35"/>
        <v>378.94139375563464</v>
      </c>
      <c r="AQ135" s="8">
        <f t="shared" si="35"/>
        <v>369.4678589117438</v>
      </c>
      <c r="AR135" s="8">
        <f t="shared" si="35"/>
        <v>360.23116243895021</v>
      </c>
      <c r="AS135" s="8">
        <f t="shared" si="35"/>
        <v>351.22538337797641</v>
      </c>
      <c r="AT135" s="8">
        <f t="shared" si="35"/>
        <v>342.44474879352697</v>
      </c>
      <c r="AU135" s="8">
        <f t="shared" si="35"/>
        <v>333.88363007368878</v>
      </c>
      <c r="AV135" s="8">
        <f t="shared" si="35"/>
        <v>325.53653932184653</v>
      </c>
      <c r="AW135" s="8">
        <f t="shared" si="35"/>
        <v>317.39812583880041</v>
      </c>
      <c r="AX135" s="8">
        <f t="shared" si="35"/>
        <v>309.46317269283037</v>
      </c>
      <c r="AY135" s="8">
        <f t="shared" si="35"/>
        <v>301.72659337550965</v>
      </c>
      <c r="AZ135" s="8">
        <f t="shared" si="35"/>
        <v>294.18342854112183</v>
      </c>
      <c r="BA135" s="8">
        <f t="shared" si="35"/>
        <v>286.8288428275938</v>
      </c>
      <c r="BB135" s="8">
        <f t="shared" si="35"/>
        <v>279.65812175690394</v>
      </c>
      <c r="BC135" s="8">
        <f t="shared" si="35"/>
        <v>272.66666871298133</v>
      </c>
      <c r="BD135" s="8">
        <f t="shared" si="35"/>
        <v>265.85000199515679</v>
      </c>
      <c r="BE135" s="8">
        <f t="shared" si="35"/>
        <v>259.20375194527787</v>
      </c>
      <c r="BF135" s="8">
        <f t="shared" si="35"/>
        <v>252.72365814664593</v>
      </c>
      <c r="BG135" s="8">
        <f t="shared" si="35"/>
        <v>246.40556669297976</v>
      </c>
      <c r="BH135" s="8">
        <f t="shared" si="35"/>
        <v>240.24542752565526</v>
      </c>
      <c r="BI135" s="8">
        <f t="shared" si="35"/>
        <v>234.23929183751386</v>
      </c>
      <c r="BJ135" s="8"/>
      <c r="BK135" s="8"/>
      <c r="BL135" s="8"/>
      <c r="BM135" s="8"/>
      <c r="BN135" s="8"/>
      <c r="BO135" s="8"/>
      <c r="BP135" s="8"/>
      <c r="BQ135" s="8"/>
      <c r="BR135" s="8"/>
      <c r="BS135" s="8"/>
      <c r="BT135" s="8"/>
      <c r="BU135" s="8"/>
      <c r="BV135" s="8"/>
      <c r="BW135" s="8"/>
      <c r="BX135" s="8"/>
      <c r="BY135" s="8"/>
      <c r="BZ135" s="8"/>
      <c r="CA135" s="8"/>
      <c r="CB135" s="8"/>
      <c r="CC135" s="8"/>
      <c r="CD135" s="8"/>
      <c r="CE135" s="8"/>
      <c r="CF135" s="8"/>
      <c r="CG135" s="8"/>
      <c r="CH135" s="8"/>
      <c r="CI135" s="8"/>
      <c r="CJ135" s="8"/>
      <c r="CK135" s="8"/>
      <c r="CL135" s="8"/>
      <c r="CM135" s="8"/>
      <c r="CN135" s="8"/>
      <c r="CO135" s="8"/>
      <c r="CP135" s="8"/>
      <c r="CQ135" s="8"/>
      <c r="CR135" s="8"/>
      <c r="CS135" s="8"/>
      <c r="CT135" s="8"/>
      <c r="CU135" s="8"/>
      <c r="CV135" s="8"/>
      <c r="CW135" s="8"/>
      <c r="CX135" s="8"/>
      <c r="CY135" s="8"/>
      <c r="CZ135" s="8"/>
      <c r="DA135" s="8"/>
      <c r="DB135" s="8"/>
      <c r="DC135" s="8"/>
      <c r="DD135" s="8"/>
      <c r="DE135" s="8"/>
      <c r="DF135" s="8"/>
      <c r="DG135" s="8"/>
      <c r="DH135" s="8"/>
      <c r="DI135" s="8"/>
      <c r="DJ135" s="8"/>
      <c r="DK135" s="8"/>
      <c r="DL135" s="8"/>
      <c r="DM135" s="8"/>
      <c r="DN135" s="8"/>
      <c r="DO135" s="8"/>
      <c r="DP135" s="8"/>
      <c r="DQ135" s="8"/>
      <c r="DR135" s="8"/>
      <c r="DS135" s="8"/>
      <c r="DT135" s="8"/>
    </row>
    <row r="136" spans="1:124" s="2" customFormat="1" hidden="1" x14ac:dyDescent="0.35">
      <c r="A136" s="13"/>
      <c r="B136" s="8"/>
    </row>
    <row r="137" spans="1:124" s="103" customFormat="1" ht="13.75" customHeight="1" x14ac:dyDescent="0.35">
      <c r="A137" s="29" t="s">
        <v>314</v>
      </c>
      <c r="B137" s="2">
        <f t="shared" ref="B137" si="36">+B139*B47</f>
        <v>7.7952645923214841E-3</v>
      </c>
      <c r="C137" s="28">
        <f>+Parameters!C121</f>
        <v>5.5874800631383725E-2</v>
      </c>
      <c r="D137" s="28">
        <f>+Parameters!D121</f>
        <v>0.11093715103193025</v>
      </c>
      <c r="E137" s="28">
        <f>+Parameters!E121</f>
        <v>0.16318975709142414</v>
      </c>
      <c r="F137" s="28">
        <f>+Parameters!F121</f>
        <v>0.20624748187779696</v>
      </c>
      <c r="G137" s="28">
        <f>+Parameters!G121</f>
        <v>0.24193921912074778</v>
      </c>
      <c r="H137" s="28">
        <f>+Parameters!H121</f>
        <v>0.30180913979496526</v>
      </c>
      <c r="I137" s="28">
        <f>+Parameters!I121</f>
        <v>0.3644849792065088</v>
      </c>
      <c r="J137" s="28">
        <f>+Parameters!J121</f>
        <v>0.42367019232545777</v>
      </c>
      <c r="K137" s="28">
        <f>+Parameters!K121</f>
        <v>0.47828388059114024</v>
      </c>
      <c r="L137" s="28">
        <f>+Parameters!L121</f>
        <v>0.53407364289057269</v>
      </c>
      <c r="M137" s="28">
        <f>+Parameters!M121</f>
        <v>0.58815684728875695</v>
      </c>
      <c r="N137" s="28">
        <f>+Parameters!N121</f>
        <v>0.63362200023575355</v>
      </c>
      <c r="O137" s="28">
        <f>+Parameters!O121</f>
        <v>0.67245699955287486</v>
      </c>
      <c r="P137" s="28">
        <f>+Parameters!P121</f>
        <v>0.70517310212956541</v>
      </c>
      <c r="Q137" s="28">
        <f>+Parameters!Q121</f>
        <v>0.73301857268269299</v>
      </c>
      <c r="R137" s="28">
        <f>+Parameters!R121</f>
        <v>0.75645711835273866</v>
      </c>
      <c r="S137" s="28">
        <f>+Parameters!S121</f>
        <v>0.77629758052826003</v>
      </c>
      <c r="T137" s="28">
        <f>+Parameters!T121</f>
        <v>0.79411081537855366</v>
      </c>
      <c r="U137" s="28">
        <f>+Parameters!U121</f>
        <v>0.82219712828666958</v>
      </c>
      <c r="V137" s="28">
        <f>+Parameters!V121</f>
        <v>0.83912581058307212</v>
      </c>
      <c r="W137" s="28">
        <f>+Parameters!W121</f>
        <v>0.85445375367486731</v>
      </c>
      <c r="X137" s="28">
        <f>+Parameters!X121</f>
        <v>0.8681064134527805</v>
      </c>
      <c r="Y137" s="28">
        <f>+Parameters!Y121</f>
        <v>0.88048582530653496</v>
      </c>
      <c r="Z137" s="28">
        <f>+Parameters!Z121</f>
        <v>0.89163175198425282</v>
      </c>
      <c r="AA137" s="28">
        <f>+Parameters!AA121</f>
        <v>0.901741793815245</v>
      </c>
      <c r="AB137" s="28">
        <f>+Parameters!AB121</f>
        <v>0.9</v>
      </c>
      <c r="AC137" s="28">
        <f>+Parameters!AC121</f>
        <v>0.9</v>
      </c>
      <c r="AD137" s="28">
        <f>+Parameters!AD121</f>
        <v>0.9</v>
      </c>
      <c r="AE137" s="28">
        <f>+Parameters!AE121</f>
        <v>0.9</v>
      </c>
      <c r="AF137" s="28">
        <f>+Parameters!AF121</f>
        <v>0.9</v>
      </c>
      <c r="AG137" s="28">
        <f>+Parameters!AG121</f>
        <v>0.9</v>
      </c>
      <c r="AH137" s="28">
        <f>+Parameters!AH121</f>
        <v>0.9</v>
      </c>
      <c r="AI137" s="28">
        <f>+Parameters!AI121</f>
        <v>0.9</v>
      </c>
      <c r="AJ137" s="28">
        <f>+Parameters!AJ121</f>
        <v>0.9</v>
      </c>
      <c r="AK137" s="28">
        <f>+Parameters!AK121</f>
        <v>0.9</v>
      </c>
      <c r="AL137" s="28">
        <f>+Parameters!AL121</f>
        <v>0.9</v>
      </c>
      <c r="AM137" s="28">
        <f>+Parameters!AM121</f>
        <v>0.9</v>
      </c>
      <c r="AN137" s="28">
        <f>+Parameters!AN121</f>
        <v>0.9</v>
      </c>
      <c r="AO137" s="28">
        <f>+Parameters!AO121</f>
        <v>0.9</v>
      </c>
      <c r="AP137" s="28">
        <f>+Parameters!AP121</f>
        <v>0.9</v>
      </c>
      <c r="AQ137" s="28">
        <f>+Parameters!AQ121</f>
        <v>0.9</v>
      </c>
      <c r="AR137" s="28">
        <f>+Parameters!AR121</f>
        <v>0.9</v>
      </c>
      <c r="AS137" s="28">
        <f>+Parameters!AS121</f>
        <v>0.9</v>
      </c>
      <c r="AT137" s="28">
        <f>+Parameters!AT121</f>
        <v>0.9</v>
      </c>
      <c r="AU137" s="28">
        <f>+Parameters!AU121</f>
        <v>0.9</v>
      </c>
      <c r="AV137" s="28">
        <f>+Parameters!AV121</f>
        <v>0.9</v>
      </c>
      <c r="AW137" s="28">
        <f>+Parameters!AW121</f>
        <v>0.9</v>
      </c>
      <c r="AX137" s="28">
        <f>+Parameters!AX121</f>
        <v>0.9</v>
      </c>
      <c r="AY137" s="28">
        <f>+Parameters!AY121</f>
        <v>0.9</v>
      </c>
      <c r="AZ137" s="28">
        <f>+Parameters!AZ121</f>
        <v>0.9</v>
      </c>
      <c r="BA137" s="28">
        <f>+Parameters!BA121</f>
        <v>0.9</v>
      </c>
      <c r="BB137" s="28">
        <f>+Parameters!BB121</f>
        <v>0.9</v>
      </c>
      <c r="BC137" s="28">
        <f>+Parameters!BC121</f>
        <v>0.9</v>
      </c>
      <c r="BD137" s="28">
        <f>+Parameters!BD121</f>
        <v>0.9</v>
      </c>
      <c r="BE137" s="28">
        <f>+Parameters!BE121</f>
        <v>0.9</v>
      </c>
      <c r="BF137" s="28">
        <f>+Parameters!BF121</f>
        <v>0.9</v>
      </c>
      <c r="BG137" s="28">
        <f>+Parameters!BG121</f>
        <v>0.9</v>
      </c>
      <c r="BH137" s="28">
        <f>+Parameters!BH121</f>
        <v>0.9</v>
      </c>
      <c r="BI137" s="28">
        <f>+Parameters!BI121</f>
        <v>0.9</v>
      </c>
      <c r="BJ137" s="28"/>
      <c r="BK137" s="28"/>
      <c r="BL137" s="28"/>
      <c r="BM137" s="28"/>
      <c r="BN137" s="28"/>
      <c r="BO137" s="28"/>
      <c r="BP137" s="28"/>
      <c r="BQ137" s="28"/>
      <c r="BR137" s="28"/>
      <c r="BS137" s="28"/>
      <c r="BT137" s="28"/>
      <c r="BU137" s="28"/>
      <c r="BV137" s="28"/>
      <c r="BW137" s="28"/>
      <c r="BX137" s="28"/>
      <c r="BY137" s="28"/>
      <c r="BZ137" s="28"/>
      <c r="CA137" s="28"/>
      <c r="CB137" s="28"/>
      <c r="CC137" s="28"/>
      <c r="CD137" s="28"/>
      <c r="CE137" s="28"/>
      <c r="CF137" s="28"/>
      <c r="CG137" s="28"/>
      <c r="CH137" s="28"/>
      <c r="CI137" s="28"/>
      <c r="CJ137" s="28"/>
      <c r="CK137" s="28"/>
      <c r="CL137" s="28"/>
      <c r="CM137" s="28"/>
      <c r="CN137" s="28"/>
      <c r="CO137" s="28"/>
      <c r="CP137" s="28"/>
      <c r="CQ137" s="28"/>
      <c r="CR137" s="28"/>
      <c r="CS137" s="28"/>
      <c r="CT137" s="28"/>
      <c r="CU137" s="28"/>
      <c r="CV137" s="28"/>
      <c r="CW137" s="28"/>
      <c r="CX137" s="28"/>
      <c r="CY137" s="28"/>
      <c r="CZ137" s="28"/>
      <c r="DA137" s="28"/>
      <c r="DB137" s="28"/>
      <c r="DC137" s="28"/>
      <c r="DD137" s="28"/>
      <c r="DE137" s="28"/>
      <c r="DF137" s="28"/>
      <c r="DG137" s="28"/>
      <c r="DH137" s="28"/>
      <c r="DI137" s="28"/>
      <c r="DJ137" s="28"/>
      <c r="DK137" s="28"/>
      <c r="DL137" s="28"/>
      <c r="DM137" s="28"/>
      <c r="DN137" s="28"/>
      <c r="DO137" s="28"/>
      <c r="DP137" s="28"/>
      <c r="DQ137" s="28"/>
      <c r="DR137" s="28"/>
      <c r="DS137" s="28"/>
      <c r="DT137" s="28"/>
    </row>
    <row r="138" spans="1:124" s="48" customFormat="1" hidden="1" x14ac:dyDescent="0.35">
      <c r="A138" s="13"/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  <c r="AA138" s="2"/>
      <c r="AB138" s="2"/>
      <c r="AC138" s="2"/>
      <c r="AD138" s="2"/>
      <c r="AE138" s="2"/>
      <c r="AF138" s="2"/>
      <c r="AG138" s="2"/>
      <c r="AH138" s="2"/>
      <c r="AI138" s="2"/>
      <c r="AJ138" s="2"/>
      <c r="AK138" s="2"/>
      <c r="AL138" s="2"/>
      <c r="AM138" s="2"/>
      <c r="AN138" s="2"/>
      <c r="AO138" s="2"/>
      <c r="AP138" s="2"/>
      <c r="AQ138" s="2"/>
      <c r="AR138" s="2"/>
      <c r="AS138" s="2"/>
      <c r="AT138" s="2"/>
      <c r="AU138" s="2"/>
      <c r="AV138" s="2"/>
      <c r="AW138" s="2"/>
      <c r="AX138" s="2"/>
      <c r="AY138" s="2"/>
      <c r="AZ138" s="2"/>
      <c r="BA138" s="2"/>
      <c r="BB138" s="2"/>
      <c r="BC138" s="2"/>
      <c r="BD138" s="2"/>
      <c r="BE138" s="2"/>
      <c r="BF138" s="2"/>
      <c r="BG138" s="2"/>
      <c r="BH138" s="2"/>
      <c r="BI138" s="2"/>
      <c r="BJ138" s="2"/>
      <c r="BK138" s="2"/>
      <c r="BL138" s="2"/>
      <c r="BM138" s="2"/>
      <c r="BN138" s="2"/>
      <c r="BO138" s="2"/>
      <c r="BP138" s="2"/>
      <c r="BQ138" s="2"/>
      <c r="BR138" s="2"/>
      <c r="BS138" s="2"/>
      <c r="BT138" s="2"/>
      <c r="BU138" s="2"/>
      <c r="BV138" s="2"/>
      <c r="BW138" s="2"/>
      <c r="BX138" s="2"/>
      <c r="BY138" s="2"/>
      <c r="BZ138" s="2"/>
      <c r="CA138" s="2"/>
      <c r="CB138" s="2"/>
      <c r="CC138" s="2"/>
      <c r="CD138" s="2"/>
      <c r="CE138" s="2"/>
      <c r="CF138" s="2"/>
      <c r="CG138" s="2"/>
      <c r="CH138" s="2"/>
      <c r="CI138" s="2"/>
      <c r="CJ138" s="2"/>
      <c r="CK138" s="2"/>
      <c r="CL138" s="2"/>
      <c r="CM138" s="2"/>
      <c r="CN138" s="2"/>
      <c r="CO138" s="2"/>
      <c r="CP138" s="2"/>
      <c r="CQ138" s="2"/>
      <c r="CR138" s="2"/>
      <c r="CS138" s="2"/>
      <c r="CT138" s="2"/>
      <c r="CU138" s="2"/>
      <c r="CV138" s="2"/>
      <c r="CW138" s="2"/>
      <c r="CX138" s="2"/>
      <c r="CY138" s="2"/>
      <c r="CZ138" s="2"/>
      <c r="DA138" s="2"/>
      <c r="DB138" s="2"/>
      <c r="DC138" s="2"/>
      <c r="DD138" s="2"/>
      <c r="DE138" s="2"/>
      <c r="DF138" s="2"/>
      <c r="DG138" s="2"/>
      <c r="DH138" s="2"/>
      <c r="DI138" s="2"/>
      <c r="DJ138" s="2"/>
      <c r="DK138" s="2"/>
      <c r="DL138" s="2"/>
      <c r="DM138" s="2"/>
      <c r="DN138" s="2"/>
      <c r="DO138" s="2"/>
      <c r="DP138" s="2"/>
      <c r="DQ138" s="2"/>
      <c r="DR138" s="2"/>
      <c r="DS138" s="2"/>
      <c r="DT138" s="2"/>
    </row>
    <row r="139" spans="1:124" s="48" customFormat="1" x14ac:dyDescent="0.35">
      <c r="A139" s="13" t="s">
        <v>304</v>
      </c>
      <c r="B139" s="2">
        <f>+MIN(((B134)/(B$34))^(1/($B$39-1)),Parameters!$B$42)</f>
        <v>3.8976322961607419E-2</v>
      </c>
      <c r="C139" s="2">
        <f>+C137/C47</f>
        <v>0.14311346627393262</v>
      </c>
      <c r="D139" s="2">
        <f>+D137/D47</f>
        <v>0.29267016501690385</v>
      </c>
      <c r="E139" s="2">
        <f>+E137/E47</f>
        <v>0.37538076661582043</v>
      </c>
      <c r="F139" s="2">
        <f>+F137/F47</f>
        <v>0.48790317036476766</v>
      </c>
      <c r="G139" s="2">
        <f t="shared" ref="G139:BI139" si="37">+G137/G47</f>
        <v>0.58949641632253502</v>
      </c>
      <c r="H139" s="2">
        <f t="shared" si="37"/>
        <v>0.42641867793745419</v>
      </c>
      <c r="I139" s="2">
        <f t="shared" si="37"/>
        <v>0.52659959165437875</v>
      </c>
      <c r="J139" s="2">
        <f t="shared" si="37"/>
        <v>0.50418506616061898</v>
      </c>
      <c r="K139" s="2">
        <f t="shared" si="37"/>
        <v>0.57343762160134482</v>
      </c>
      <c r="L139" s="2">
        <f t="shared" si="37"/>
        <v>0.56836972481579462</v>
      </c>
      <c r="M139" s="2">
        <f t="shared" si="37"/>
        <v>0.62788227756895676</v>
      </c>
      <c r="N139" s="2">
        <f t="shared" si="37"/>
        <v>0.67848239681439393</v>
      </c>
      <c r="O139" s="2">
        <f t="shared" si="37"/>
        <v>0.72233867393830342</v>
      </c>
      <c r="P139" s="2">
        <f t="shared" si="37"/>
        <v>0.75981271733659372</v>
      </c>
      <c r="Q139" s="2">
        <f t="shared" si="37"/>
        <v>0.7923207611714822</v>
      </c>
      <c r="R139" s="2">
        <f t="shared" si="37"/>
        <v>0.82018463887305393</v>
      </c>
      <c r="S139" s="2">
        <f t="shared" si="37"/>
        <v>0.84437213079990692</v>
      </c>
      <c r="T139" s="2">
        <f t="shared" si="37"/>
        <v>0.79411081537855366</v>
      </c>
      <c r="U139" s="2">
        <f t="shared" si="37"/>
        <v>0.82219712828666958</v>
      </c>
      <c r="V139" s="2">
        <f t="shared" si="37"/>
        <v>0.83912581058307212</v>
      </c>
      <c r="W139" s="2">
        <f t="shared" si="37"/>
        <v>0.85445375367486731</v>
      </c>
      <c r="X139" s="2">
        <f t="shared" si="37"/>
        <v>0.8681064134527805</v>
      </c>
      <c r="Y139" s="2">
        <f t="shared" si="37"/>
        <v>0.88048582530653496</v>
      </c>
      <c r="Z139" s="2">
        <f t="shared" si="37"/>
        <v>0.89163175198425282</v>
      </c>
      <c r="AA139" s="2">
        <f t="shared" si="37"/>
        <v>0.901741793815245</v>
      </c>
      <c r="AB139" s="2">
        <f t="shared" si="37"/>
        <v>0.9</v>
      </c>
      <c r="AC139" s="2">
        <f t="shared" si="37"/>
        <v>0.9</v>
      </c>
      <c r="AD139" s="2">
        <f t="shared" si="37"/>
        <v>0.9</v>
      </c>
      <c r="AE139" s="2">
        <f t="shared" si="37"/>
        <v>0.9</v>
      </c>
      <c r="AF139" s="2">
        <f t="shared" si="37"/>
        <v>0.9</v>
      </c>
      <c r="AG139" s="2">
        <f t="shared" si="37"/>
        <v>0.9</v>
      </c>
      <c r="AH139" s="2">
        <f t="shared" si="37"/>
        <v>0.9</v>
      </c>
      <c r="AI139" s="2">
        <f t="shared" si="37"/>
        <v>0.9</v>
      </c>
      <c r="AJ139" s="2">
        <f t="shared" si="37"/>
        <v>0.9</v>
      </c>
      <c r="AK139" s="2">
        <f t="shared" si="37"/>
        <v>0.9</v>
      </c>
      <c r="AL139" s="2">
        <f t="shared" si="37"/>
        <v>0.9</v>
      </c>
      <c r="AM139" s="2">
        <f t="shared" si="37"/>
        <v>0.9</v>
      </c>
      <c r="AN139" s="2">
        <f t="shared" si="37"/>
        <v>0.9</v>
      </c>
      <c r="AO139" s="2">
        <f t="shared" si="37"/>
        <v>0.9</v>
      </c>
      <c r="AP139" s="2">
        <f t="shared" si="37"/>
        <v>0.9</v>
      </c>
      <c r="AQ139" s="2">
        <f t="shared" si="37"/>
        <v>0.9</v>
      </c>
      <c r="AR139" s="2">
        <f t="shared" si="37"/>
        <v>0.9</v>
      </c>
      <c r="AS139" s="2">
        <f t="shared" si="37"/>
        <v>0.9</v>
      </c>
      <c r="AT139" s="2">
        <f t="shared" si="37"/>
        <v>0.9</v>
      </c>
      <c r="AU139" s="2">
        <f t="shared" si="37"/>
        <v>0.9</v>
      </c>
      <c r="AV139" s="2">
        <f t="shared" si="37"/>
        <v>0.9</v>
      </c>
      <c r="AW139" s="2">
        <f t="shared" si="37"/>
        <v>0.9</v>
      </c>
      <c r="AX139" s="2">
        <f t="shared" si="37"/>
        <v>0.9</v>
      </c>
      <c r="AY139" s="2">
        <f t="shared" si="37"/>
        <v>0.9</v>
      </c>
      <c r="AZ139" s="2">
        <f t="shared" si="37"/>
        <v>0.9</v>
      </c>
      <c r="BA139" s="2">
        <f t="shared" si="37"/>
        <v>0.9</v>
      </c>
      <c r="BB139" s="2">
        <f t="shared" si="37"/>
        <v>0.9</v>
      </c>
      <c r="BC139" s="2">
        <f t="shared" si="37"/>
        <v>0.9</v>
      </c>
      <c r="BD139" s="2">
        <f t="shared" si="37"/>
        <v>0.9</v>
      </c>
      <c r="BE139" s="2">
        <f t="shared" si="37"/>
        <v>0.9</v>
      </c>
      <c r="BF139" s="2">
        <f t="shared" si="37"/>
        <v>0.9</v>
      </c>
      <c r="BG139" s="2">
        <f t="shared" si="37"/>
        <v>0.9</v>
      </c>
      <c r="BH139" s="2">
        <f t="shared" si="37"/>
        <v>0.9</v>
      </c>
      <c r="BI139" s="2">
        <f t="shared" si="37"/>
        <v>0.9</v>
      </c>
      <c r="BJ139" s="2"/>
      <c r="BK139" s="2"/>
      <c r="BL139" s="2"/>
      <c r="BM139" s="2"/>
      <c r="BN139" s="2"/>
      <c r="BO139" s="2"/>
      <c r="BP139" s="2"/>
      <c r="BQ139" s="2"/>
      <c r="BR139" s="2"/>
      <c r="BS139" s="2"/>
      <c r="BT139" s="2"/>
      <c r="BU139" s="2"/>
      <c r="BV139" s="2"/>
      <c r="BW139" s="2"/>
      <c r="BX139" s="2"/>
      <c r="BY139" s="2"/>
      <c r="BZ139" s="2"/>
      <c r="CA139" s="2"/>
      <c r="CB139" s="2"/>
      <c r="CC139" s="2"/>
      <c r="CD139" s="2"/>
      <c r="CE139" s="2"/>
      <c r="CF139" s="2"/>
      <c r="CG139" s="2"/>
      <c r="CH139" s="2"/>
      <c r="CI139" s="2"/>
      <c r="CJ139" s="2"/>
      <c r="CK139" s="2"/>
      <c r="CL139" s="2"/>
      <c r="CM139" s="2"/>
      <c r="CN139" s="2"/>
      <c r="CO139" s="2"/>
      <c r="CP139" s="2"/>
      <c r="CQ139" s="2"/>
      <c r="CR139" s="2"/>
      <c r="CS139" s="2"/>
      <c r="CT139" s="2"/>
      <c r="CU139" s="2"/>
      <c r="CV139" s="2"/>
      <c r="CW139" s="2"/>
      <c r="CX139" s="2"/>
      <c r="CY139" s="2"/>
      <c r="CZ139" s="2"/>
      <c r="DA139" s="2"/>
      <c r="DB139" s="2"/>
      <c r="DC139" s="2"/>
      <c r="DD139" s="2"/>
      <c r="DE139" s="2"/>
      <c r="DF139" s="2"/>
      <c r="DG139" s="2"/>
      <c r="DH139" s="2"/>
      <c r="DI139" s="2"/>
      <c r="DJ139" s="2"/>
      <c r="DK139" s="2"/>
      <c r="DL139" s="2"/>
      <c r="DM139" s="2"/>
      <c r="DN139" s="2"/>
      <c r="DO139" s="2"/>
      <c r="DP139" s="2"/>
      <c r="DQ139" s="2"/>
      <c r="DR139" s="2"/>
      <c r="DS139" s="2"/>
      <c r="DT139" s="2"/>
    </row>
    <row r="140" spans="1:124" s="48" customFormat="1" ht="13.25" customHeight="1" x14ac:dyDescent="0.35">
      <c r="A140" s="13" t="s">
        <v>306</v>
      </c>
      <c r="B140" s="167">
        <f t="shared" ref="B140" si="38">+B134*B47</f>
        <v>0.2</v>
      </c>
      <c r="C140" s="2">
        <f t="shared" ref="C140:I140" si="39">+C134*C47</f>
        <v>3.9566118313553895</v>
      </c>
      <c r="D140" s="2">
        <f t="shared" si="39"/>
        <v>13.575237755434555</v>
      </c>
      <c r="E140" s="2">
        <f t="shared" si="39"/>
        <v>23.75980101488901</v>
      </c>
      <c r="F140" s="2">
        <f t="shared" si="39"/>
        <v>36.110414395935663</v>
      </c>
      <c r="G140" s="2">
        <f t="shared" si="39"/>
        <v>48.047714144925962</v>
      </c>
      <c r="H140" s="2">
        <f t="shared" si="39"/>
        <v>45.101137954661773</v>
      </c>
      <c r="I140" s="2">
        <f t="shared" si="39"/>
        <v>62.871641903510465</v>
      </c>
      <c r="J140" s="2">
        <f>+J134*J47</f>
        <v>68.816924611095374</v>
      </c>
      <c r="K140" s="2">
        <f t="shared" ref="K140:BI140" si="40">+K134*K47</f>
        <v>83.960433842890893</v>
      </c>
      <c r="L140" s="2">
        <f t="shared" si="40"/>
        <v>90.763345265080403</v>
      </c>
      <c r="M140" s="2">
        <f t="shared" si="40"/>
        <v>105.53705052064859</v>
      </c>
      <c r="N140" s="2">
        <f t="shared" si="40"/>
        <v>117.9437539778982</v>
      </c>
      <c r="O140" s="2">
        <f t="shared" si="40"/>
        <v>128.31447730916463</v>
      </c>
      <c r="P140" s="2">
        <f t="shared" si="40"/>
        <v>136.61048944988215</v>
      </c>
      <c r="Q140" s="2">
        <f t="shared" si="40"/>
        <v>143.17377810276534</v>
      </c>
      <c r="R140" s="2">
        <f t="shared" si="40"/>
        <v>148.09688118812824</v>
      </c>
      <c r="S140" s="2">
        <f t="shared" si="40"/>
        <v>151.66740444782795</v>
      </c>
      <c r="T140" s="2">
        <f t="shared" si="40"/>
        <v>144.02156465986928</v>
      </c>
      <c r="U140" s="2">
        <f t="shared" si="40"/>
        <v>149.48680538391426</v>
      </c>
      <c r="V140" s="2">
        <f t="shared" si="40"/>
        <v>151.19572089106185</v>
      </c>
      <c r="W140" s="2">
        <f t="shared" si="40"/>
        <v>152.29820468970914</v>
      </c>
      <c r="X140" s="2">
        <f t="shared" si="40"/>
        <v>152.7887312230842</v>
      </c>
      <c r="Y140" s="2">
        <f t="shared" si="40"/>
        <v>152.81460649248228</v>
      </c>
      <c r="Z140" s="2">
        <f t="shared" si="40"/>
        <v>152.40638632870036</v>
      </c>
      <c r="AA140" s="2">
        <f t="shared" si="40"/>
        <v>151.64279929533956</v>
      </c>
      <c r="AB140" s="2">
        <f t="shared" si="40"/>
        <v>147.33806696243366</v>
      </c>
      <c r="AC140" s="2">
        <f t="shared" si="40"/>
        <v>143.65461528837278</v>
      </c>
      <c r="AD140" s="2">
        <f t="shared" si="40"/>
        <v>140.06324990616346</v>
      </c>
      <c r="AE140" s="2">
        <f t="shared" si="40"/>
        <v>136.56166865850938</v>
      </c>
      <c r="AF140" s="2">
        <f t="shared" si="40"/>
        <v>133.14762694204663</v>
      </c>
      <c r="AG140" s="2">
        <f t="shared" si="40"/>
        <v>129.81893626849546</v>
      </c>
      <c r="AH140" s="2">
        <f t="shared" si="40"/>
        <v>126.57346286178307</v>
      </c>
      <c r="AI140" s="2">
        <f t="shared" si="40"/>
        <v>123.40912629023849</v>
      </c>
      <c r="AJ140" s="2">
        <f t="shared" si="40"/>
        <v>120.32389813298251</v>
      </c>
      <c r="AK140" s="2">
        <f t="shared" si="40"/>
        <v>117.31580067965794</v>
      </c>
      <c r="AL140" s="2">
        <f t="shared" si="40"/>
        <v>114.38290566266649</v>
      </c>
      <c r="AM140" s="2">
        <f t="shared" si="40"/>
        <v>111.52333302109982</v>
      </c>
      <c r="AN140" s="2">
        <f t="shared" si="40"/>
        <v>108.73524969557232</v>
      </c>
      <c r="AO140" s="2">
        <f t="shared" si="40"/>
        <v>106.01686845318301</v>
      </c>
      <c r="AP140" s="2">
        <f t="shared" si="40"/>
        <v>103.36644674185342</v>
      </c>
      <c r="AQ140" s="2">
        <f t="shared" si="40"/>
        <v>100.78228557330709</v>
      </c>
      <c r="AR140" s="2">
        <f t="shared" si="40"/>
        <v>98.262728433974416</v>
      </c>
      <c r="AS140" s="2">
        <f t="shared" si="40"/>
        <v>95.806160223125048</v>
      </c>
      <c r="AT140" s="2">
        <f t="shared" si="40"/>
        <v>93.411006217546912</v>
      </c>
      <c r="AU140" s="2">
        <f t="shared" si="40"/>
        <v>91.075731062108233</v>
      </c>
      <c r="AV140" s="2">
        <f t="shared" si="40"/>
        <v>88.79883778555552</v>
      </c>
      <c r="AW140" s="2">
        <f t="shared" si="40"/>
        <v>86.578866840916646</v>
      </c>
      <c r="AX140" s="2">
        <f t="shared" si="40"/>
        <v>84.414395169893723</v>
      </c>
      <c r="AY140" s="2">
        <f t="shared" si="40"/>
        <v>82.304035290646382</v>
      </c>
      <c r="AZ140" s="2">
        <f t="shared" si="40"/>
        <v>80.24643440838021</v>
      </c>
      <c r="BA140" s="2">
        <f t="shared" si="40"/>
        <v>78.240273548170705</v>
      </c>
      <c r="BB140" s="2">
        <f t="shared" si="40"/>
        <v>76.284266709466436</v>
      </c>
      <c r="BC140" s="2">
        <f t="shared" si="40"/>
        <v>74.377160041729766</v>
      </c>
      <c r="BD140" s="2">
        <f t="shared" si="40"/>
        <v>72.517731040686527</v>
      </c>
      <c r="BE140" s="2">
        <f t="shared" si="40"/>
        <v>70.704787764669362</v>
      </c>
      <c r="BF140" s="2">
        <f t="shared" si="40"/>
        <v>68.93716807055263</v>
      </c>
      <c r="BG140" s="2">
        <f t="shared" si="40"/>
        <v>67.213738868788809</v>
      </c>
      <c r="BH140" s="2">
        <f t="shared" si="40"/>
        <v>65.533395397069086</v>
      </c>
      <c r="BI140" s="2">
        <f t="shared" si="40"/>
        <v>63.895060512142351</v>
      </c>
      <c r="BJ140" s="2"/>
      <c r="BK140" s="2"/>
      <c r="BL140" s="2"/>
      <c r="BM140" s="2"/>
      <c r="BN140" s="2"/>
      <c r="BO140" s="2"/>
      <c r="BP140" s="2"/>
      <c r="BQ140" s="2"/>
      <c r="BR140" s="2"/>
      <c r="BS140" s="2"/>
      <c r="BT140" s="2"/>
      <c r="BU140" s="2"/>
      <c r="BV140" s="2"/>
      <c r="BW140" s="2"/>
      <c r="BX140" s="2"/>
      <c r="BY140" s="2"/>
      <c r="BZ140" s="2"/>
      <c r="CA140" s="2"/>
      <c r="CB140" s="2"/>
      <c r="CC140" s="2"/>
      <c r="CD140" s="2"/>
      <c r="CE140" s="2"/>
      <c r="CF140" s="2"/>
      <c r="CG140" s="2"/>
      <c r="CH140" s="2"/>
      <c r="CI140" s="2"/>
      <c r="CJ140" s="2"/>
      <c r="CK140" s="2"/>
      <c r="CL140" s="2"/>
      <c r="CM140" s="2"/>
      <c r="CN140" s="2"/>
      <c r="CO140" s="2"/>
      <c r="CP140" s="2"/>
      <c r="CQ140" s="2"/>
      <c r="CR140" s="2"/>
      <c r="CS140" s="2"/>
      <c r="CT140" s="2"/>
      <c r="CU140" s="2"/>
      <c r="CV140" s="2"/>
      <c r="CW140" s="2"/>
      <c r="CX140" s="2"/>
      <c r="CY140" s="2"/>
      <c r="CZ140" s="2"/>
      <c r="DA140" s="2"/>
      <c r="DB140" s="2"/>
      <c r="DC140" s="2"/>
      <c r="DD140" s="2"/>
      <c r="DE140" s="2"/>
      <c r="DF140" s="2"/>
      <c r="DG140" s="2"/>
      <c r="DH140" s="2"/>
      <c r="DI140" s="2"/>
      <c r="DJ140" s="2"/>
      <c r="DK140" s="2"/>
      <c r="DL140" s="2"/>
      <c r="DM140" s="2"/>
      <c r="DN140" s="2"/>
      <c r="DO140" s="2"/>
      <c r="DP140" s="2"/>
      <c r="DQ140" s="2"/>
      <c r="DR140" s="2"/>
      <c r="DS140" s="2"/>
      <c r="DT140" s="2"/>
    </row>
    <row r="141" spans="1:124" ht="21" hidden="1" customHeight="1" x14ac:dyDescent="0.35">
      <c r="A141" s="50"/>
    </row>
    <row r="142" spans="1:124" s="162" customFormat="1" ht="31.25" customHeight="1" x14ac:dyDescent="0.35">
      <c r="A142" s="160" t="s">
        <v>316</v>
      </c>
      <c r="B142" s="161">
        <f>+C158</f>
        <v>5.1576066251288744E-2</v>
      </c>
      <c r="C142" s="161">
        <f t="shared" ref="C142:BH142" si="41">+D158</f>
        <v>5.0604385077121616E-2</v>
      </c>
      <c r="D142" s="161">
        <f t="shared" si="41"/>
        <v>4.9477066029575134E-2</v>
      </c>
      <c r="E142" s="161">
        <f t="shared" si="41"/>
        <v>4.8249518869736496E-2</v>
      </c>
      <c r="F142" s="161">
        <f t="shared" si="41"/>
        <v>4.7039400001669396E-2</v>
      </c>
      <c r="G142" s="161">
        <f t="shared" si="41"/>
        <v>4.6249312166997125E-2</v>
      </c>
      <c r="H142" s="161">
        <f t="shared" si="41"/>
        <v>4.4944155890290771E-2</v>
      </c>
      <c r="I142" s="161">
        <f t="shared" si="41"/>
        <v>4.3984379323323219E-2</v>
      </c>
      <c r="J142" s="161">
        <f t="shared" si="41"/>
        <v>4.2846960942851453E-2</v>
      </c>
      <c r="K142" s="161">
        <f t="shared" si="41"/>
        <v>4.1972933645044508E-2</v>
      </c>
      <c r="L142" s="161">
        <f t="shared" si="41"/>
        <v>4.0960066235808057E-2</v>
      </c>
      <c r="M142" s="161">
        <f t="shared" si="41"/>
        <v>4.0064303950938962E-2</v>
      </c>
      <c r="N142" s="161">
        <f t="shared" si="41"/>
        <v>3.9253464278283134E-2</v>
      </c>
      <c r="O142" s="161">
        <f t="shared" si="41"/>
        <v>3.8507922002147366E-2</v>
      </c>
      <c r="P142" s="161">
        <f t="shared" si="41"/>
        <v>3.781012795276828E-2</v>
      </c>
      <c r="Q142" s="161">
        <f t="shared" si="41"/>
        <v>3.7150554253833956E-2</v>
      </c>
      <c r="R142" s="161">
        <f t="shared" si="41"/>
        <v>3.6521327387328606E-2</v>
      </c>
      <c r="S142" s="161">
        <f t="shared" si="41"/>
        <v>3.6076019824806904E-2</v>
      </c>
      <c r="T142" s="161">
        <f t="shared" si="41"/>
        <v>3.5381893616295068E-2</v>
      </c>
      <c r="U142" s="161">
        <f t="shared" si="41"/>
        <v>3.4772045661552786E-2</v>
      </c>
      <c r="V142" s="161">
        <f t="shared" si="41"/>
        <v>3.4200143469580002E-2</v>
      </c>
      <c r="W142" s="161">
        <f t="shared" si="41"/>
        <v>3.3656766867645516E-2</v>
      </c>
      <c r="X142" s="161">
        <f t="shared" si="41"/>
        <v>3.3136535665746258E-2</v>
      </c>
      <c r="Y142" s="161">
        <f t="shared" si="41"/>
        <v>3.2637693780694033E-2</v>
      </c>
      <c r="Z142" s="161">
        <f t="shared" si="41"/>
        <v>3.2161463295927284E-2</v>
      </c>
      <c r="AA142" s="161">
        <f t="shared" si="41"/>
        <v>3.1686714021823548E-2</v>
      </c>
      <c r="AB142" s="161">
        <f t="shared" si="41"/>
        <v>3.121117539203766E-2</v>
      </c>
      <c r="AC142" s="161">
        <f t="shared" si="41"/>
        <v>3.073965737266926E-2</v>
      </c>
      <c r="AD142" s="161">
        <f t="shared" si="41"/>
        <v>3.0274683588116469E-2</v>
      </c>
      <c r="AE142" s="161">
        <f t="shared" si="41"/>
        <v>2.9817989638627251E-2</v>
      </c>
      <c r="AF142" s="161">
        <f t="shared" si="41"/>
        <v>2.9370779666968438E-2</v>
      </c>
      <c r="AG142" s="161">
        <f t="shared" si="41"/>
        <v>2.8933885758419597E-2</v>
      </c>
      <c r="AH142" s="161">
        <f t="shared" si="41"/>
        <v>2.8507871299696896E-2</v>
      </c>
      <c r="AI142" s="161">
        <f t="shared" si="41"/>
        <v>2.8093101068453752E-2</v>
      </c>
      <c r="AJ142" s="161">
        <f t="shared" si="41"/>
        <v>2.7689792329589791E-2</v>
      </c>
      <c r="AK142" s="161">
        <f t="shared" si="41"/>
        <v>2.7298055123135434E-2</v>
      </c>
      <c r="AL142" s="161">
        <f t="shared" si="41"/>
        <v>2.6917928673267477E-2</v>
      </c>
      <c r="AM142" s="161">
        <f t="shared" si="41"/>
        <v>2.6549418596594654E-2</v>
      </c>
      <c r="AN142" s="161">
        <f t="shared" si="41"/>
        <v>2.6192545251600752E-2</v>
      </c>
      <c r="AO142" s="161">
        <f t="shared" si="41"/>
        <v>2.584740892027737E-2</v>
      </c>
      <c r="AP142" s="161">
        <f t="shared" si="41"/>
        <v>2.5514298245721712E-2</v>
      </c>
      <c r="AQ142" s="161">
        <f t="shared" si="41"/>
        <v>2.5193867377584667E-2</v>
      </c>
      <c r="AR142" s="161">
        <f t="shared" si="41"/>
        <v>2.4887442638331203E-2</v>
      </c>
      <c r="AS142" s="161">
        <f t="shared" si="41"/>
        <v>2.4597558074653358E-2</v>
      </c>
      <c r="AT142" s="161">
        <f t="shared" si="41"/>
        <v>2.4328896681027556E-2</v>
      </c>
      <c r="AU142" s="161">
        <f t="shared" si="41"/>
        <v>2.408995867068664E-2</v>
      </c>
      <c r="AV142" s="161">
        <f t="shared" si="41"/>
        <v>2.3896024734281207E-2</v>
      </c>
      <c r="AW142" s="161">
        <f t="shared" si="41"/>
        <v>2.3774490005811888E-2</v>
      </c>
      <c r="AX142" s="161">
        <f t="shared" si="41"/>
        <v>2.3774603286015328E-2</v>
      </c>
      <c r="AY142" s="161">
        <f t="shared" si="41"/>
        <v>1.6202622917071308E-2</v>
      </c>
      <c r="AZ142" s="161">
        <f t="shared" si="41"/>
        <v>2.4728397290065596E-2</v>
      </c>
      <c r="BA142" s="161">
        <f t="shared" si="41"/>
        <v>2.3861995177706596E-2</v>
      </c>
      <c r="BB142" s="161">
        <f t="shared" si="41"/>
        <v>2.3200980879496846E-2</v>
      </c>
      <c r="BC142" s="161">
        <f t="shared" si="41"/>
        <v>2.2681212233452097E-2</v>
      </c>
      <c r="BD142" s="161">
        <f t="shared" si="41"/>
        <v>2.2260137388000922E-2</v>
      </c>
      <c r="BE142" s="161">
        <f t="shared" si="41"/>
        <v>2.1909044872229444E-2</v>
      </c>
      <c r="BF142" s="161">
        <f t="shared" si="41"/>
        <v>2.1608314338012358E-2</v>
      </c>
      <c r="BG142" s="161">
        <f t="shared" si="41"/>
        <v>2.1344405540054678E-2</v>
      </c>
      <c r="BH142" s="161">
        <f t="shared" si="41"/>
        <v>2.1107899025948562E-2</v>
      </c>
      <c r="BI142" s="161"/>
    </row>
    <row r="143" spans="1:124" ht="21" hidden="1" customHeight="1" x14ac:dyDescent="0.35">
      <c r="A143" s="50"/>
    </row>
    <row r="144" spans="1:124" ht="21" hidden="1" customHeight="1" x14ac:dyDescent="0.35">
      <c r="A144" s="50"/>
    </row>
    <row r="145" spans="1:124" ht="21" hidden="1" customHeight="1" x14ac:dyDescent="0.35">
      <c r="A145" s="50"/>
    </row>
    <row r="146" spans="1:124" ht="21" hidden="1" customHeight="1" x14ac:dyDescent="0.35">
      <c r="A146" s="50"/>
    </row>
    <row r="147" spans="1:124" ht="21" hidden="1" customHeight="1" x14ac:dyDescent="0.35">
      <c r="A147" s="50"/>
    </row>
    <row r="148" spans="1:124" ht="21" hidden="1" customHeight="1" x14ac:dyDescent="0.35">
      <c r="A148" s="50"/>
    </row>
    <row r="149" spans="1:124" ht="21" hidden="1" customHeight="1" x14ac:dyDescent="0.35">
      <c r="A149" s="23"/>
      <c r="B149" s="3"/>
    </row>
    <row r="150" spans="1:124" ht="21" customHeight="1" thickBot="1" x14ac:dyDescent="0.4">
      <c r="A150" s="95" t="s">
        <v>339</v>
      </c>
      <c r="B150" s="3"/>
    </row>
    <row r="151" spans="1:124" ht="21" customHeight="1" thickTop="1" x14ac:dyDescent="0.35">
      <c r="A151" s="92" t="s">
        <v>237</v>
      </c>
      <c r="B151" s="3"/>
    </row>
    <row r="152" spans="1:124" ht="21" customHeight="1" x14ac:dyDescent="0.35">
      <c r="A152" s="92" t="s">
        <v>238</v>
      </c>
      <c r="B152" s="3"/>
      <c r="C152" s="3">
        <f t="shared" ref="C152:BI152" si="42">+(C53/B53)^0.2</f>
        <v>1.0116028097333745</v>
      </c>
      <c r="D152" s="3">
        <f t="shared" si="42"/>
        <v>1.0100345466701126</v>
      </c>
      <c r="E152" s="3">
        <f t="shared" si="42"/>
        <v>1.0086791622039537</v>
      </c>
      <c r="F152" s="3">
        <f t="shared" si="42"/>
        <v>1.0075075318291871</v>
      </c>
      <c r="G152" s="3">
        <f t="shared" si="42"/>
        <v>1.0064945727522834</v>
      </c>
      <c r="H152" s="3">
        <f t="shared" si="42"/>
        <v>1.0056186687743522</v>
      </c>
      <c r="I152" s="3">
        <f t="shared" si="42"/>
        <v>1.0048611805233922</v>
      </c>
      <c r="J152" s="3">
        <f t="shared" si="42"/>
        <v>1.0042060275191533</v>
      </c>
      <c r="K152" s="3">
        <f t="shared" si="42"/>
        <v>1.0036393308936822</v>
      </c>
      <c r="L152" s="3">
        <f t="shared" si="42"/>
        <v>1.0031491074812331</v>
      </c>
      <c r="M152" s="3">
        <f t="shared" si="42"/>
        <v>1.0027250075278795</v>
      </c>
      <c r="N152" s="3">
        <f t="shared" si="42"/>
        <v>1.0023580895273503</v>
      </c>
      <c r="O152" s="3">
        <f t="shared" si="42"/>
        <v>1.00204062672215</v>
      </c>
      <c r="P152" s="3">
        <f t="shared" si="42"/>
        <v>1.0017659406620689</v>
      </c>
      <c r="Q152" s="3">
        <f t="shared" si="42"/>
        <v>1.0015282579203173</v>
      </c>
      <c r="R152" s="3">
        <f t="shared" si="42"/>
        <v>1.0013225866579545</v>
      </c>
      <c r="S152" s="3">
        <f t="shared" si="42"/>
        <v>1.0011446102215715</v>
      </c>
      <c r="T152" s="3">
        <f t="shared" si="42"/>
        <v>1.0009905953745444</v>
      </c>
      <c r="U152" s="3">
        <f t="shared" si="42"/>
        <v>1.0008573131123586</v>
      </c>
      <c r="V152" s="3">
        <f t="shared" si="42"/>
        <v>1.0007419703086711</v>
      </c>
      <c r="W152" s="3">
        <f t="shared" si="42"/>
        <v>1.0006421506899126</v>
      </c>
      <c r="X152" s="3">
        <f t="shared" si="42"/>
        <v>1.0005557638497422</v>
      </c>
      <c r="Y152" s="3">
        <f t="shared" si="42"/>
        <v>1.0004810011965555</v>
      </c>
      <c r="Z152" s="3">
        <f t="shared" si="42"/>
        <v>1.00041629788252</v>
      </c>
      <c r="AA152" s="3">
        <f t="shared" si="42"/>
        <v>1.0003602998953873</v>
      </c>
      <c r="AB152" s="3">
        <f t="shared" si="42"/>
        <v>1.0003118356080356</v>
      </c>
      <c r="AC152" s="3">
        <f t="shared" si="42"/>
        <v>1.0002698911782073</v>
      </c>
      <c r="AD152" s="3">
        <f t="shared" si="42"/>
        <v>1.0002335892746335</v>
      </c>
      <c r="AE152" s="3">
        <f t="shared" si="42"/>
        <v>1.00020217067768</v>
      </c>
      <c r="AF152" s="3">
        <f t="shared" si="42"/>
        <v>1.0001749783645633</v>
      </c>
      <c r="AG152" s="3">
        <f t="shared" si="42"/>
        <v>1.0001514437424595</v>
      </c>
      <c r="AH152" s="3">
        <f t="shared" si="42"/>
        <v>1.0001310747387555</v>
      </c>
      <c r="AI152" s="3">
        <f t="shared" si="42"/>
        <v>1.0001134454972587</v>
      </c>
      <c r="AJ152" s="3">
        <f t="shared" si="42"/>
        <v>1.0000981874633217</v>
      </c>
      <c r="AK152" s="3">
        <f t="shared" si="42"/>
        <v>1.0000849816702952</v>
      </c>
      <c r="AL152" s="3">
        <f t="shared" si="42"/>
        <v>1.0000735520651485</v>
      </c>
      <c r="AM152" s="3">
        <f t="shared" si="42"/>
        <v>1.0000636597330521</v>
      </c>
      <c r="AN152" s="3">
        <f t="shared" si="42"/>
        <v>1.0000550978996956</v>
      </c>
      <c r="AO152" s="3">
        <f t="shared" si="42"/>
        <v>1.0000476876064832</v>
      </c>
      <c r="AP152" s="3">
        <f t="shared" si="42"/>
        <v>1.0000412739679339</v>
      </c>
      <c r="AQ152" s="3">
        <f t="shared" si="42"/>
        <v>1.0000357229328398</v>
      </c>
      <c r="AR152" s="3">
        <f t="shared" si="42"/>
        <v>1.000030918481331</v>
      </c>
      <c r="AS152" s="3">
        <f t="shared" si="42"/>
        <v>1.0000267601991399</v>
      </c>
      <c r="AT152" s="3">
        <f t="shared" si="42"/>
        <v>1.0000231611782795</v>
      </c>
      <c r="AU152" s="3">
        <f t="shared" si="42"/>
        <v>1.0000200462001916</v>
      </c>
      <c r="AV152" s="3">
        <f t="shared" si="42"/>
        <v>1.0000173501633398</v>
      </c>
      <c r="AW152" s="3">
        <f t="shared" si="42"/>
        <v>1.0000150167223523</v>
      </c>
      <c r="AX152" s="3">
        <f t="shared" si="42"/>
        <v>1.0000129971102385</v>
      </c>
      <c r="AY152" s="3">
        <f t="shared" si="42"/>
        <v>1.0000112491190509</v>
      </c>
      <c r="AZ152" s="3">
        <f t="shared" si="42"/>
        <v>1.000009736217665</v>
      </c>
      <c r="BA152" s="3">
        <f t="shared" si="42"/>
        <v>1.0000084267882341</v>
      </c>
      <c r="BB152" s="3">
        <f t="shared" si="42"/>
        <v>1.0000072934653517</v>
      </c>
      <c r="BC152" s="3">
        <f t="shared" si="42"/>
        <v>1.0000063125641003</v>
      </c>
      <c r="BD152" s="3">
        <f t="shared" si="42"/>
        <v>1.0000054635850353</v>
      </c>
      <c r="BE152" s="3">
        <f t="shared" si="42"/>
        <v>1.0000047287857465</v>
      </c>
      <c r="BF152" s="3">
        <f t="shared" si="42"/>
        <v>1.0000040928100502</v>
      </c>
      <c r="BG152" s="3">
        <f t="shared" si="42"/>
        <v>1.0000035423670515</v>
      </c>
      <c r="BH152" s="3">
        <f t="shared" si="42"/>
        <v>1.0000030659533765</v>
      </c>
      <c r="BI152" s="3">
        <f t="shared" si="42"/>
        <v>1.0000026536127598</v>
      </c>
    </row>
    <row r="153" spans="1:124" ht="21" customHeight="1" x14ac:dyDescent="0.35">
      <c r="A153" s="92" t="s">
        <v>239</v>
      </c>
      <c r="B153" s="3"/>
      <c r="C153" s="3">
        <f t="shared" ref="C153:BI153" si="43">+(B18/C18)^0.2</f>
        <v>1.0149999999999999</v>
      </c>
      <c r="D153" s="3">
        <f t="shared" si="43"/>
        <v>1.0149999999999999</v>
      </c>
      <c r="E153" s="3">
        <f t="shared" si="43"/>
        <v>1.0149999999999999</v>
      </c>
      <c r="F153" s="3">
        <f t="shared" si="43"/>
        <v>1.0149999999999999</v>
      </c>
      <c r="G153" s="3">
        <f t="shared" si="43"/>
        <v>1.0149999999999999</v>
      </c>
      <c r="H153" s="3">
        <f t="shared" si="43"/>
        <v>1.0149999999999999</v>
      </c>
      <c r="I153" s="3">
        <f t="shared" si="43"/>
        <v>1.0149999999999999</v>
      </c>
      <c r="J153" s="3">
        <f t="shared" si="43"/>
        <v>1.0149999999999999</v>
      </c>
      <c r="K153" s="3">
        <f t="shared" si="43"/>
        <v>1.0149999999999999</v>
      </c>
      <c r="L153" s="3">
        <f t="shared" si="43"/>
        <v>1.0149999999999999</v>
      </c>
      <c r="M153" s="3">
        <f t="shared" si="43"/>
        <v>1.0149999999999999</v>
      </c>
      <c r="N153" s="3">
        <f t="shared" si="43"/>
        <v>1.0149999999999999</v>
      </c>
      <c r="O153" s="3">
        <f t="shared" si="43"/>
        <v>1.0149999999999999</v>
      </c>
      <c r="P153" s="3">
        <f t="shared" si="43"/>
        <v>1.0149999999999999</v>
      </c>
      <c r="Q153" s="3">
        <f t="shared" si="43"/>
        <v>1.0149999999999999</v>
      </c>
      <c r="R153" s="3">
        <f t="shared" si="43"/>
        <v>1.0149999999999999</v>
      </c>
      <c r="S153" s="3">
        <f t="shared" si="43"/>
        <v>1.0149999999999999</v>
      </c>
      <c r="T153" s="3">
        <f t="shared" si="43"/>
        <v>1.0149999999999999</v>
      </c>
      <c r="U153" s="3">
        <f t="shared" si="43"/>
        <v>1.0149999999999999</v>
      </c>
      <c r="V153" s="3">
        <f t="shared" si="43"/>
        <v>1.0149999999999999</v>
      </c>
      <c r="W153" s="3">
        <f t="shared" si="43"/>
        <v>1.0149999999999999</v>
      </c>
      <c r="X153" s="3">
        <f t="shared" si="43"/>
        <v>1.0149999999999999</v>
      </c>
      <c r="Y153" s="3">
        <f t="shared" si="43"/>
        <v>1.0149999999999999</v>
      </c>
      <c r="Z153" s="3">
        <f t="shared" si="43"/>
        <v>1.0149999999999999</v>
      </c>
      <c r="AA153" s="3">
        <f t="shared" si="43"/>
        <v>1.0149999999999999</v>
      </c>
      <c r="AB153" s="3">
        <f t="shared" si="43"/>
        <v>1.0149999999999999</v>
      </c>
      <c r="AC153" s="3">
        <f t="shared" si="43"/>
        <v>1.0149999999999999</v>
      </c>
      <c r="AD153" s="3">
        <f t="shared" si="43"/>
        <v>1.0149999999999999</v>
      </c>
      <c r="AE153" s="3">
        <f t="shared" si="43"/>
        <v>1.0149999999999999</v>
      </c>
      <c r="AF153" s="3">
        <f t="shared" si="43"/>
        <v>1.0149999999999999</v>
      </c>
      <c r="AG153" s="3">
        <f t="shared" si="43"/>
        <v>1.0149999999999999</v>
      </c>
      <c r="AH153" s="3">
        <f t="shared" si="43"/>
        <v>1.0149999999999999</v>
      </c>
      <c r="AI153" s="3">
        <f t="shared" si="43"/>
        <v>1.0149999999999999</v>
      </c>
      <c r="AJ153" s="3">
        <f t="shared" si="43"/>
        <v>1.0149999999999999</v>
      </c>
      <c r="AK153" s="3">
        <f t="shared" si="43"/>
        <v>1.0149999999999999</v>
      </c>
      <c r="AL153" s="3">
        <f t="shared" si="43"/>
        <v>1.0149999999999999</v>
      </c>
      <c r="AM153" s="3">
        <f t="shared" si="43"/>
        <v>1.0149999999999999</v>
      </c>
      <c r="AN153" s="3">
        <f t="shared" si="43"/>
        <v>1.0149999999999999</v>
      </c>
      <c r="AO153" s="3">
        <f t="shared" si="43"/>
        <v>1.0149999999999999</v>
      </c>
      <c r="AP153" s="3">
        <f t="shared" si="43"/>
        <v>1.0149999999999999</v>
      </c>
      <c r="AQ153" s="3">
        <f t="shared" si="43"/>
        <v>1.0149999999999999</v>
      </c>
      <c r="AR153" s="3">
        <f t="shared" si="43"/>
        <v>1.0149999999999999</v>
      </c>
      <c r="AS153" s="3">
        <f t="shared" si="43"/>
        <v>1.0149999999999999</v>
      </c>
      <c r="AT153" s="3">
        <f t="shared" si="43"/>
        <v>1.0149999999999999</v>
      </c>
      <c r="AU153" s="3">
        <f t="shared" si="43"/>
        <v>1.0149999999999999</v>
      </c>
      <c r="AV153" s="3">
        <f t="shared" si="43"/>
        <v>1.0149999999999999</v>
      </c>
      <c r="AW153" s="3">
        <f t="shared" si="43"/>
        <v>1.0149999999999999</v>
      </c>
      <c r="AX153" s="3">
        <f t="shared" si="43"/>
        <v>1.0149999999999999</v>
      </c>
      <c r="AY153" s="3">
        <f t="shared" si="43"/>
        <v>1.0149999999999999</v>
      </c>
      <c r="AZ153" s="3">
        <f t="shared" si="43"/>
        <v>1.0149999999999999</v>
      </c>
      <c r="BA153" s="3">
        <f t="shared" si="43"/>
        <v>1.0149999999999999</v>
      </c>
      <c r="BB153" s="3">
        <f t="shared" si="43"/>
        <v>1.0149999999999999</v>
      </c>
      <c r="BC153" s="3">
        <f t="shared" si="43"/>
        <v>1.0149999999999999</v>
      </c>
      <c r="BD153" s="3">
        <f t="shared" si="43"/>
        <v>1.0149999999999999</v>
      </c>
      <c r="BE153" s="3">
        <f t="shared" si="43"/>
        <v>1.0149999999999999</v>
      </c>
      <c r="BF153" s="3">
        <f t="shared" si="43"/>
        <v>1.0149999999999999</v>
      </c>
      <c r="BG153" s="3">
        <f t="shared" si="43"/>
        <v>1.0149999999999999</v>
      </c>
      <c r="BH153" s="3">
        <f t="shared" si="43"/>
        <v>1.0149999999999999</v>
      </c>
      <c r="BI153" s="3">
        <f t="shared" si="43"/>
        <v>1.0149999999999999</v>
      </c>
    </row>
    <row r="154" spans="1:124" ht="21" customHeight="1" x14ac:dyDescent="0.35">
      <c r="A154" s="92" t="s">
        <v>240</v>
      </c>
      <c r="B154" s="3"/>
      <c r="C154" s="3">
        <f t="shared" ref="C154:BI154" si="44">+((C127/B127)^($B$19))^0.2</f>
        <v>1.0360355332525013</v>
      </c>
      <c r="D154" s="3">
        <f t="shared" si="44"/>
        <v>1.0350782118986421</v>
      </c>
      <c r="E154" s="3">
        <f t="shared" si="44"/>
        <v>1.0339675527384977</v>
      </c>
      <c r="F154" s="3">
        <f t="shared" si="44"/>
        <v>1.0327581466696911</v>
      </c>
      <c r="G154" s="3">
        <f t="shared" si="44"/>
        <v>1.0315659113316942</v>
      </c>
      <c r="H154" s="3">
        <f t="shared" si="44"/>
        <v>1.0307874996719184</v>
      </c>
      <c r="I154" s="3">
        <f t="shared" si="44"/>
        <v>1.0295016314190057</v>
      </c>
      <c r="J154" s="3">
        <f t="shared" si="44"/>
        <v>1.0285560387421904</v>
      </c>
      <c r="K154" s="3">
        <f t="shared" si="44"/>
        <v>1.0274354295003463</v>
      </c>
      <c r="L154" s="3">
        <f t="shared" si="44"/>
        <v>1.0265743188621128</v>
      </c>
      <c r="M154" s="3">
        <f t="shared" si="44"/>
        <v>1.0255764199367567</v>
      </c>
      <c r="N154" s="3">
        <f t="shared" si="44"/>
        <v>1.0246938955181666</v>
      </c>
      <c r="O154" s="3">
        <f t="shared" si="44"/>
        <v>1.0238950386978161</v>
      </c>
      <c r="P154" s="3">
        <f t="shared" si="44"/>
        <v>1.0231605142878299</v>
      </c>
      <c r="Q154" s="3">
        <f t="shared" si="44"/>
        <v>1.0224730324657816</v>
      </c>
      <c r="R154" s="3">
        <f t="shared" si="44"/>
        <v>1.0218232061614128</v>
      </c>
      <c r="S154" s="3">
        <f t="shared" si="44"/>
        <v>1.0212032782141169</v>
      </c>
      <c r="T154" s="3">
        <f t="shared" si="44"/>
        <v>1.020764551551534</v>
      </c>
      <c r="U154" s="3">
        <f t="shared" si="44"/>
        <v>1.020080683365808</v>
      </c>
      <c r="V154" s="3">
        <f t="shared" si="44"/>
        <v>1.0194798479424165</v>
      </c>
      <c r="W154" s="3">
        <f t="shared" si="44"/>
        <v>1.0189163975069755</v>
      </c>
      <c r="X154" s="3">
        <f t="shared" si="44"/>
        <v>1.0183810511011286</v>
      </c>
      <c r="Y154" s="3">
        <f t="shared" si="44"/>
        <v>1.0178685080450702</v>
      </c>
      <c r="Z154" s="3">
        <f t="shared" si="44"/>
        <v>1.0173770382075804</v>
      </c>
      <c r="AA154" s="3">
        <f t="shared" si="44"/>
        <v>1.0169078456117511</v>
      </c>
      <c r="AB154" s="3">
        <f t="shared" si="44"/>
        <v>1.0164401123367721</v>
      </c>
      <c r="AC154" s="3">
        <f t="shared" si="44"/>
        <v>1.0159716013714657</v>
      </c>
      <c r="AD154" s="3">
        <f t="shared" si="44"/>
        <v>1.015507051598689</v>
      </c>
      <c r="AE154" s="3">
        <f t="shared" si="44"/>
        <v>1.015048949347898</v>
      </c>
      <c r="AF154" s="3">
        <f t="shared" si="44"/>
        <v>1.0145990045700761</v>
      </c>
      <c r="AG154" s="3">
        <f t="shared" si="44"/>
        <v>1.0141584036127769</v>
      </c>
      <c r="AH154" s="3">
        <f t="shared" si="44"/>
        <v>1.0137279662644529</v>
      </c>
      <c r="AI154" s="3">
        <f t="shared" si="44"/>
        <v>1.0133082475859083</v>
      </c>
      <c r="AJ154" s="3">
        <f t="shared" si="44"/>
        <v>1.0128996069639939</v>
      </c>
      <c r="AK154" s="3">
        <f t="shared" si="44"/>
        <v>1.0125022584527978</v>
      </c>
      <c r="AL154" s="3">
        <f t="shared" si="44"/>
        <v>1.0121163104661435</v>
      </c>
      <c r="AM154" s="3">
        <f t="shared" si="44"/>
        <v>1.0117418016485396</v>
      </c>
      <c r="AN154" s="3">
        <f t="shared" si="44"/>
        <v>1.011378737533591</v>
      </c>
      <c r="AO154" s="3">
        <f t="shared" si="44"/>
        <v>1.0110271381789171</v>
      </c>
      <c r="AP154" s="3">
        <f t="shared" si="44"/>
        <v>1.0106871023845099</v>
      </c>
      <c r="AQ154" s="3">
        <f t="shared" si="44"/>
        <v>1.0103589145278047</v>
      </c>
      <c r="AR154" s="3">
        <f t="shared" si="44"/>
        <v>1.0100432190912165</v>
      </c>
      <c r="AS154" s="3">
        <f t="shared" si="44"/>
        <v>1.0097413227963856</v>
      </c>
      <c r="AT154" s="3">
        <f t="shared" si="44"/>
        <v>1.0094557222410379</v>
      </c>
      <c r="AU154" s="3">
        <f t="shared" si="44"/>
        <v>1.0091910312128352</v>
      </c>
      <c r="AV154" s="3">
        <f t="shared" si="44"/>
        <v>1.0089556243060953</v>
      </c>
      <c r="AW154" s="3">
        <f t="shared" si="44"/>
        <v>1.0087645563884544</v>
      </c>
      <c r="AX154" s="3">
        <f t="shared" si="44"/>
        <v>1.0086448177397163</v>
      </c>
      <c r="AY154" s="3">
        <f t="shared" si="44"/>
        <v>1.0086449293458279</v>
      </c>
      <c r="AZ154" s="3">
        <f t="shared" si="44"/>
        <v>1.0011848501646023</v>
      </c>
      <c r="BA154" s="3">
        <f t="shared" si="44"/>
        <v>1.009584627871986</v>
      </c>
      <c r="BB154" s="3">
        <f t="shared" si="44"/>
        <v>1.0087310297317307</v>
      </c>
      <c r="BC154" s="3">
        <f t="shared" si="44"/>
        <v>1.0080797841177309</v>
      </c>
      <c r="BD154" s="3">
        <f t="shared" si="44"/>
        <v>1.0075676967817262</v>
      </c>
      <c r="BE154" s="3">
        <f t="shared" si="44"/>
        <v>1.0071528447172424</v>
      </c>
      <c r="BF154" s="3">
        <f t="shared" si="44"/>
        <v>1.0068069407608173</v>
      </c>
      <c r="BG154" s="3">
        <f t="shared" si="44"/>
        <v>1.0065106545202094</v>
      </c>
      <c r="BH154" s="3">
        <f t="shared" si="44"/>
        <v>1.0062506458522706</v>
      </c>
      <c r="BI154" s="3">
        <f t="shared" si="44"/>
        <v>1.0060176345083238</v>
      </c>
    </row>
    <row r="155" spans="1:124" ht="21" customHeight="1" x14ac:dyDescent="0.35">
      <c r="A155" s="92" t="s">
        <v>241</v>
      </c>
      <c r="B155" s="3"/>
      <c r="C155" s="3">
        <f>+C154*C153</f>
        <v>1.0515760662512887</v>
      </c>
      <c r="D155" s="3">
        <f t="shared" ref="D155:BI155" si="45">+D154*D153</f>
        <v>1.0506043850771216</v>
      </c>
      <c r="E155" s="3">
        <f t="shared" si="45"/>
        <v>1.0494770660295751</v>
      </c>
      <c r="F155" s="3">
        <f t="shared" si="45"/>
        <v>1.0482495188697365</v>
      </c>
      <c r="G155" s="3">
        <f t="shared" si="45"/>
        <v>1.0470394000016694</v>
      </c>
      <c r="H155" s="3">
        <f t="shared" si="45"/>
        <v>1.0462493121669971</v>
      </c>
      <c r="I155" s="3">
        <f t="shared" si="45"/>
        <v>1.0449441558902908</v>
      </c>
      <c r="J155" s="3">
        <f t="shared" si="45"/>
        <v>1.0439843793233232</v>
      </c>
      <c r="K155" s="3">
        <f t="shared" si="45"/>
        <v>1.0428469609428515</v>
      </c>
      <c r="L155" s="3">
        <f t="shared" si="45"/>
        <v>1.0419729336450445</v>
      </c>
      <c r="M155" s="3">
        <f t="shared" si="45"/>
        <v>1.0409600662358081</v>
      </c>
      <c r="N155" s="3">
        <f t="shared" si="45"/>
        <v>1.040064303950939</v>
      </c>
      <c r="O155" s="3">
        <f t="shared" si="45"/>
        <v>1.0392534642782831</v>
      </c>
      <c r="P155" s="3">
        <f t="shared" si="45"/>
        <v>1.0385079220021474</v>
      </c>
      <c r="Q155" s="3">
        <f t="shared" si="45"/>
        <v>1.0378101279527683</v>
      </c>
      <c r="R155" s="3">
        <f t="shared" si="45"/>
        <v>1.037150554253834</v>
      </c>
      <c r="S155" s="3">
        <f t="shared" si="45"/>
        <v>1.0365213273873286</v>
      </c>
      <c r="T155" s="3">
        <f t="shared" si="45"/>
        <v>1.0360760198248069</v>
      </c>
      <c r="U155" s="3">
        <f t="shared" si="45"/>
        <v>1.0353818936162951</v>
      </c>
      <c r="V155" s="3">
        <f t="shared" si="45"/>
        <v>1.0347720456615528</v>
      </c>
      <c r="W155" s="3">
        <f t="shared" si="45"/>
        <v>1.03420014346958</v>
      </c>
      <c r="X155" s="3">
        <f t="shared" si="45"/>
        <v>1.0336567668676455</v>
      </c>
      <c r="Y155" s="3">
        <f t="shared" si="45"/>
        <v>1.0331365356657463</v>
      </c>
      <c r="Z155" s="3">
        <f t="shared" si="45"/>
        <v>1.032637693780694</v>
      </c>
      <c r="AA155" s="3">
        <f t="shared" si="45"/>
        <v>1.0321614632959273</v>
      </c>
      <c r="AB155" s="3">
        <f t="shared" si="45"/>
        <v>1.0316867140218235</v>
      </c>
      <c r="AC155" s="3">
        <f t="shared" si="45"/>
        <v>1.0312111753920377</v>
      </c>
      <c r="AD155" s="3">
        <f t="shared" si="45"/>
        <v>1.0307396573726693</v>
      </c>
      <c r="AE155" s="3">
        <f t="shared" si="45"/>
        <v>1.0302746835881165</v>
      </c>
      <c r="AF155" s="3">
        <f t="shared" si="45"/>
        <v>1.0298179896386273</v>
      </c>
      <c r="AG155" s="3">
        <f t="shared" si="45"/>
        <v>1.0293707796669684</v>
      </c>
      <c r="AH155" s="3">
        <f t="shared" si="45"/>
        <v>1.0289338857584196</v>
      </c>
      <c r="AI155" s="3">
        <f t="shared" si="45"/>
        <v>1.0285078712996969</v>
      </c>
      <c r="AJ155" s="3">
        <f t="shared" si="45"/>
        <v>1.0280931010684538</v>
      </c>
      <c r="AK155" s="3">
        <f t="shared" si="45"/>
        <v>1.0276897923295898</v>
      </c>
      <c r="AL155" s="3">
        <f t="shared" si="45"/>
        <v>1.0272980551231354</v>
      </c>
      <c r="AM155" s="3">
        <f t="shared" si="45"/>
        <v>1.0269179286732675</v>
      </c>
      <c r="AN155" s="3">
        <f t="shared" si="45"/>
        <v>1.0265494185965947</v>
      </c>
      <c r="AO155" s="3">
        <f t="shared" si="45"/>
        <v>1.0261925452516008</v>
      </c>
      <c r="AP155" s="3">
        <f t="shared" si="45"/>
        <v>1.0258474089202774</v>
      </c>
      <c r="AQ155" s="3">
        <f t="shared" si="45"/>
        <v>1.0255142982457217</v>
      </c>
      <c r="AR155" s="3">
        <f t="shared" si="45"/>
        <v>1.0251938673775847</v>
      </c>
      <c r="AS155" s="3">
        <f t="shared" si="45"/>
        <v>1.0248874426383312</v>
      </c>
      <c r="AT155" s="3">
        <f t="shared" si="45"/>
        <v>1.0245975580746534</v>
      </c>
      <c r="AU155" s="3">
        <f t="shared" si="45"/>
        <v>1.0243288966810276</v>
      </c>
      <c r="AV155" s="3">
        <f t="shared" si="45"/>
        <v>1.0240899586706866</v>
      </c>
      <c r="AW155" s="3">
        <f t="shared" si="45"/>
        <v>1.0238960247342812</v>
      </c>
      <c r="AX155" s="3">
        <f t="shared" si="45"/>
        <v>1.0237744900058119</v>
      </c>
      <c r="AY155" s="3">
        <f t="shared" si="45"/>
        <v>1.0237746032860153</v>
      </c>
      <c r="AZ155" s="3">
        <f t="shared" si="45"/>
        <v>1.0162026229170713</v>
      </c>
      <c r="BA155" s="3">
        <f t="shared" si="45"/>
        <v>1.0247283972900656</v>
      </c>
      <c r="BB155" s="3">
        <f t="shared" si="45"/>
        <v>1.0238619951777066</v>
      </c>
      <c r="BC155" s="3">
        <f t="shared" si="45"/>
        <v>1.0232009808794968</v>
      </c>
      <c r="BD155" s="3">
        <f t="shared" si="45"/>
        <v>1.0226812122334521</v>
      </c>
      <c r="BE155" s="3">
        <f t="shared" si="45"/>
        <v>1.0222601373880009</v>
      </c>
      <c r="BF155" s="3">
        <f t="shared" si="45"/>
        <v>1.0219090448722294</v>
      </c>
      <c r="BG155" s="3">
        <f t="shared" si="45"/>
        <v>1.0216083143380124</v>
      </c>
      <c r="BH155" s="3">
        <f t="shared" si="45"/>
        <v>1.0213444055400547</v>
      </c>
      <c r="BI155" s="3">
        <f t="shared" si="45"/>
        <v>1.0211078990259486</v>
      </c>
    </row>
    <row r="156" spans="1:124" ht="21" customHeight="1" x14ac:dyDescent="0.35">
      <c r="A156" s="92" t="s">
        <v>4</v>
      </c>
      <c r="B156" s="3"/>
      <c r="C156" s="3">
        <f>+C155-1</f>
        <v>5.1576066251288744E-2</v>
      </c>
      <c r="D156" s="3">
        <f t="shared" ref="D156:BI156" si="46">+D155-1</f>
        <v>5.0604385077121616E-2</v>
      </c>
      <c r="E156" s="3">
        <f t="shared" si="46"/>
        <v>4.9477066029575134E-2</v>
      </c>
      <c r="F156" s="3">
        <f t="shared" si="46"/>
        <v>4.8249518869736496E-2</v>
      </c>
      <c r="G156" s="3">
        <f t="shared" si="46"/>
        <v>4.7039400001669396E-2</v>
      </c>
      <c r="H156" s="3">
        <f t="shared" si="46"/>
        <v>4.6249312166997125E-2</v>
      </c>
      <c r="I156" s="3">
        <f t="shared" si="46"/>
        <v>4.4944155890290771E-2</v>
      </c>
      <c r="J156" s="3">
        <f t="shared" si="46"/>
        <v>4.3984379323323219E-2</v>
      </c>
      <c r="K156" s="3">
        <f t="shared" si="46"/>
        <v>4.2846960942851453E-2</v>
      </c>
      <c r="L156" s="3">
        <f t="shared" si="46"/>
        <v>4.1972933645044508E-2</v>
      </c>
      <c r="M156" s="3">
        <f t="shared" si="46"/>
        <v>4.0960066235808057E-2</v>
      </c>
      <c r="N156" s="3">
        <f t="shared" si="46"/>
        <v>4.0064303950938962E-2</v>
      </c>
      <c r="O156" s="3">
        <f t="shared" si="46"/>
        <v>3.9253464278283134E-2</v>
      </c>
      <c r="P156" s="3">
        <f t="shared" si="46"/>
        <v>3.8507922002147366E-2</v>
      </c>
      <c r="Q156" s="3">
        <f t="shared" si="46"/>
        <v>3.781012795276828E-2</v>
      </c>
      <c r="R156" s="3">
        <f t="shared" si="46"/>
        <v>3.7150554253833956E-2</v>
      </c>
      <c r="S156" s="3">
        <f t="shared" si="46"/>
        <v>3.6521327387328606E-2</v>
      </c>
      <c r="T156" s="3">
        <f t="shared" si="46"/>
        <v>3.6076019824806904E-2</v>
      </c>
      <c r="U156" s="3">
        <f t="shared" si="46"/>
        <v>3.5381893616295068E-2</v>
      </c>
      <c r="V156" s="3">
        <f t="shared" si="46"/>
        <v>3.4772045661552786E-2</v>
      </c>
      <c r="W156" s="3">
        <f t="shared" si="46"/>
        <v>3.4200143469580002E-2</v>
      </c>
      <c r="X156" s="3">
        <f t="shared" si="46"/>
        <v>3.3656766867645516E-2</v>
      </c>
      <c r="Y156" s="3">
        <f t="shared" si="46"/>
        <v>3.3136535665746258E-2</v>
      </c>
      <c r="Z156" s="3">
        <f t="shared" si="46"/>
        <v>3.2637693780694033E-2</v>
      </c>
      <c r="AA156" s="3">
        <f t="shared" si="46"/>
        <v>3.2161463295927284E-2</v>
      </c>
      <c r="AB156" s="3">
        <f t="shared" si="46"/>
        <v>3.1686714021823548E-2</v>
      </c>
      <c r="AC156" s="3">
        <f t="shared" si="46"/>
        <v>3.121117539203766E-2</v>
      </c>
      <c r="AD156" s="3">
        <f t="shared" si="46"/>
        <v>3.073965737266926E-2</v>
      </c>
      <c r="AE156" s="3">
        <f t="shared" si="46"/>
        <v>3.0274683588116469E-2</v>
      </c>
      <c r="AF156" s="3">
        <f t="shared" si="46"/>
        <v>2.9817989638627251E-2</v>
      </c>
      <c r="AG156" s="3">
        <f t="shared" si="46"/>
        <v>2.9370779666968438E-2</v>
      </c>
      <c r="AH156" s="3">
        <f t="shared" si="46"/>
        <v>2.8933885758419597E-2</v>
      </c>
      <c r="AI156" s="3">
        <f t="shared" si="46"/>
        <v>2.8507871299696896E-2</v>
      </c>
      <c r="AJ156" s="3">
        <f t="shared" si="46"/>
        <v>2.8093101068453752E-2</v>
      </c>
      <c r="AK156" s="3">
        <f t="shared" si="46"/>
        <v>2.7689792329589791E-2</v>
      </c>
      <c r="AL156" s="3">
        <f t="shared" si="46"/>
        <v>2.7298055123135434E-2</v>
      </c>
      <c r="AM156" s="3">
        <f t="shared" si="46"/>
        <v>2.6917928673267477E-2</v>
      </c>
      <c r="AN156" s="3">
        <f t="shared" si="46"/>
        <v>2.6549418596594654E-2</v>
      </c>
      <c r="AO156" s="3">
        <f t="shared" si="46"/>
        <v>2.6192545251600752E-2</v>
      </c>
      <c r="AP156" s="3">
        <f t="shared" si="46"/>
        <v>2.584740892027737E-2</v>
      </c>
      <c r="AQ156" s="3">
        <f t="shared" si="46"/>
        <v>2.5514298245721712E-2</v>
      </c>
      <c r="AR156" s="3">
        <f t="shared" si="46"/>
        <v>2.5193867377584667E-2</v>
      </c>
      <c r="AS156" s="3">
        <f t="shared" si="46"/>
        <v>2.4887442638331203E-2</v>
      </c>
      <c r="AT156" s="3">
        <f t="shared" si="46"/>
        <v>2.4597558074653358E-2</v>
      </c>
      <c r="AU156" s="3">
        <f t="shared" si="46"/>
        <v>2.4328896681027556E-2</v>
      </c>
      <c r="AV156" s="3">
        <f t="shared" si="46"/>
        <v>2.408995867068664E-2</v>
      </c>
      <c r="AW156" s="3">
        <f t="shared" si="46"/>
        <v>2.3896024734281207E-2</v>
      </c>
      <c r="AX156" s="3">
        <f t="shared" si="46"/>
        <v>2.3774490005811888E-2</v>
      </c>
      <c r="AY156" s="3">
        <f t="shared" si="46"/>
        <v>2.3774603286015328E-2</v>
      </c>
      <c r="AZ156" s="3">
        <f t="shared" si="46"/>
        <v>1.6202622917071308E-2</v>
      </c>
      <c r="BA156" s="3">
        <f t="shared" si="46"/>
        <v>2.4728397290065596E-2</v>
      </c>
      <c r="BB156" s="3">
        <f t="shared" si="46"/>
        <v>2.3861995177706596E-2</v>
      </c>
      <c r="BC156" s="3">
        <f t="shared" si="46"/>
        <v>2.3200980879496846E-2</v>
      </c>
      <c r="BD156" s="3">
        <f t="shared" si="46"/>
        <v>2.2681212233452097E-2</v>
      </c>
      <c r="BE156" s="3">
        <f t="shared" si="46"/>
        <v>2.2260137388000922E-2</v>
      </c>
      <c r="BF156" s="3">
        <f t="shared" si="46"/>
        <v>2.1909044872229444E-2</v>
      </c>
      <c r="BG156" s="3">
        <f t="shared" si="46"/>
        <v>2.1608314338012358E-2</v>
      </c>
      <c r="BH156" s="3">
        <f t="shared" si="46"/>
        <v>2.1344405540054678E-2</v>
      </c>
      <c r="BI156" s="3">
        <f t="shared" si="46"/>
        <v>2.1107899025948562E-2</v>
      </c>
    </row>
    <row r="157" spans="1:124" ht="21" customHeight="1" x14ac:dyDescent="0.35">
      <c r="A157" s="92" t="s">
        <v>242</v>
      </c>
      <c r="B157" s="3"/>
      <c r="C157" s="3">
        <f t="shared" ref="C157:BI157" si="47">+C152*C154*(1+B16)-1</f>
        <v>6.3777303268172991E-2</v>
      </c>
      <c r="D157" s="3">
        <f t="shared" si="47"/>
        <v>4.5464752523155738E-2</v>
      </c>
      <c r="E157" s="3">
        <f t="shared" si="47"/>
        <v>4.2941524842340151E-2</v>
      </c>
      <c r="F157" s="3">
        <f t="shared" si="47"/>
        <v>4.0511611327666008E-2</v>
      </c>
      <c r="G157" s="3">
        <f t="shared" si="47"/>
        <v>3.8265491191613377E-2</v>
      </c>
      <c r="H157" s="3">
        <f t="shared" si="47"/>
        <v>3.6579153209317594E-2</v>
      </c>
      <c r="I157" s="3">
        <f t="shared" si="47"/>
        <v>3.450622469846043E-2</v>
      </c>
      <c r="J157" s="3">
        <f t="shared" si="47"/>
        <v>3.2882173746131338E-2</v>
      </c>
      <c r="K157" s="3">
        <f t="shared" si="47"/>
        <v>3.1174607000190591E-2</v>
      </c>
      <c r="L157" s="3">
        <f t="shared" si="47"/>
        <v>2.98071117296832E-2</v>
      </c>
      <c r="M157" s="3">
        <f t="shared" si="47"/>
        <v>2.8371123401500054E-2</v>
      </c>
      <c r="N157" s="3">
        <f t="shared" si="47"/>
        <v>2.7110215461927822E-2</v>
      </c>
      <c r="O157" s="3">
        <f t="shared" si="47"/>
        <v>2.5984426274459738E-2</v>
      </c>
      <c r="P157" s="3">
        <f t="shared" si="47"/>
        <v>2.4967355043834072E-2</v>
      </c>
      <c r="Q157" s="3">
        <f t="shared" si="47"/>
        <v>2.4035634975958287E-2</v>
      </c>
      <c r="R157" s="3">
        <f t="shared" si="47"/>
        <v>2.3174655900670027E-2</v>
      </c>
      <c r="S157" s="3">
        <f t="shared" si="47"/>
        <v>2.2372157924663183E-2</v>
      </c>
      <c r="T157" s="3">
        <f t="shared" si="47"/>
        <v>2.1775716194799788E-2</v>
      </c>
      <c r="U157" s="3">
        <f t="shared" si="47"/>
        <v>2.0955211911321214E-2</v>
      </c>
      <c r="V157" s="3">
        <f t="shared" si="47"/>
        <v>2.0236271719878296E-2</v>
      </c>
      <c r="W157" s="3">
        <f t="shared" si="47"/>
        <v>1.9570695374597769E-2</v>
      </c>
      <c r="X157" s="3">
        <f t="shared" si="47"/>
        <v>1.8947030474593118E-2</v>
      </c>
      <c r="Y157" s="3">
        <f t="shared" si="47"/>
        <v>1.8358104015375964E-2</v>
      </c>
      <c r="Z157" s="3">
        <f t="shared" si="47"/>
        <v>1.7800570114310688E-2</v>
      </c>
      <c r="AA157" s="3">
        <f t="shared" si="47"/>
        <v>1.7274237402143511E-2</v>
      </c>
      <c r="AB157" s="3">
        <f t="shared" si="47"/>
        <v>1.6757074557234519E-2</v>
      </c>
      <c r="AC157" s="3">
        <f t="shared" si="47"/>
        <v>1.6245803143984938E-2</v>
      </c>
      <c r="AD157" s="3">
        <f t="shared" si="47"/>
        <v>1.5744263154257032E-2</v>
      </c>
      <c r="AE157" s="3">
        <f t="shared" si="47"/>
        <v>1.5254162481866063E-2</v>
      </c>
      <c r="AF157" s="3">
        <f t="shared" si="47"/>
        <v>1.4776537444583404E-2</v>
      </c>
      <c r="AG157" s="3">
        <f t="shared" si="47"/>
        <v>1.4311991556866799E-2</v>
      </c>
      <c r="AH157" s="3">
        <f t="shared" si="47"/>
        <v>1.3860840392800222E-2</v>
      </c>
      <c r="AI157" s="3">
        <f t="shared" si="47"/>
        <v>1.3423202843932058E-2</v>
      </c>
      <c r="AJ157" s="3">
        <f t="shared" si="47"/>
        <v>1.2999061007001211E-2</v>
      </c>
      <c r="AK157" s="3">
        <f t="shared" si="47"/>
        <v>1.2588302585898825E-2</v>
      </c>
      <c r="AL157" s="3">
        <f t="shared" si="47"/>
        <v>1.2190753710948687E-2</v>
      </c>
      <c r="AM157" s="3">
        <f t="shared" si="47"/>
        <v>1.180620886155026E-2</v>
      </c>
      <c r="AN157" s="3">
        <f t="shared" si="47"/>
        <v>1.1434462377825971E-2</v>
      </c>
      <c r="AO157" s="3">
        <f t="shared" si="47"/>
        <v>1.1075351643226483E-2</v>
      </c>
      <c r="AP157" s="3">
        <f t="shared" si="47"/>
        <v>1.0728817451564954E-2</v>
      </c>
      <c r="AQ157" s="3">
        <f t="shared" si="47"/>
        <v>1.0395007511452503E-2</v>
      </c>
      <c r="AR157" s="3">
        <f t="shared" si="47"/>
        <v>1.0074448093629451E-2</v>
      </c>
      <c r="AS157" s="3">
        <f t="shared" si="47"/>
        <v>9.7683436752635799E-3</v>
      </c>
      <c r="AT157" s="3">
        <f t="shared" si="47"/>
        <v>9.4791024249858413E-3</v>
      </c>
      <c r="AU157" s="3">
        <f t="shared" si="47"/>
        <v>9.2112616582784579E-3</v>
      </c>
      <c r="AV157" s="3">
        <f t="shared" si="47"/>
        <v>8.9731298509796442E-3</v>
      </c>
      <c r="AW157" s="3">
        <f t="shared" si="47"/>
        <v>8.7797047257165417E-3</v>
      </c>
      <c r="AX157" s="3">
        <f t="shared" si="47"/>
        <v>8.6579272076039437E-3</v>
      </c>
      <c r="AY157" s="3">
        <f t="shared" si="47"/>
        <v>8.6562757127182088E-3</v>
      </c>
      <c r="AZ157" s="3">
        <f t="shared" si="47"/>
        <v>1.1945979182264033E-3</v>
      </c>
      <c r="BA157" s="3">
        <f t="shared" si="47"/>
        <v>9.593135427849564E-3</v>
      </c>
      <c r="BB157" s="3">
        <f t="shared" si="47"/>
        <v>8.7383868765451567E-3</v>
      </c>
      <c r="BC157" s="3">
        <f t="shared" si="47"/>
        <v>8.0861476859863668E-3</v>
      </c>
      <c r="BD157" s="3">
        <f t="shared" si="47"/>
        <v>7.5732017135163865E-3</v>
      </c>
      <c r="BE157" s="3">
        <f t="shared" si="47"/>
        <v>7.1576073272590079E-3</v>
      </c>
      <c r="BF157" s="3">
        <f t="shared" si="47"/>
        <v>6.8110614303831252E-3</v>
      </c>
      <c r="BG157" s="3">
        <f t="shared" si="47"/>
        <v>6.514219950388922E-3</v>
      </c>
      <c r="BH157" s="3">
        <f t="shared" si="47"/>
        <v>6.2537309698358357E-3</v>
      </c>
      <c r="BI157" s="3">
        <f t="shared" si="47"/>
        <v>6.0203040895552284E-3</v>
      </c>
    </row>
    <row r="158" spans="1:124" ht="21" customHeight="1" x14ac:dyDescent="0.35">
      <c r="A158" s="92" t="s">
        <v>243</v>
      </c>
      <c r="B158" s="3"/>
      <c r="C158" s="3">
        <f t="shared" ref="C158:BI158" si="48">+C155*(1+B9)-1</f>
        <v>5.1576066251288744E-2</v>
      </c>
      <c r="D158" s="3">
        <f t="shared" si="48"/>
        <v>5.0604385077121616E-2</v>
      </c>
      <c r="E158" s="3">
        <f t="shared" si="48"/>
        <v>4.9477066029575134E-2</v>
      </c>
      <c r="F158" s="3">
        <f t="shared" si="48"/>
        <v>4.8249518869736496E-2</v>
      </c>
      <c r="G158" s="3">
        <f t="shared" si="48"/>
        <v>4.7039400001669396E-2</v>
      </c>
      <c r="H158" s="3">
        <f t="shared" si="48"/>
        <v>4.6249312166997125E-2</v>
      </c>
      <c r="I158" s="3">
        <f t="shared" si="48"/>
        <v>4.4944155890290771E-2</v>
      </c>
      <c r="J158" s="3">
        <f t="shared" si="48"/>
        <v>4.3984379323323219E-2</v>
      </c>
      <c r="K158" s="3">
        <f t="shared" si="48"/>
        <v>4.2846960942851453E-2</v>
      </c>
      <c r="L158" s="3">
        <f t="shared" si="48"/>
        <v>4.1972933645044508E-2</v>
      </c>
      <c r="M158" s="3">
        <f t="shared" si="48"/>
        <v>4.0960066235808057E-2</v>
      </c>
      <c r="N158" s="3">
        <f t="shared" si="48"/>
        <v>4.0064303950938962E-2</v>
      </c>
      <c r="O158" s="3">
        <f t="shared" si="48"/>
        <v>3.9253464278283134E-2</v>
      </c>
      <c r="P158" s="3">
        <f t="shared" si="48"/>
        <v>3.8507922002147366E-2</v>
      </c>
      <c r="Q158" s="3">
        <f t="shared" si="48"/>
        <v>3.781012795276828E-2</v>
      </c>
      <c r="R158" s="3">
        <f t="shared" si="48"/>
        <v>3.7150554253833956E-2</v>
      </c>
      <c r="S158" s="3">
        <f t="shared" si="48"/>
        <v>3.6521327387328606E-2</v>
      </c>
      <c r="T158" s="3">
        <f t="shared" si="48"/>
        <v>3.6076019824806904E-2</v>
      </c>
      <c r="U158" s="3">
        <f t="shared" si="48"/>
        <v>3.5381893616295068E-2</v>
      </c>
      <c r="V158" s="3">
        <f t="shared" si="48"/>
        <v>3.4772045661552786E-2</v>
      </c>
      <c r="W158" s="3">
        <f t="shared" si="48"/>
        <v>3.4200143469580002E-2</v>
      </c>
      <c r="X158" s="3">
        <f t="shared" si="48"/>
        <v>3.3656766867645516E-2</v>
      </c>
      <c r="Y158" s="3">
        <f t="shared" si="48"/>
        <v>3.3136535665746258E-2</v>
      </c>
      <c r="Z158" s="3">
        <f t="shared" si="48"/>
        <v>3.2637693780694033E-2</v>
      </c>
      <c r="AA158" s="3">
        <f t="shared" si="48"/>
        <v>3.2161463295927284E-2</v>
      </c>
      <c r="AB158" s="3">
        <f t="shared" si="48"/>
        <v>3.1686714021823548E-2</v>
      </c>
      <c r="AC158" s="3">
        <f t="shared" si="48"/>
        <v>3.121117539203766E-2</v>
      </c>
      <c r="AD158" s="3">
        <f t="shared" si="48"/>
        <v>3.073965737266926E-2</v>
      </c>
      <c r="AE158" s="3">
        <f t="shared" si="48"/>
        <v>3.0274683588116469E-2</v>
      </c>
      <c r="AF158" s="3">
        <f t="shared" si="48"/>
        <v>2.9817989638627251E-2</v>
      </c>
      <c r="AG158" s="3">
        <f t="shared" si="48"/>
        <v>2.9370779666968438E-2</v>
      </c>
      <c r="AH158" s="3">
        <f t="shared" si="48"/>
        <v>2.8933885758419597E-2</v>
      </c>
      <c r="AI158" s="3">
        <f t="shared" si="48"/>
        <v>2.8507871299696896E-2</v>
      </c>
      <c r="AJ158" s="3">
        <f t="shared" si="48"/>
        <v>2.8093101068453752E-2</v>
      </c>
      <c r="AK158" s="3">
        <f t="shared" si="48"/>
        <v>2.7689792329589791E-2</v>
      </c>
      <c r="AL158" s="3">
        <f t="shared" si="48"/>
        <v>2.7298055123135434E-2</v>
      </c>
      <c r="AM158" s="3">
        <f t="shared" si="48"/>
        <v>2.6917928673267477E-2</v>
      </c>
      <c r="AN158" s="3">
        <f t="shared" si="48"/>
        <v>2.6549418596594654E-2</v>
      </c>
      <c r="AO158" s="3">
        <f t="shared" si="48"/>
        <v>2.6192545251600752E-2</v>
      </c>
      <c r="AP158" s="3">
        <f t="shared" si="48"/>
        <v>2.584740892027737E-2</v>
      </c>
      <c r="AQ158" s="3">
        <f t="shared" si="48"/>
        <v>2.5514298245721712E-2</v>
      </c>
      <c r="AR158" s="3">
        <f t="shared" si="48"/>
        <v>2.5193867377584667E-2</v>
      </c>
      <c r="AS158" s="3">
        <f t="shared" si="48"/>
        <v>2.4887442638331203E-2</v>
      </c>
      <c r="AT158" s="3">
        <f t="shared" si="48"/>
        <v>2.4597558074653358E-2</v>
      </c>
      <c r="AU158" s="3">
        <f t="shared" si="48"/>
        <v>2.4328896681027556E-2</v>
      </c>
      <c r="AV158" s="3">
        <f t="shared" si="48"/>
        <v>2.408995867068664E-2</v>
      </c>
      <c r="AW158" s="3">
        <f t="shared" si="48"/>
        <v>2.3896024734281207E-2</v>
      </c>
      <c r="AX158" s="3">
        <f t="shared" si="48"/>
        <v>2.3774490005811888E-2</v>
      </c>
      <c r="AY158" s="3">
        <f t="shared" si="48"/>
        <v>2.3774603286015328E-2</v>
      </c>
      <c r="AZ158" s="3">
        <f t="shared" si="48"/>
        <v>1.6202622917071308E-2</v>
      </c>
      <c r="BA158" s="3">
        <f t="shared" si="48"/>
        <v>2.4728397290065596E-2</v>
      </c>
      <c r="BB158" s="3">
        <f t="shared" si="48"/>
        <v>2.3861995177706596E-2</v>
      </c>
      <c r="BC158" s="3">
        <f t="shared" si="48"/>
        <v>2.3200980879496846E-2</v>
      </c>
      <c r="BD158" s="3">
        <f t="shared" si="48"/>
        <v>2.2681212233452097E-2</v>
      </c>
      <c r="BE158" s="3">
        <f t="shared" si="48"/>
        <v>2.2260137388000922E-2</v>
      </c>
      <c r="BF158" s="3">
        <f t="shared" si="48"/>
        <v>2.1909044872229444E-2</v>
      </c>
      <c r="BG158" s="3">
        <f t="shared" si="48"/>
        <v>2.1608314338012358E-2</v>
      </c>
      <c r="BH158" s="3">
        <f t="shared" si="48"/>
        <v>2.1344405540054678E-2</v>
      </c>
      <c r="BI158" s="3">
        <f t="shared" si="48"/>
        <v>2.1107899025948562E-2</v>
      </c>
    </row>
    <row r="159" spans="1:124" ht="21" customHeight="1" x14ac:dyDescent="0.35">
      <c r="A159" s="90" t="s">
        <v>245</v>
      </c>
      <c r="B159" s="51">
        <v>1</v>
      </c>
      <c r="C159" s="51">
        <f>+B159/(1+C156)^5</f>
        <v>0.77767212931446794</v>
      </c>
      <c r="D159" s="51">
        <f t="shared" ref="D159:BI159" si="49">+C159/(1+D156)^5</f>
        <v>0.60757583013786065</v>
      </c>
      <c r="E159" s="51">
        <f t="shared" si="49"/>
        <v>0.47723877965249994</v>
      </c>
      <c r="F159" s="51">
        <f t="shared" si="49"/>
        <v>0.37706165360409888</v>
      </c>
      <c r="G159" s="51">
        <f t="shared" si="49"/>
        <v>0.29963824557133578</v>
      </c>
      <c r="H159" s="51">
        <f t="shared" si="49"/>
        <v>0.23901288723644656</v>
      </c>
      <c r="I159" s="51">
        <f t="shared" si="49"/>
        <v>0.19184739700246259</v>
      </c>
      <c r="J159" s="51">
        <f t="shared" si="49"/>
        <v>0.15469843074206682</v>
      </c>
      <c r="K159" s="51">
        <f t="shared" si="49"/>
        <v>0.12542468210066299</v>
      </c>
      <c r="L159" s="51">
        <f t="shared" si="49"/>
        <v>0.10211765181750714</v>
      </c>
      <c r="M159" s="51">
        <f t="shared" si="49"/>
        <v>8.3546925672288108E-2</v>
      </c>
      <c r="N159" s="51">
        <f t="shared" si="49"/>
        <v>6.8648257415231409E-2</v>
      </c>
      <c r="O159" s="51">
        <f t="shared" si="49"/>
        <v>5.6626812116793039E-2</v>
      </c>
      <c r="P159" s="51">
        <f t="shared" si="49"/>
        <v>4.687842846808412E-2</v>
      </c>
      <c r="Q159" s="51">
        <f t="shared" si="49"/>
        <v>3.8938885845324733E-2</v>
      </c>
      <c r="R159" s="51">
        <f t="shared" si="49"/>
        <v>3.2446996510018991E-2</v>
      </c>
      <c r="S159" s="51">
        <f t="shared" si="49"/>
        <v>2.7119600611014066E-2</v>
      </c>
      <c r="T159" s="51">
        <f t="shared" si="49"/>
        <v>2.2715650572533486E-2</v>
      </c>
      <c r="U159" s="51">
        <f t="shared" si="49"/>
        <v>1.9090721839342455E-2</v>
      </c>
      <c r="V159" s="51">
        <f t="shared" si="49"/>
        <v>1.6091588239274954E-2</v>
      </c>
      <c r="W159" s="51">
        <f t="shared" si="49"/>
        <v>1.360115978370452E-2</v>
      </c>
      <c r="X159" s="51">
        <f t="shared" si="49"/>
        <v>1.1526413146378756E-2</v>
      </c>
      <c r="Y159" s="51">
        <f t="shared" si="49"/>
        <v>9.792770608691213E-3</v>
      </c>
      <c r="Z159" s="51">
        <f t="shared" si="49"/>
        <v>8.3399935057204121E-3</v>
      </c>
      <c r="AA159" s="51">
        <f t="shared" si="49"/>
        <v>7.1191396337273605E-3</v>
      </c>
      <c r="AB159" s="51">
        <f t="shared" si="49"/>
        <v>6.0909961131453208E-3</v>
      </c>
      <c r="AC159" s="51">
        <f t="shared" si="49"/>
        <v>5.2233637162811316E-3</v>
      </c>
      <c r="AD159" s="51">
        <f t="shared" si="49"/>
        <v>4.4895761205763695E-3</v>
      </c>
      <c r="AE159" s="51">
        <f t="shared" si="49"/>
        <v>3.867587946789089E-3</v>
      </c>
      <c r="AF159" s="51">
        <f t="shared" si="49"/>
        <v>3.3391645984381106E-3</v>
      </c>
      <c r="AG159" s="51">
        <f t="shared" si="49"/>
        <v>2.8892069285017816E-3</v>
      </c>
      <c r="AH159" s="51">
        <f t="shared" si="49"/>
        <v>2.5051936229497796E-3</v>
      </c>
      <c r="AI159" s="51">
        <f t="shared" si="49"/>
        <v>2.1767231632022761E-3</v>
      </c>
      <c r="AJ159" s="51">
        <f t="shared" si="49"/>
        <v>1.8951385871924583E-3</v>
      </c>
      <c r="AK159" s="51">
        <f t="shared" si="49"/>
        <v>1.6532204171221443E-3</v>
      </c>
      <c r="AL159" s="51">
        <f t="shared" si="49"/>
        <v>1.444935398165415E-3</v>
      </c>
      <c r="AM159" s="51">
        <f t="shared" si="49"/>
        <v>1.2652307833075807E-3</v>
      </c>
      <c r="AN159" s="51">
        <f t="shared" si="49"/>
        <v>1.109865733599366E-3</v>
      </c>
      <c r="AO159" s="51">
        <f t="shared" si="49"/>
        <v>9.7527292107094533E-4</v>
      </c>
      <c r="AP159" s="51">
        <f t="shared" si="49"/>
        <v>8.5844472583485184E-4</v>
      </c>
      <c r="AQ159" s="51">
        <f t="shared" si="49"/>
        <v>7.5683940778689023E-4</v>
      </c>
      <c r="AR159" s="51">
        <f t="shared" si="49"/>
        <v>6.6830350551726919E-4</v>
      </c>
      <c r="AS159" s="51">
        <f t="shared" si="49"/>
        <v>5.910073461872856E-4</v>
      </c>
      <c r="AT159" s="51">
        <f t="shared" si="49"/>
        <v>5.2339105580394578E-4</v>
      </c>
      <c r="AU159" s="51">
        <f t="shared" si="49"/>
        <v>4.6411881452976738E-4</v>
      </c>
      <c r="AV159" s="51">
        <f t="shared" si="49"/>
        <v>4.1203929463475632E-4</v>
      </c>
      <c r="AW159" s="51">
        <f t="shared" si="49"/>
        <v>3.6615026327621911E-4</v>
      </c>
      <c r="AX159" s="51">
        <f t="shared" si="49"/>
        <v>3.2556509156515681E-4</v>
      </c>
      <c r="AY159" s="51">
        <f t="shared" si="49"/>
        <v>2.8947833945894725E-4</v>
      </c>
      <c r="AZ159" s="51">
        <f t="shared" si="49"/>
        <v>2.6712498762301921E-4</v>
      </c>
      <c r="BA159" s="51">
        <f t="shared" si="49"/>
        <v>2.3641262070551869E-4</v>
      </c>
      <c r="BB159" s="51">
        <f t="shared" si="49"/>
        <v>2.1011813815526571E-4</v>
      </c>
      <c r="BC159" s="51">
        <f t="shared" si="49"/>
        <v>1.8735220331215222E-4</v>
      </c>
      <c r="BD159" s="51">
        <f t="shared" si="49"/>
        <v>1.6747786545976586E-4</v>
      </c>
      <c r="BE159" s="51">
        <f t="shared" si="49"/>
        <v>1.5002038895927988E-4</v>
      </c>
      <c r="BF159" s="51">
        <f t="shared" si="49"/>
        <v>1.3461364117451957E-4</v>
      </c>
      <c r="BG159" s="51">
        <f t="shared" si="49"/>
        <v>1.2096701883788519E-4</v>
      </c>
      <c r="BH159" s="51">
        <f t="shared" si="49"/>
        <v>1.088443539608004E-4</v>
      </c>
      <c r="BI159" s="51">
        <f t="shared" si="49"/>
        <v>9.8050029124539638E-5</v>
      </c>
      <c r="BJ159" s="51"/>
      <c r="BK159" s="51"/>
      <c r="BL159" s="51"/>
      <c r="BM159" s="51"/>
      <c r="BN159" s="51"/>
      <c r="BO159" s="51"/>
      <c r="BP159" s="51"/>
      <c r="BQ159" s="51"/>
      <c r="BR159" s="51"/>
      <c r="BS159" s="51"/>
      <c r="BT159" s="51"/>
      <c r="BU159" s="51"/>
      <c r="BV159" s="51"/>
      <c r="BW159" s="51"/>
      <c r="BX159" s="51"/>
      <c r="BY159" s="51"/>
      <c r="BZ159" s="51"/>
      <c r="CA159" s="51"/>
      <c r="CB159" s="51"/>
      <c r="CC159" s="51"/>
      <c r="CD159" s="51"/>
      <c r="CE159" s="51"/>
      <c r="CF159" s="51"/>
      <c r="CG159" s="51"/>
      <c r="CH159" s="51"/>
      <c r="CI159" s="51"/>
      <c r="CJ159" s="51"/>
      <c r="CK159" s="51"/>
      <c r="CL159" s="51"/>
      <c r="CM159" s="51"/>
      <c r="CN159" s="51"/>
      <c r="CO159" s="51"/>
      <c r="CP159" s="51"/>
      <c r="CQ159" s="51"/>
      <c r="CR159" s="51"/>
      <c r="CS159" s="51"/>
      <c r="CT159" s="51"/>
      <c r="CU159" s="51"/>
      <c r="CV159" s="51"/>
      <c r="CW159" s="51"/>
      <c r="CX159" s="51"/>
      <c r="CY159" s="51"/>
      <c r="CZ159" s="51"/>
      <c r="DA159" s="51"/>
      <c r="DB159" s="51"/>
      <c r="DC159" s="51"/>
      <c r="DD159" s="51"/>
      <c r="DE159" s="51"/>
      <c r="DF159" s="51"/>
      <c r="DG159" s="51"/>
      <c r="DH159" s="51"/>
      <c r="DI159" s="51"/>
      <c r="DJ159" s="51"/>
      <c r="DK159" s="51"/>
      <c r="DL159" s="51"/>
      <c r="DM159" s="51"/>
      <c r="DN159" s="51"/>
      <c r="DO159" s="51"/>
      <c r="DP159" s="51"/>
      <c r="DQ159" s="51"/>
      <c r="DR159" s="51"/>
      <c r="DS159" s="51"/>
      <c r="DT159" s="51"/>
    </row>
    <row r="160" spans="1:124" ht="21" customHeight="1" x14ac:dyDescent="0.35">
      <c r="A160" s="51"/>
      <c r="C160" s="51"/>
      <c r="D160" s="51"/>
      <c r="E160" s="51"/>
      <c r="F160" s="51"/>
      <c r="G160" s="51"/>
      <c r="H160" s="51"/>
      <c r="I160" s="51"/>
      <c r="J160" s="51"/>
      <c r="K160" s="51"/>
      <c r="L160" s="51"/>
      <c r="M160" s="51"/>
      <c r="N160" s="51"/>
      <c r="O160" s="51"/>
      <c r="P160" s="51"/>
      <c r="Q160" s="51"/>
      <c r="R160" s="51"/>
      <c r="S160" s="51"/>
      <c r="T160" s="51"/>
      <c r="U160" s="51"/>
      <c r="V160" s="51"/>
      <c r="W160" s="51"/>
      <c r="X160" s="51"/>
      <c r="Y160" s="51"/>
      <c r="Z160" s="51"/>
      <c r="AA160" s="51"/>
      <c r="AB160" s="51"/>
      <c r="AC160" s="51"/>
      <c r="AD160" s="51"/>
      <c r="AE160" s="51"/>
      <c r="AF160" s="51"/>
      <c r="AG160" s="51"/>
      <c r="AH160" s="51"/>
      <c r="AI160" s="51"/>
      <c r="AJ160" s="51"/>
      <c r="AK160" s="51"/>
      <c r="AL160" s="51"/>
      <c r="AM160" s="51"/>
      <c r="AN160" s="51"/>
      <c r="AO160" s="51"/>
      <c r="AP160" s="51"/>
      <c r="AQ160" s="51"/>
      <c r="AR160" s="51"/>
      <c r="AS160" s="51"/>
      <c r="AT160" s="51"/>
      <c r="AU160" s="51"/>
      <c r="AV160" s="51"/>
      <c r="AW160" s="51"/>
      <c r="AX160" s="51"/>
      <c r="AY160" s="51"/>
      <c r="AZ160" s="51"/>
      <c r="BA160" s="51"/>
      <c r="BB160" s="51"/>
      <c r="BC160" s="51"/>
      <c r="BD160" s="51"/>
      <c r="BE160" s="51"/>
      <c r="BF160" s="51"/>
      <c r="BG160" s="51"/>
      <c r="BH160" s="51"/>
      <c r="BI160" s="51"/>
      <c r="BJ160" s="51"/>
      <c r="BK160" s="51"/>
      <c r="BL160" s="51"/>
      <c r="BM160" s="51"/>
      <c r="BN160" s="51"/>
      <c r="BO160" s="51"/>
      <c r="BP160" s="51"/>
      <c r="BQ160" s="51"/>
      <c r="BR160" s="51"/>
      <c r="BS160" s="51"/>
      <c r="BT160" s="51"/>
      <c r="BU160" s="51"/>
      <c r="BV160" s="51"/>
      <c r="BW160" s="51"/>
      <c r="BX160" s="51"/>
      <c r="BY160" s="51"/>
      <c r="BZ160" s="51"/>
      <c r="CA160" s="51"/>
      <c r="CB160" s="51"/>
      <c r="CC160" s="51"/>
      <c r="CD160" s="51"/>
      <c r="CE160" s="51"/>
      <c r="CF160" s="51"/>
      <c r="CG160" s="51"/>
      <c r="CH160" s="51"/>
      <c r="CI160" s="51"/>
      <c r="CJ160" s="51"/>
      <c r="CK160" s="51"/>
      <c r="CL160" s="51"/>
      <c r="CM160" s="51"/>
      <c r="CN160" s="51"/>
      <c r="CO160" s="51"/>
      <c r="CP160" s="51"/>
      <c r="CQ160" s="51"/>
      <c r="CR160" s="51"/>
      <c r="CS160" s="51"/>
      <c r="CT160" s="51"/>
      <c r="CU160" s="51"/>
      <c r="CV160" s="51"/>
      <c r="CW160" s="51"/>
      <c r="CX160" s="51"/>
      <c r="CY160" s="51"/>
      <c r="CZ160" s="51"/>
      <c r="DA160" s="51"/>
      <c r="DB160" s="51"/>
      <c r="DC160" s="51"/>
      <c r="DD160" s="51"/>
      <c r="DE160" s="51"/>
      <c r="DF160" s="51"/>
      <c r="DG160" s="51"/>
      <c r="DH160" s="51"/>
      <c r="DI160" s="51"/>
      <c r="DJ160" s="51"/>
      <c r="DK160" s="51"/>
      <c r="DL160" s="51"/>
      <c r="DM160" s="51"/>
      <c r="DN160" s="51"/>
      <c r="DO160" s="51"/>
      <c r="DP160" s="51"/>
      <c r="DQ160" s="51"/>
      <c r="DR160" s="51"/>
      <c r="DS160" s="51"/>
      <c r="DT160" s="51"/>
    </row>
    <row r="161" spans="1:124" ht="21" customHeight="1" x14ac:dyDescent="0.35">
      <c r="A161" s="51"/>
      <c r="C161" s="51"/>
      <c r="D161" s="51"/>
      <c r="E161" s="51"/>
      <c r="F161" s="51"/>
      <c r="G161" s="51"/>
      <c r="H161" s="51"/>
      <c r="I161" s="51"/>
      <c r="J161" s="51"/>
      <c r="K161" s="51"/>
      <c r="L161" s="51"/>
      <c r="M161" s="51"/>
      <c r="N161" s="51"/>
      <c r="O161" s="51"/>
      <c r="P161" s="51"/>
      <c r="Q161" s="51"/>
      <c r="R161" s="51"/>
      <c r="S161" s="51"/>
      <c r="T161" s="51"/>
      <c r="U161" s="51"/>
      <c r="V161" s="51"/>
      <c r="W161" s="51"/>
      <c r="X161" s="51"/>
      <c r="Y161" s="51"/>
      <c r="Z161" s="51"/>
      <c r="AA161" s="51"/>
      <c r="AB161" s="51"/>
      <c r="AC161" s="51"/>
      <c r="AD161" s="51"/>
      <c r="AE161" s="51"/>
      <c r="AF161" s="51"/>
      <c r="AG161" s="51"/>
      <c r="AH161" s="51"/>
      <c r="AI161" s="51"/>
      <c r="AJ161" s="51"/>
      <c r="AK161" s="51"/>
      <c r="AL161" s="51"/>
      <c r="AM161" s="51"/>
      <c r="AN161" s="51"/>
      <c r="AO161" s="51"/>
      <c r="AP161" s="51"/>
      <c r="AQ161" s="51"/>
      <c r="AR161" s="51"/>
      <c r="AS161" s="51"/>
      <c r="AT161" s="51"/>
      <c r="AU161" s="51"/>
      <c r="AV161" s="51"/>
      <c r="AW161" s="51"/>
      <c r="AX161" s="51"/>
      <c r="AY161" s="51"/>
      <c r="AZ161" s="51"/>
      <c r="BA161" s="51"/>
      <c r="BB161" s="51"/>
      <c r="BC161" s="51"/>
      <c r="BD161" s="51"/>
      <c r="BE161" s="51"/>
      <c r="BF161" s="51"/>
      <c r="BG161" s="51"/>
      <c r="BH161" s="51"/>
      <c r="BI161" s="51"/>
      <c r="BJ161" s="51"/>
      <c r="BK161" s="51"/>
      <c r="BL161" s="51"/>
      <c r="BM161" s="51"/>
      <c r="BN161" s="51"/>
      <c r="BO161" s="51"/>
      <c r="BP161" s="51"/>
      <c r="BQ161" s="51"/>
      <c r="BR161" s="51"/>
      <c r="BS161" s="51"/>
      <c r="BT161" s="51"/>
      <c r="BU161" s="51"/>
      <c r="BV161" s="51"/>
      <c r="BW161" s="51"/>
      <c r="BX161" s="51"/>
      <c r="BY161" s="51"/>
      <c r="BZ161" s="51"/>
      <c r="CA161" s="51"/>
      <c r="CB161" s="51"/>
      <c r="CC161" s="51"/>
      <c r="CD161" s="51"/>
      <c r="CE161" s="51"/>
      <c r="CF161" s="51"/>
      <c r="CG161" s="51"/>
      <c r="CH161" s="51"/>
      <c r="CI161" s="51"/>
      <c r="CJ161" s="51"/>
      <c r="CK161" s="51"/>
      <c r="CL161" s="51"/>
      <c r="CM161" s="51"/>
      <c r="CN161" s="51"/>
      <c r="CO161" s="51"/>
      <c r="CP161" s="51"/>
      <c r="CQ161" s="51"/>
      <c r="CR161" s="51"/>
      <c r="CS161" s="51"/>
      <c r="CT161" s="51"/>
      <c r="CU161" s="51"/>
      <c r="CV161" s="51"/>
      <c r="CW161" s="51"/>
      <c r="CX161" s="51"/>
      <c r="CY161" s="51"/>
      <c r="CZ161" s="51"/>
      <c r="DA161" s="51"/>
      <c r="DB161" s="51"/>
      <c r="DC161" s="51"/>
      <c r="DD161" s="51"/>
      <c r="DE161" s="51"/>
      <c r="DF161" s="51"/>
      <c r="DG161" s="51"/>
      <c r="DH161" s="51"/>
      <c r="DI161" s="51"/>
      <c r="DJ161" s="51"/>
      <c r="DK161" s="51"/>
      <c r="DL161" s="51"/>
      <c r="DM161" s="51"/>
      <c r="DN161" s="51"/>
      <c r="DO161" s="51"/>
      <c r="DP161" s="51"/>
      <c r="DQ161" s="51"/>
      <c r="DR161" s="51"/>
      <c r="DS161" s="51"/>
      <c r="DT161" s="51"/>
    </row>
    <row r="162" spans="1:124" s="57" customFormat="1" ht="45.65" customHeight="1" thickBot="1" x14ac:dyDescent="0.4">
      <c r="A162" s="84" t="s">
        <v>61</v>
      </c>
      <c r="B162" s="57" t="s">
        <v>342</v>
      </c>
      <c r="D162" s="57" t="s">
        <v>343</v>
      </c>
      <c r="E162" s="57" t="s">
        <v>340</v>
      </c>
      <c r="F162" s="153" t="s">
        <v>341</v>
      </c>
      <c r="G162" s="153"/>
    </row>
    <row r="163" spans="1:124" ht="21" customHeight="1" thickTop="1" x14ac:dyDescent="0.35">
      <c r="A163" s="15" t="s">
        <v>61</v>
      </c>
      <c r="B163" s="3"/>
      <c r="F163" s="3" t="s">
        <v>251</v>
      </c>
      <c r="G163" s="3" t="s">
        <v>252</v>
      </c>
    </row>
    <row r="164" spans="1:124" s="79" customFormat="1" ht="21" customHeight="1" x14ac:dyDescent="0.35">
      <c r="A164" s="14" t="s">
        <v>244</v>
      </c>
      <c r="B164" s="79">
        <f>+SUMPRODUCT(B159:T159*B124:T124)*5</f>
        <v>2262.1624973253911</v>
      </c>
      <c r="D164" s="79">
        <f>+SUMPRODUCT(Base!B155:T155*B124:T124)*5</f>
        <v>2256.4479078481409</v>
      </c>
      <c r="E164" s="79">
        <v>2263.2194535643148</v>
      </c>
      <c r="F164" s="79">
        <f t="shared" ref="F164:F168" si="50">+D164-E164</f>
        <v>-6.7715457161739323</v>
      </c>
      <c r="G164" s="79">
        <f>+F164*1000</f>
        <v>-6771.5457161739323</v>
      </c>
    </row>
    <row r="165" spans="1:124" s="79" customFormat="1" ht="21" customHeight="1" x14ac:dyDescent="0.35">
      <c r="A165" s="14" t="s">
        <v>64</v>
      </c>
      <c r="B165" s="79">
        <f>+SUMPRODUCT(B159:AN159*B124:AN124)*5</f>
        <v>2617.6219486272712</v>
      </c>
      <c r="D165" s="79">
        <f>+SUMPRODUCT(Base!B155:AN155*B124:AN124)*5</f>
        <v>2638.0720807359303</v>
      </c>
      <c r="E165" s="79">
        <v>2628.3554239442537</v>
      </c>
      <c r="F165" s="79">
        <f t="shared" si="50"/>
        <v>9.7166567916765416</v>
      </c>
      <c r="G165" s="79">
        <f>+F165*1000</f>
        <v>9716.6567916765416</v>
      </c>
    </row>
    <row r="166" spans="1:124" s="79" customFormat="1" ht="21" customHeight="1" x14ac:dyDescent="0.35">
      <c r="A166" s="14" t="s">
        <v>62</v>
      </c>
      <c r="B166" s="79">
        <f>+SUMPRODUCT(B159:BH159*B124:BH124)*5</f>
        <v>2673.0659171395519</v>
      </c>
      <c r="D166" s="79">
        <f>+SUMPRODUCT(Base!B155:BH155*B124:BH124)*5</f>
        <v>2704.4992313659113</v>
      </c>
      <c r="E166" s="79">
        <v>2687.7370386156094</v>
      </c>
      <c r="F166" s="79">
        <f t="shared" si="50"/>
        <v>16.762192750301892</v>
      </c>
      <c r="G166" s="79">
        <f>+F166*1000</f>
        <v>16762.192750301892</v>
      </c>
    </row>
    <row r="167" spans="1:124" s="79" customFormat="1" ht="21" customHeight="1" x14ac:dyDescent="0.35">
      <c r="A167" s="14" t="s">
        <v>63</v>
      </c>
      <c r="B167" s="159">
        <f>+SUMPRODUCT(B159:DQ159*B124:DQ124)*5</f>
        <v>2674.0610903738548</v>
      </c>
      <c r="D167" s="79">
        <f>+SUMPRODUCT(Base!B155:DQ155*B124:DQ124)*5</f>
        <v>2705.6592576641233</v>
      </c>
      <c r="E167" s="79">
        <v>2688.7936628310235</v>
      </c>
      <c r="F167" s="159">
        <f t="shared" si="50"/>
        <v>16.865594833099749</v>
      </c>
      <c r="G167" s="79">
        <f>+F167*1000</f>
        <v>16865.594833099749</v>
      </c>
    </row>
    <row r="168" spans="1:124" s="79" customFormat="1" ht="21" customHeight="1" x14ac:dyDescent="0.35">
      <c r="A168" s="14" t="s">
        <v>249</v>
      </c>
      <c r="B168" s="157">
        <f>+B130</f>
        <v>2712.6170670439433</v>
      </c>
      <c r="D168" s="79">
        <f>+B130</f>
        <v>2712.6170670439433</v>
      </c>
      <c r="E168" s="79">
        <v>2688.7871964352134</v>
      </c>
      <c r="F168" s="159">
        <f t="shared" si="50"/>
        <v>23.829870608729834</v>
      </c>
      <c r="G168" s="79">
        <f>+F168*1000</f>
        <v>23829.870608729834</v>
      </c>
    </row>
    <row r="169" spans="1:124" ht="21" customHeight="1" thickBot="1" x14ac:dyDescent="0.4">
      <c r="A169" s="95" t="s">
        <v>99</v>
      </c>
      <c r="B169" s="3"/>
    </row>
    <row r="170" spans="1:124" ht="21" customHeight="1" thickTop="1" x14ac:dyDescent="0.35">
      <c r="A170" s="92" t="s">
        <v>233</v>
      </c>
      <c r="B170" s="3">
        <f t="shared" ref="B170:AU170" si="51">+B118/B105</f>
        <v>2.124572737974987</v>
      </c>
      <c r="C170" s="3">
        <f t="shared" si="51"/>
        <v>2.1329499629653097</v>
      </c>
      <c r="D170" s="3">
        <f t="shared" si="51"/>
        <v>2.147552884259071</v>
      </c>
      <c r="E170" s="3">
        <f t="shared" si="51"/>
        <v>2.1646704228336189</v>
      </c>
      <c r="F170" s="3">
        <f t="shared" si="51"/>
        <v>2.182599393213545</v>
      </c>
      <c r="G170" s="3">
        <f t="shared" si="51"/>
        <v>2.1997525037464234</v>
      </c>
      <c r="H170" s="3">
        <f t="shared" si="51"/>
        <v>2.2155741751216591</v>
      </c>
      <c r="I170" s="3">
        <f t="shared" si="51"/>
        <v>2.2354738696486653</v>
      </c>
      <c r="J170" s="3">
        <f t="shared" si="51"/>
        <v>2.2523025630451152</v>
      </c>
      <c r="K170" s="3">
        <f t="shared" si="51"/>
        <v>2.2699829682177115</v>
      </c>
      <c r="L170" s="3">
        <f t="shared" si="51"/>
        <v>2.2855044762432049</v>
      </c>
      <c r="M170" s="3">
        <f t="shared" si="51"/>
        <v>2.3017708310941005</v>
      </c>
      <c r="N170" s="3">
        <f t="shared" si="51"/>
        <v>2.3161175132959886</v>
      </c>
      <c r="O170" s="3">
        <f t="shared" si="51"/>
        <v>2.3292471857301615</v>
      </c>
      <c r="P170" s="3">
        <f t="shared" si="51"/>
        <v>2.3415947923807234</v>
      </c>
      <c r="Q170" s="3">
        <f t="shared" si="51"/>
        <v>2.3534963435286285</v>
      </c>
      <c r="R170" s="3">
        <f t="shared" si="51"/>
        <v>2.3651222443030315</v>
      </c>
      <c r="S170" s="3">
        <f t="shared" si="51"/>
        <v>2.3765767797767152</v>
      </c>
      <c r="T170" s="3">
        <f t="shared" si="51"/>
        <v>2.387846726016027</v>
      </c>
      <c r="U170" s="3">
        <f t="shared" si="51"/>
        <v>2.4021268115434733</v>
      </c>
      <c r="V170" s="3">
        <f t="shared" si="51"/>
        <v>2.4149371420708663</v>
      </c>
      <c r="W170" s="3">
        <f t="shared" si="51"/>
        <v>2.4273972626018767</v>
      </c>
      <c r="X170" s="3">
        <f t="shared" si="51"/>
        <v>2.4396613877779911</v>
      </c>
      <c r="Y170" s="3">
        <f t="shared" si="51"/>
        <v>2.4518102407253219</v>
      </c>
      <c r="Z170" s="3">
        <f t="shared" si="51"/>
        <v>2.4638330384514742</v>
      </c>
      <c r="AA170" s="3">
        <f t="shared" si="51"/>
        <v>2.4756571502281566</v>
      </c>
      <c r="AB170" s="3">
        <f t="shared" si="51"/>
        <v>2.4871127253105803</v>
      </c>
      <c r="AC170" s="3">
        <f t="shared" si="51"/>
        <v>2.4988715955049257</v>
      </c>
      <c r="AD170" s="3">
        <f t="shared" si="51"/>
        <v>2.510687147301994</v>
      </c>
      <c r="AE170" s="3">
        <f t="shared" si="51"/>
        <v>2.5224660754006094</v>
      </c>
      <c r="AF170" s="3">
        <f t="shared" si="51"/>
        <v>2.5341395499769761</v>
      </c>
      <c r="AG170" s="3">
        <f t="shared" si="51"/>
        <v>2.5456565334300292</v>
      </c>
      <c r="AH170" s="3">
        <f t="shared" si="51"/>
        <v>2.556979351235146</v>
      </c>
      <c r="AI170" s="3">
        <f t="shared" si="51"/>
        <v>2.5680806208400306</v>
      </c>
      <c r="AJ170" s="3">
        <f t="shared" si="51"/>
        <v>2.5789410110559743</v>
      </c>
      <c r="AK170" s="3">
        <f t="shared" si="51"/>
        <v>2.5895475140201434</v>
      </c>
      <c r="AL170" s="3">
        <f t="shared" si="51"/>
        <v>2.599892020128455</v>
      </c>
      <c r="AM170" s="3">
        <f t="shared" si="51"/>
        <v>2.6099700358498663</v>
      </c>
      <c r="AN170" s="3">
        <f t="shared" si="51"/>
        <v>2.6197793813946619</v>
      </c>
      <c r="AO170" s="3">
        <f t="shared" si="51"/>
        <v>2.6293186642373074</v>
      </c>
      <c r="AP170" s="3">
        <f t="shared" si="51"/>
        <v>2.6385851958969018</v>
      </c>
      <c r="AQ170" s="3">
        <f t="shared" si="51"/>
        <v>2.6475718329032358</v>
      </c>
      <c r="AR170" s="3">
        <f t="shared" si="51"/>
        <v>2.6562618022414735</v>
      </c>
      <c r="AS170" s="3">
        <f t="shared" si="51"/>
        <v>2.6646199006300493</v>
      </c>
      <c r="AT170" s="3">
        <f t="shared" si="51"/>
        <v>2.6725772173778837</v>
      </c>
      <c r="AU170" s="3">
        <f t="shared" si="51"/>
        <v>2.6800043397766302</v>
      </c>
    </row>
    <row r="171" spans="1:124" ht="21" customHeight="1" x14ac:dyDescent="0.35">
      <c r="A171" s="92" t="s">
        <v>261</v>
      </c>
      <c r="C171" s="3">
        <f>+C125/(C125+C124)</f>
        <v>8.6859189114711285E-2</v>
      </c>
      <c r="D171" s="3">
        <f t="shared" ref="D171:AU171" si="52">+D125/(D125+D124)</f>
        <v>8.4309791132811215E-2</v>
      </c>
      <c r="E171" s="3">
        <f t="shared" si="52"/>
        <v>8.1262362645794492E-2</v>
      </c>
      <c r="F171" s="3">
        <f t="shared" si="52"/>
        <v>7.8138654873195809E-2</v>
      </c>
      <c r="G171" s="3">
        <f t="shared" si="52"/>
        <v>7.4847642323190328E-2</v>
      </c>
      <c r="H171" s="3">
        <f t="shared" si="52"/>
        <v>7.1534959640186441E-2</v>
      </c>
      <c r="I171" s="3">
        <f t="shared" si="52"/>
        <v>7.0258141141762376E-2</v>
      </c>
      <c r="J171" s="3">
        <f t="shared" si="52"/>
        <v>6.6970482180944993E-2</v>
      </c>
      <c r="K171" s="3">
        <f t="shared" si="52"/>
        <v>6.5094247912603015E-2</v>
      </c>
      <c r="L171" s="3">
        <f t="shared" si="52"/>
        <v>6.2390706016615283E-2</v>
      </c>
      <c r="M171" s="3">
        <f t="shared" si="52"/>
        <v>6.0766611441650416E-2</v>
      </c>
      <c r="N171" s="3">
        <f t="shared" si="52"/>
        <v>5.8400210139784796E-2</v>
      </c>
      <c r="O171" s="3">
        <f t="shared" si="52"/>
        <v>5.632588477073297E-2</v>
      </c>
      <c r="P171" s="3">
        <f t="shared" si="52"/>
        <v>5.4464087795261719E-2</v>
      </c>
      <c r="Q171" s="3">
        <f t="shared" si="52"/>
        <v>5.2785071980925975E-2</v>
      </c>
      <c r="R171" s="3">
        <f t="shared" si="52"/>
        <v>5.1232811398689376E-2</v>
      </c>
      <c r="S171" s="3">
        <f t="shared" si="52"/>
        <v>4.9781479192326034E-2</v>
      </c>
      <c r="T171" s="3">
        <f t="shared" si="52"/>
        <v>4.8361534524796974E-2</v>
      </c>
      <c r="U171" s="3">
        <f t="shared" si="52"/>
        <v>4.8145340457934151E-2</v>
      </c>
      <c r="V171" s="3">
        <f t="shared" si="52"/>
        <v>4.647913890524611E-2</v>
      </c>
      <c r="W171" s="3">
        <f t="shared" si="52"/>
        <v>4.5222073594146255E-2</v>
      </c>
      <c r="X171" s="3">
        <f t="shared" si="52"/>
        <v>4.4056242216830827E-2</v>
      </c>
      <c r="Y171" s="3">
        <f t="shared" si="52"/>
        <v>4.295541042377965E-2</v>
      </c>
      <c r="Z171" s="3">
        <f t="shared" si="52"/>
        <v>4.1885107281210573E-2</v>
      </c>
      <c r="AA171" s="3">
        <f t="shared" si="52"/>
        <v>4.0819256916898923E-2</v>
      </c>
      <c r="AB171" s="3">
        <f t="shared" si="52"/>
        <v>3.9720594041438538E-2</v>
      </c>
      <c r="AC171" s="3">
        <f t="shared" si="52"/>
        <v>3.8890450763202751E-2</v>
      </c>
      <c r="AD171" s="3">
        <f t="shared" si="52"/>
        <v>3.8009381762301078E-2</v>
      </c>
      <c r="AE171" s="3">
        <f t="shared" si="52"/>
        <v>3.712636813542463E-2</v>
      </c>
      <c r="AF171" s="3">
        <f t="shared" si="52"/>
        <v>3.6247087846131731E-2</v>
      </c>
      <c r="AG171" s="3">
        <f t="shared" si="52"/>
        <v>3.5375431771058383E-2</v>
      </c>
      <c r="AH171" s="3">
        <f t="shared" si="52"/>
        <v>3.4514155442809315E-2</v>
      </c>
      <c r="AI171" s="3">
        <f t="shared" si="52"/>
        <v>3.3665260858854767E-2</v>
      </c>
      <c r="AJ171" s="3">
        <f t="shared" si="52"/>
        <v>3.2830219808725115E-2</v>
      </c>
      <c r="AK171" s="3">
        <f t="shared" si="52"/>
        <v>3.2010101865904222E-2</v>
      </c>
      <c r="AL171" s="3">
        <f t="shared" si="52"/>
        <v>3.1205638607852151E-2</v>
      </c>
      <c r="AM171" s="3">
        <f t="shared" si="52"/>
        <v>3.0417236763027412E-2</v>
      </c>
      <c r="AN171" s="3">
        <f t="shared" si="52"/>
        <v>2.9644935022292512E-2</v>
      </c>
      <c r="AO171" s="3">
        <f t="shared" si="52"/>
        <v>2.8888284832741386E-2</v>
      </c>
      <c r="AP171" s="3">
        <f t="shared" si="52"/>
        <v>2.8146102473535998E-2</v>
      </c>
      <c r="AQ171" s="3">
        <f t="shared" si="52"/>
        <v>2.74160144056361E-2</v>
      </c>
      <c r="AR171" s="3">
        <f t="shared" si="52"/>
        <v>2.6693626831203732E-2</v>
      </c>
      <c r="AS171" s="3">
        <f t="shared" si="52"/>
        <v>2.5971047235691658E-2</v>
      </c>
      <c r="AT171" s="3">
        <f t="shared" si="52"/>
        <v>2.5234259013393504E-2</v>
      </c>
      <c r="AU171" s="3">
        <f t="shared" si="52"/>
        <v>2.445847073330213E-2</v>
      </c>
    </row>
    <row r="172" spans="1:124" ht="21" customHeight="1" x14ac:dyDescent="0.35"/>
    <row r="173" spans="1:124" ht="21" customHeight="1" x14ac:dyDescent="0.35"/>
    <row r="174" spans="1:124" ht="21" customHeight="1" x14ac:dyDescent="0.35"/>
    <row r="175" spans="1:124" ht="21" customHeight="1" x14ac:dyDescent="0.35"/>
    <row r="176" spans="1:124" ht="21" customHeight="1" x14ac:dyDescent="0.35"/>
    <row r="177" ht="21" customHeight="1" x14ac:dyDescent="0.35"/>
    <row r="178" ht="21" customHeight="1" x14ac:dyDescent="0.35"/>
    <row r="179" ht="21" customHeight="1" x14ac:dyDescent="0.35"/>
    <row r="180" ht="21" customHeight="1" x14ac:dyDescent="0.35"/>
    <row r="181" ht="21" customHeight="1" x14ac:dyDescent="0.35"/>
    <row r="182" ht="21" customHeight="1" x14ac:dyDescent="0.35"/>
    <row r="183" ht="21" customHeight="1" x14ac:dyDescent="0.35"/>
    <row r="184" ht="21" customHeight="1" x14ac:dyDescent="0.35"/>
    <row r="185" ht="21" customHeight="1" x14ac:dyDescent="0.35"/>
    <row r="186" ht="21" customHeight="1" x14ac:dyDescent="0.35"/>
    <row r="187" ht="21" customHeight="1" x14ac:dyDescent="0.35"/>
    <row r="188" ht="21" customHeight="1" x14ac:dyDescent="0.35"/>
    <row r="189" ht="21" customHeight="1" x14ac:dyDescent="0.35"/>
    <row r="190" ht="21" customHeight="1" x14ac:dyDescent="0.35"/>
    <row r="191" ht="21" customHeight="1" x14ac:dyDescent="0.35"/>
    <row r="192" ht="21" customHeight="1" x14ac:dyDescent="0.35"/>
    <row r="193" spans="1:123" ht="21" customHeight="1" x14ac:dyDescent="0.35"/>
    <row r="194" spans="1:123" ht="21" customHeight="1" x14ac:dyDescent="0.35"/>
    <row r="195" spans="1:123" ht="21" customHeight="1" x14ac:dyDescent="0.35"/>
    <row r="196" spans="1:123" ht="21" customHeight="1" x14ac:dyDescent="0.35"/>
    <row r="197" spans="1:123" ht="21" customHeight="1" x14ac:dyDescent="0.35"/>
    <row r="198" spans="1:123" ht="21" customHeight="1" x14ac:dyDescent="0.35"/>
    <row r="199" spans="1:123" ht="21" customHeight="1" x14ac:dyDescent="0.35"/>
    <row r="200" spans="1:123" ht="21" customHeight="1" x14ac:dyDescent="0.35"/>
    <row r="201" spans="1:123" ht="21" customHeight="1" x14ac:dyDescent="0.35"/>
    <row r="202" spans="1:123" ht="21" customHeight="1" x14ac:dyDescent="0.35"/>
    <row r="203" spans="1:123" ht="21" customHeight="1" x14ac:dyDescent="0.35"/>
    <row r="204" spans="1:123" ht="21" customHeight="1" x14ac:dyDescent="0.35"/>
    <row r="205" spans="1:123" ht="21" customHeight="1" x14ac:dyDescent="0.35"/>
    <row r="206" spans="1:123" ht="21" customHeight="1" x14ac:dyDescent="0.35"/>
    <row r="207" spans="1:123" ht="21" customHeight="1" x14ac:dyDescent="0.35"/>
    <row r="208" spans="1:123" s="25" customFormat="1" ht="15" thickBot="1" x14ac:dyDescent="0.4">
      <c r="A208" s="100" t="s">
        <v>119</v>
      </c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3"/>
      <c r="CE208" s="3"/>
      <c r="CF208" s="3"/>
      <c r="CG208" s="3"/>
      <c r="CH208" s="3"/>
      <c r="CI208" s="3"/>
      <c r="CJ208" s="3"/>
      <c r="CK208" s="3"/>
      <c r="CL208" s="3"/>
      <c r="CM208" s="3"/>
      <c r="CN208" s="3"/>
      <c r="CO208" s="3"/>
      <c r="CP208" s="3"/>
      <c r="CQ208" s="3"/>
      <c r="CR208" s="3"/>
      <c r="CS208" s="3"/>
      <c r="CT208" s="3"/>
      <c r="CU208" s="3"/>
      <c r="CV208" s="3"/>
      <c r="CW208" s="3"/>
      <c r="CX208" s="3"/>
      <c r="CY208" s="3"/>
      <c r="CZ208" s="3"/>
      <c r="DA208" s="3"/>
      <c r="DB208" s="3"/>
      <c r="DC208" s="3"/>
      <c r="DD208" s="3"/>
      <c r="DE208" s="3"/>
      <c r="DF208" s="3"/>
      <c r="DG208" s="3"/>
      <c r="DH208" s="3"/>
      <c r="DI208" s="3"/>
      <c r="DJ208" s="3"/>
      <c r="DK208" s="3"/>
      <c r="DL208" s="3"/>
      <c r="DM208" s="3"/>
      <c r="DN208" s="3"/>
      <c r="DO208" s="3"/>
      <c r="DP208" s="3"/>
      <c r="DQ208" s="3"/>
      <c r="DR208" s="3"/>
      <c r="DS208" s="3"/>
    </row>
    <row r="209" spans="1:124" s="22" customFormat="1" ht="15" thickTop="1" x14ac:dyDescent="0.35">
      <c r="A209" s="101" t="s">
        <v>198</v>
      </c>
      <c r="B209" s="21">
        <v>1E-3</v>
      </c>
      <c r="C209" s="21">
        <v>1E-3</v>
      </c>
      <c r="D209" s="21">
        <v>1E-3</v>
      </c>
      <c r="E209" s="21">
        <v>1E-3</v>
      </c>
      <c r="F209" s="21">
        <v>1E-3</v>
      </c>
      <c r="G209" s="21">
        <v>1E-3</v>
      </c>
      <c r="H209" s="21">
        <v>1E-3</v>
      </c>
      <c r="I209" s="21">
        <v>1E-3</v>
      </c>
      <c r="J209" s="21">
        <v>1E-3</v>
      </c>
      <c r="K209" s="21">
        <v>1E-3</v>
      </c>
      <c r="L209" s="21">
        <v>1E-3</v>
      </c>
      <c r="M209" s="21">
        <v>1E-3</v>
      </c>
      <c r="N209" s="21">
        <v>1E-3</v>
      </c>
      <c r="O209" s="21">
        <v>1E-3</v>
      </c>
      <c r="P209" s="21">
        <v>1E-3</v>
      </c>
      <c r="Q209" s="21">
        <v>1E-3</v>
      </c>
      <c r="R209" s="21">
        <v>1E-3</v>
      </c>
      <c r="S209" s="21">
        <v>1E-3</v>
      </c>
      <c r="T209" s="21">
        <v>1E-3</v>
      </c>
      <c r="U209" s="21">
        <v>1E-3</v>
      </c>
      <c r="V209" s="21">
        <v>1E-3</v>
      </c>
      <c r="W209" s="21">
        <v>1E-3</v>
      </c>
      <c r="X209" s="21">
        <v>1E-3</v>
      </c>
      <c r="Y209" s="21">
        <v>1E-3</v>
      </c>
      <c r="Z209" s="21">
        <v>1E-3</v>
      </c>
      <c r="AA209" s="21">
        <v>1E-3</v>
      </c>
      <c r="AB209" s="21">
        <v>1E-3</v>
      </c>
      <c r="AC209" s="21">
        <v>1E-3</v>
      </c>
      <c r="AD209" s="21">
        <v>1E-3</v>
      </c>
      <c r="AE209" s="21">
        <v>1E-3</v>
      </c>
      <c r="AF209" s="21">
        <v>1E-3</v>
      </c>
      <c r="AG209" s="21">
        <v>1E-3</v>
      </c>
      <c r="AH209" s="21">
        <v>1E-3</v>
      </c>
      <c r="AI209" s="21">
        <v>1E-3</v>
      </c>
      <c r="AJ209" s="21">
        <v>1E-3</v>
      </c>
      <c r="AK209" s="21">
        <v>1E-3</v>
      </c>
      <c r="AL209" s="21">
        <v>1E-3</v>
      </c>
      <c r="AM209" s="21">
        <v>1E-3</v>
      </c>
      <c r="AN209" s="21">
        <v>1E-3</v>
      </c>
      <c r="AO209" s="21">
        <v>1E-3</v>
      </c>
      <c r="AP209" s="21">
        <v>1E-3</v>
      </c>
      <c r="AQ209" s="21">
        <v>1E-3</v>
      </c>
      <c r="AR209" s="21">
        <v>1E-3</v>
      </c>
      <c r="AS209" s="21">
        <v>1E-3</v>
      </c>
      <c r="AT209" s="21">
        <v>1E-3</v>
      </c>
      <c r="AU209" s="21">
        <v>1E-3</v>
      </c>
      <c r="AV209" s="21">
        <v>1E-3</v>
      </c>
      <c r="AW209" s="21">
        <v>1E-3</v>
      </c>
      <c r="AX209" s="21">
        <v>1E-3</v>
      </c>
      <c r="AY209" s="21">
        <v>1E-3</v>
      </c>
      <c r="AZ209" s="21">
        <v>1E-3</v>
      </c>
      <c r="BA209" s="21">
        <v>1E-3</v>
      </c>
      <c r="BB209" s="21">
        <v>1E-3</v>
      </c>
      <c r="BC209" s="21">
        <v>1E-3</v>
      </c>
      <c r="BD209" s="21">
        <v>1E-3</v>
      </c>
      <c r="BE209" s="21">
        <v>1E-3</v>
      </c>
      <c r="BF209" s="21">
        <v>1E-3</v>
      </c>
      <c r="BG209" s="21">
        <v>1E-3</v>
      </c>
      <c r="BH209" s="21">
        <v>1E-3</v>
      </c>
      <c r="BI209" s="21">
        <v>1E-3</v>
      </c>
      <c r="BJ209" s="21"/>
      <c r="BK209" s="21"/>
      <c r="BL209" s="21"/>
      <c r="BM209" s="21"/>
      <c r="BN209" s="21"/>
      <c r="BO209" s="21"/>
      <c r="BP209" s="21"/>
      <c r="BQ209" s="21"/>
      <c r="BR209" s="21"/>
      <c r="BS209" s="21"/>
      <c r="BT209" s="21"/>
      <c r="BU209" s="21"/>
      <c r="BV209" s="21"/>
      <c r="BW209" s="21"/>
      <c r="BX209" s="21"/>
      <c r="BY209" s="21"/>
      <c r="BZ209" s="21"/>
      <c r="CA209" s="21"/>
      <c r="CB209" s="21"/>
      <c r="CC209" s="21"/>
      <c r="CD209" s="21"/>
      <c r="CE209" s="21"/>
      <c r="CF209" s="21"/>
      <c r="CG209" s="21"/>
      <c r="CH209" s="21"/>
      <c r="CI209" s="21"/>
      <c r="CJ209" s="21"/>
      <c r="CK209" s="21"/>
      <c r="CL209" s="21"/>
      <c r="CM209" s="21"/>
      <c r="CN209" s="21"/>
      <c r="CO209" s="21"/>
      <c r="CP209" s="21"/>
      <c r="CQ209" s="21"/>
      <c r="CR209" s="21"/>
      <c r="CS209" s="21"/>
      <c r="CT209" s="21"/>
      <c r="CU209" s="21"/>
      <c r="CV209" s="21"/>
      <c r="CW209" s="21"/>
      <c r="CX209" s="21"/>
      <c r="CY209" s="21"/>
      <c r="CZ209" s="21"/>
      <c r="DA209" s="21"/>
      <c r="DB209" s="21"/>
      <c r="DC209" s="21"/>
      <c r="DD209" s="21"/>
      <c r="DE209" s="21"/>
      <c r="DF209" s="21"/>
      <c r="DG209" s="21"/>
      <c r="DH209" s="21"/>
      <c r="DI209" s="21"/>
      <c r="DJ209" s="21"/>
      <c r="DK209" s="21"/>
      <c r="DL209" s="21"/>
      <c r="DM209" s="21"/>
      <c r="DN209" s="21"/>
      <c r="DO209" s="21"/>
      <c r="DP209" s="21"/>
      <c r="DQ209" s="21"/>
      <c r="DR209" s="21"/>
      <c r="DS209" s="21"/>
      <c r="DT209" s="21"/>
    </row>
    <row r="210" spans="1:124" ht="15" thickBot="1" x14ac:dyDescent="0.4">
      <c r="A210" s="100" t="s">
        <v>200</v>
      </c>
    </row>
    <row r="211" spans="1:124" s="22" customFormat="1" ht="15" thickTop="1" x14ac:dyDescent="0.35">
      <c r="A211" s="101" t="s">
        <v>198</v>
      </c>
      <c r="B211" s="21">
        <v>1</v>
      </c>
      <c r="C211" s="21">
        <v>45.965855418031836</v>
      </c>
      <c r="D211" s="21">
        <v>52.885784424251824</v>
      </c>
      <c r="E211" s="21">
        <v>60.482621376901378</v>
      </c>
      <c r="F211" s="21">
        <v>68.665218038893585</v>
      </c>
      <c r="G211" s="21">
        <v>77.436213167367043</v>
      </c>
      <c r="H211" s="21">
        <v>86.819274290457599</v>
      </c>
      <c r="I211" s="21">
        <v>97.007845242953138</v>
      </c>
      <c r="J211" s="21">
        <v>108.12682434979411</v>
      </c>
      <c r="K211" s="21">
        <v>120.20402576864771</v>
      </c>
      <c r="L211" s="21">
        <v>133.29285806404164</v>
      </c>
      <c r="M211" s="21">
        <v>147.4641592947408</v>
      </c>
      <c r="N211" s="21">
        <v>162.80409495623982</v>
      </c>
      <c r="O211" s="21">
        <v>179.41372739879699</v>
      </c>
      <c r="P211" s="21">
        <v>197.40295077064025</v>
      </c>
      <c r="Q211" s="21">
        <v>216.8803867094727</v>
      </c>
      <c r="R211" s="21">
        <v>237.92799095042452</v>
      </c>
      <c r="S211" s="21">
        <v>260.57981244098761</v>
      </c>
      <c r="T211" s="21">
        <v>264.01915693948979</v>
      </c>
      <c r="U211" s="21">
        <v>260.5687288350781</v>
      </c>
      <c r="V211" s="21">
        <v>257.2045532284734</v>
      </c>
      <c r="W211" s="21">
        <v>253.92447437444153</v>
      </c>
      <c r="X211" s="21">
        <v>250.7263902738124</v>
      </c>
      <c r="Y211" s="21">
        <v>247.60825128783776</v>
      </c>
      <c r="Z211" s="21">
        <v>244.5680588676432</v>
      </c>
      <c r="AA211" s="21">
        <v>244.5680588676432</v>
      </c>
      <c r="AB211" s="21">
        <v>244.5680588676432</v>
      </c>
      <c r="AC211" s="21">
        <v>244.5680588676432</v>
      </c>
      <c r="AD211" s="21">
        <v>244.5680588676432</v>
      </c>
      <c r="AE211" s="21">
        <v>244.5680588676432</v>
      </c>
      <c r="AF211" s="21">
        <v>244.5680588676432</v>
      </c>
      <c r="AG211" s="21">
        <v>244.5680588676432</v>
      </c>
      <c r="AH211" s="21">
        <v>244.5680588676432</v>
      </c>
      <c r="AI211" s="21">
        <v>244.5680588676432</v>
      </c>
      <c r="AJ211" s="21">
        <v>244.5680588676432</v>
      </c>
      <c r="AK211" s="21">
        <v>244.5680588676432</v>
      </c>
      <c r="AL211" s="21">
        <v>244.5680588676432</v>
      </c>
      <c r="AM211" s="21">
        <v>244.5680588676432</v>
      </c>
      <c r="AN211" s="21">
        <v>244.5680588676432</v>
      </c>
      <c r="AO211" s="21">
        <v>244.5680588676432</v>
      </c>
      <c r="AP211" s="21">
        <v>244.5680588676432</v>
      </c>
      <c r="AQ211" s="21">
        <v>244.5680588676432</v>
      </c>
      <c r="AR211" s="21">
        <v>244.5680588676432</v>
      </c>
      <c r="AS211" s="21">
        <v>244.5680588676432</v>
      </c>
      <c r="AT211" s="21">
        <v>244.5680588676432</v>
      </c>
      <c r="AU211" s="21">
        <v>244.5680588676432</v>
      </c>
      <c r="AV211" s="21">
        <v>244.5680588676432</v>
      </c>
      <c r="AW211" s="21">
        <v>244.5680588676432</v>
      </c>
      <c r="AX211" s="21">
        <v>244.5680588676432</v>
      </c>
      <c r="AY211" s="21">
        <v>244.5680588676432</v>
      </c>
      <c r="AZ211" s="21">
        <v>244.5680588676432</v>
      </c>
      <c r="BA211" s="21">
        <v>244.5680588676432</v>
      </c>
      <c r="BB211" s="21">
        <v>244.5680588676432</v>
      </c>
      <c r="BC211" s="21">
        <v>244.5680588676432</v>
      </c>
      <c r="BD211" s="21">
        <v>244.5680588676432</v>
      </c>
      <c r="BE211" s="21">
        <v>244.5680588676432</v>
      </c>
      <c r="BF211" s="21">
        <v>244.5680588676432</v>
      </c>
      <c r="BG211" s="21">
        <v>244.5680588676432</v>
      </c>
      <c r="BH211" s="21">
        <v>244.5680588676432</v>
      </c>
      <c r="BI211" s="21">
        <v>244.5680588676432</v>
      </c>
      <c r="BJ211" s="21"/>
      <c r="BK211" s="21"/>
      <c r="BL211" s="21"/>
      <c r="BM211" s="21"/>
      <c r="BN211" s="21"/>
      <c r="BO211" s="21"/>
      <c r="BP211" s="21"/>
      <c r="BQ211" s="21"/>
      <c r="BR211" s="21"/>
      <c r="BS211" s="21"/>
      <c r="BT211" s="21"/>
      <c r="BU211" s="21"/>
      <c r="BV211" s="21"/>
      <c r="BW211" s="21"/>
      <c r="BX211" s="21"/>
      <c r="BY211" s="21"/>
      <c r="BZ211" s="21"/>
      <c r="CA211" s="21"/>
      <c r="CB211" s="21"/>
      <c r="CC211" s="21"/>
      <c r="CD211" s="21"/>
      <c r="CE211" s="21"/>
      <c r="CF211" s="21"/>
      <c r="CG211" s="21"/>
      <c r="CH211" s="21"/>
      <c r="CI211" s="21"/>
      <c r="CJ211" s="21"/>
      <c r="CK211" s="21"/>
      <c r="CL211" s="21"/>
      <c r="CM211" s="21"/>
      <c r="CN211" s="21"/>
      <c r="CO211" s="21"/>
      <c r="CP211" s="21"/>
      <c r="CQ211" s="21"/>
      <c r="CR211" s="21"/>
      <c r="CS211" s="21"/>
      <c r="CT211" s="21"/>
      <c r="CU211" s="21"/>
      <c r="CV211" s="21"/>
      <c r="CW211" s="21"/>
      <c r="CX211" s="21"/>
      <c r="CY211" s="21"/>
      <c r="CZ211" s="21"/>
      <c r="DA211" s="21"/>
      <c r="DB211" s="21"/>
      <c r="DC211" s="21"/>
      <c r="DD211" s="21"/>
      <c r="DE211" s="21"/>
      <c r="DF211" s="21"/>
      <c r="DG211" s="21"/>
      <c r="DH211" s="21"/>
      <c r="DI211" s="21"/>
      <c r="DJ211" s="21"/>
      <c r="DK211" s="21"/>
      <c r="DL211" s="21"/>
      <c r="DM211" s="21"/>
      <c r="DN211" s="21"/>
      <c r="DO211" s="21"/>
      <c r="DP211" s="21"/>
      <c r="DQ211" s="21"/>
      <c r="DR211" s="21"/>
      <c r="DS211" s="21"/>
      <c r="DT211" s="21"/>
    </row>
    <row r="212" spans="1:124" s="25" customFormat="1" ht="15" thickBot="1" x14ac:dyDescent="0.4">
      <c r="A212" s="100" t="s">
        <v>199</v>
      </c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  <c r="CA212" s="3"/>
      <c r="CB212" s="3"/>
      <c r="CC212" s="3"/>
      <c r="CD212" s="3"/>
      <c r="CE212" s="3"/>
      <c r="CF212" s="3"/>
      <c r="CG212" s="3"/>
      <c r="CH212" s="3"/>
      <c r="CI212" s="3"/>
      <c r="CJ212" s="3"/>
      <c r="CK212" s="3"/>
      <c r="CL212" s="3"/>
      <c r="CM212" s="3"/>
      <c r="CN212" s="3"/>
      <c r="CO212" s="3"/>
      <c r="CP212" s="3"/>
      <c r="CQ212" s="3"/>
      <c r="CR212" s="3"/>
      <c r="CS212" s="3"/>
      <c r="CT212" s="3"/>
      <c r="CU212" s="3"/>
      <c r="CV212" s="3"/>
      <c r="CW212" s="3"/>
      <c r="CX212" s="3"/>
      <c r="CY212" s="3"/>
      <c r="CZ212" s="3"/>
      <c r="DA212" s="3"/>
      <c r="DB212" s="3"/>
      <c r="DC212" s="3"/>
      <c r="DD212" s="3"/>
      <c r="DE212" s="3"/>
      <c r="DF212" s="3"/>
      <c r="DG212" s="3"/>
      <c r="DH212" s="3"/>
      <c r="DI212" s="3"/>
      <c r="DJ212" s="3"/>
      <c r="DK212" s="3"/>
      <c r="DL212" s="3"/>
      <c r="DM212" s="3"/>
      <c r="DN212" s="3"/>
      <c r="DO212" s="3"/>
      <c r="DP212" s="3"/>
      <c r="DQ212" s="3"/>
      <c r="DR212" s="3"/>
      <c r="DS212" s="3"/>
      <c r="DT212" s="3"/>
    </row>
    <row r="213" spans="1:124" s="22" customFormat="1" ht="15" thickTop="1" x14ac:dyDescent="0.35">
      <c r="A213" s="101" t="s">
        <v>198</v>
      </c>
      <c r="B213" s="21">
        <v>1</v>
      </c>
      <c r="C213" s="21">
        <v>35.155481751481716</v>
      </c>
      <c r="D213" s="21">
        <v>44.332282374749177</v>
      </c>
      <c r="E213" s="21">
        <v>55.52901374640512</v>
      </c>
      <c r="F213" s="21">
        <v>69.121567096942428</v>
      </c>
      <c r="G213" s="21">
        <v>85.567382136243751</v>
      </c>
      <c r="H213" s="21">
        <v>105.65996338931656</v>
      </c>
      <c r="I213" s="21">
        <v>130.45068993725823</v>
      </c>
      <c r="J213" s="21">
        <v>161.44727845162271</v>
      </c>
      <c r="K213" s="21">
        <v>200.16812854747508</v>
      </c>
      <c r="L213" s="21">
        <v>248.46508219287259</v>
      </c>
      <c r="M213" s="21">
        <v>291</v>
      </c>
      <c r="N213" s="21">
        <v>289</v>
      </c>
      <c r="O213" s="21">
        <v>297.85766994708598</v>
      </c>
      <c r="P213" s="21">
        <v>290.73542023432384</v>
      </c>
      <c r="Q213" s="21">
        <v>321.96493961973624</v>
      </c>
      <c r="R213" s="21">
        <v>285.95533933101092</v>
      </c>
      <c r="S213" s="21">
        <v>273.6138942404549</v>
      </c>
      <c r="T213" s="21">
        <v>305.71192638335839</v>
      </c>
      <c r="U213" s="21">
        <v>261.30466001826568</v>
      </c>
      <c r="V213" s="21">
        <v>204.04197460433676</v>
      </c>
      <c r="W213" s="21">
        <v>200.13987587411992</v>
      </c>
      <c r="X213" s="21">
        <v>216.98742013606164</v>
      </c>
      <c r="Y213" s="21">
        <v>216.98742013606164</v>
      </c>
      <c r="Z213" s="21">
        <v>300</v>
      </c>
      <c r="AA213" s="21">
        <v>209.66102603523055</v>
      </c>
      <c r="AB213" s="21">
        <v>212.25067459590824</v>
      </c>
      <c r="AC213" s="21">
        <v>213.56558978268362</v>
      </c>
      <c r="AD213" s="21">
        <v>213.56558978268362</v>
      </c>
      <c r="AE213" s="21">
        <v>213.56558978268362</v>
      </c>
      <c r="AF213" s="21">
        <v>213.56558978268362</v>
      </c>
      <c r="AG213" s="21">
        <v>213.56558978268362</v>
      </c>
      <c r="AH213" s="21">
        <v>213.56558978268362</v>
      </c>
      <c r="AI213" s="21">
        <v>213.56558978268362</v>
      </c>
      <c r="AJ213" s="21">
        <v>213.56558978268362</v>
      </c>
      <c r="AK213" s="21">
        <v>213.56558978268362</v>
      </c>
      <c r="AL213" s="21">
        <v>213.56558978268362</v>
      </c>
      <c r="AM213" s="21">
        <v>213.56558978268362</v>
      </c>
      <c r="AN213" s="21">
        <v>213.56558978268362</v>
      </c>
      <c r="AO213" s="21">
        <v>213.56558978268362</v>
      </c>
      <c r="AP213" s="21">
        <v>213.56558978268362</v>
      </c>
      <c r="AQ213" s="21">
        <v>213.56558978268362</v>
      </c>
      <c r="AR213" s="21">
        <v>213.56558978268362</v>
      </c>
      <c r="AS213" s="21">
        <v>213.56558978268362</v>
      </c>
      <c r="AT213" s="21">
        <v>213.56558978268362</v>
      </c>
      <c r="AU213" s="21">
        <v>213.56558978268362</v>
      </c>
      <c r="AV213" s="21">
        <v>213.56558978268362</v>
      </c>
      <c r="AW213" s="21">
        <v>213.56558978268362</v>
      </c>
      <c r="AX213" s="21">
        <v>301.30110664013489</v>
      </c>
      <c r="AY213" s="21">
        <v>200.41389669519512</v>
      </c>
      <c r="AZ213" s="21">
        <v>100.20694834759756</v>
      </c>
      <c r="BA213" s="21">
        <v>50.10347417379878</v>
      </c>
      <c r="BB213" s="21">
        <v>25.05173708689939</v>
      </c>
      <c r="BC213" s="21">
        <v>12.525868543449695</v>
      </c>
      <c r="BD213" s="21">
        <v>6.2629342717248475</v>
      </c>
      <c r="BE213" s="21">
        <v>3.1314671358624238</v>
      </c>
      <c r="BF213" s="21">
        <v>1.5657335679312119</v>
      </c>
      <c r="BG213" s="21">
        <v>0.78286678396560594</v>
      </c>
      <c r="BH213" s="21">
        <v>0.39143339198280297</v>
      </c>
      <c r="BI213" s="21">
        <v>0.19571669599140148</v>
      </c>
      <c r="BJ213" s="21"/>
      <c r="BK213" s="21"/>
      <c r="BL213" s="21"/>
      <c r="BM213" s="21"/>
      <c r="BN213" s="21"/>
      <c r="BO213" s="21"/>
      <c r="BP213" s="21"/>
      <c r="BQ213" s="21"/>
      <c r="BR213" s="21"/>
      <c r="BS213" s="21"/>
      <c r="BT213" s="21"/>
      <c r="BU213" s="21"/>
      <c r="BV213" s="21"/>
      <c r="BW213" s="21"/>
      <c r="BX213" s="21"/>
      <c r="BY213" s="21"/>
      <c r="BZ213" s="21"/>
      <c r="CA213" s="21"/>
      <c r="CB213" s="21"/>
      <c r="CC213" s="21"/>
      <c r="CD213" s="21"/>
      <c r="CE213" s="21"/>
      <c r="CF213" s="21"/>
      <c r="CG213" s="21"/>
      <c r="CH213" s="21"/>
      <c r="CI213" s="21"/>
      <c r="CJ213" s="21"/>
      <c r="CK213" s="21"/>
      <c r="CL213" s="21"/>
      <c r="CM213" s="21"/>
      <c r="CN213" s="21"/>
      <c r="CO213" s="21"/>
      <c r="CP213" s="21"/>
      <c r="CQ213" s="21"/>
      <c r="CR213" s="21"/>
      <c r="CS213" s="21"/>
      <c r="CT213" s="21"/>
      <c r="CU213" s="21"/>
      <c r="CV213" s="21"/>
      <c r="CW213" s="21"/>
      <c r="CX213" s="21"/>
      <c r="CY213" s="21"/>
      <c r="CZ213" s="21"/>
      <c r="DA213" s="21"/>
      <c r="DB213" s="21"/>
      <c r="DC213" s="21"/>
      <c r="DD213" s="21"/>
      <c r="DE213" s="21"/>
      <c r="DF213" s="21"/>
      <c r="DG213" s="21"/>
      <c r="DH213" s="21"/>
      <c r="DI213" s="21"/>
      <c r="DJ213" s="21"/>
      <c r="DK213" s="21"/>
      <c r="DL213" s="21"/>
      <c r="DM213" s="21"/>
      <c r="DN213" s="21"/>
      <c r="DO213" s="21"/>
      <c r="DP213" s="21"/>
      <c r="DQ213" s="21"/>
      <c r="DR213" s="21"/>
      <c r="DS213" s="21"/>
      <c r="DT213" s="21"/>
    </row>
    <row r="216" spans="1:124" ht="20" thickBot="1" x14ac:dyDescent="0.4">
      <c r="A216" s="95" t="s">
        <v>99</v>
      </c>
      <c r="B216" s="3"/>
    </row>
    <row r="217" spans="1:124" ht="15" thickTop="1" x14ac:dyDescent="0.35">
      <c r="A217" s="92" t="s">
        <v>233</v>
      </c>
      <c r="B217" s="3">
        <f t="shared" ref="B217:AU217" si="53">+B118/B105</f>
        <v>2.124572737974987</v>
      </c>
      <c r="C217" s="3">
        <f t="shared" si="53"/>
        <v>2.1329499629653097</v>
      </c>
      <c r="D217" s="3">
        <f t="shared" si="53"/>
        <v>2.147552884259071</v>
      </c>
      <c r="E217" s="3">
        <f t="shared" si="53"/>
        <v>2.1646704228336189</v>
      </c>
      <c r="F217" s="3">
        <f t="shared" si="53"/>
        <v>2.182599393213545</v>
      </c>
      <c r="G217" s="3">
        <f t="shared" si="53"/>
        <v>2.1997525037464234</v>
      </c>
      <c r="H217" s="3">
        <f t="shared" si="53"/>
        <v>2.2155741751216591</v>
      </c>
      <c r="I217" s="3">
        <f t="shared" si="53"/>
        <v>2.2354738696486653</v>
      </c>
      <c r="J217" s="3">
        <f t="shared" si="53"/>
        <v>2.2523025630451152</v>
      </c>
      <c r="K217" s="3">
        <f t="shared" si="53"/>
        <v>2.2699829682177115</v>
      </c>
      <c r="L217" s="3">
        <f t="shared" si="53"/>
        <v>2.2855044762432049</v>
      </c>
      <c r="M217" s="3">
        <f t="shared" si="53"/>
        <v>2.3017708310941005</v>
      </c>
      <c r="N217" s="3">
        <f t="shared" si="53"/>
        <v>2.3161175132959886</v>
      </c>
      <c r="O217" s="3">
        <f t="shared" si="53"/>
        <v>2.3292471857301615</v>
      </c>
      <c r="P217" s="3">
        <f t="shared" si="53"/>
        <v>2.3415947923807234</v>
      </c>
      <c r="Q217" s="3">
        <f t="shared" si="53"/>
        <v>2.3534963435286285</v>
      </c>
      <c r="R217" s="3">
        <f t="shared" si="53"/>
        <v>2.3651222443030315</v>
      </c>
      <c r="S217" s="3">
        <f t="shared" si="53"/>
        <v>2.3765767797767152</v>
      </c>
      <c r="T217" s="3">
        <f t="shared" si="53"/>
        <v>2.387846726016027</v>
      </c>
      <c r="U217" s="3">
        <f t="shared" si="53"/>
        <v>2.4021268115434733</v>
      </c>
      <c r="V217" s="3">
        <f t="shared" si="53"/>
        <v>2.4149371420708663</v>
      </c>
      <c r="W217" s="3">
        <f t="shared" si="53"/>
        <v>2.4273972626018767</v>
      </c>
      <c r="X217" s="3">
        <f t="shared" si="53"/>
        <v>2.4396613877779911</v>
      </c>
      <c r="Y217" s="3">
        <f t="shared" si="53"/>
        <v>2.4518102407253219</v>
      </c>
      <c r="Z217" s="3">
        <f t="shared" si="53"/>
        <v>2.4638330384514742</v>
      </c>
      <c r="AA217" s="3">
        <f t="shared" si="53"/>
        <v>2.4756571502281566</v>
      </c>
      <c r="AB217" s="3">
        <f t="shared" si="53"/>
        <v>2.4871127253105803</v>
      </c>
      <c r="AC217" s="3">
        <f t="shared" si="53"/>
        <v>2.4988715955049257</v>
      </c>
      <c r="AD217" s="3">
        <f t="shared" si="53"/>
        <v>2.510687147301994</v>
      </c>
      <c r="AE217" s="3">
        <f t="shared" si="53"/>
        <v>2.5224660754006094</v>
      </c>
      <c r="AF217" s="3">
        <f t="shared" si="53"/>
        <v>2.5341395499769761</v>
      </c>
      <c r="AG217" s="3">
        <f t="shared" si="53"/>
        <v>2.5456565334300292</v>
      </c>
      <c r="AH217" s="3">
        <f t="shared" si="53"/>
        <v>2.556979351235146</v>
      </c>
      <c r="AI217" s="3">
        <f t="shared" si="53"/>
        <v>2.5680806208400306</v>
      </c>
      <c r="AJ217" s="3">
        <f t="shared" si="53"/>
        <v>2.5789410110559743</v>
      </c>
      <c r="AK217" s="3">
        <f t="shared" si="53"/>
        <v>2.5895475140201434</v>
      </c>
      <c r="AL217" s="3">
        <f t="shared" si="53"/>
        <v>2.599892020128455</v>
      </c>
      <c r="AM217" s="3">
        <f t="shared" si="53"/>
        <v>2.6099700358498663</v>
      </c>
      <c r="AN217" s="3">
        <f t="shared" si="53"/>
        <v>2.6197793813946619</v>
      </c>
      <c r="AO217" s="3">
        <f t="shared" si="53"/>
        <v>2.6293186642373074</v>
      </c>
      <c r="AP217" s="3">
        <f t="shared" si="53"/>
        <v>2.6385851958969018</v>
      </c>
      <c r="AQ217" s="3">
        <f t="shared" si="53"/>
        <v>2.6475718329032358</v>
      </c>
      <c r="AR217" s="3">
        <f t="shared" si="53"/>
        <v>2.6562618022414735</v>
      </c>
      <c r="AS217" s="3">
        <f t="shared" si="53"/>
        <v>2.6646199006300493</v>
      </c>
      <c r="AT217" s="3">
        <f t="shared" si="53"/>
        <v>2.6725772173778837</v>
      </c>
      <c r="AU217" s="3">
        <f t="shared" si="53"/>
        <v>2.6800043397766302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6</vt:i4>
      </vt:variant>
    </vt:vector>
  </HeadingPairs>
  <TitlesOfParts>
    <vt:vector size="15" baseType="lpstr">
      <vt:lpstr>Version notes</vt:lpstr>
      <vt:lpstr>Parameters</vt:lpstr>
      <vt:lpstr>Graphs</vt:lpstr>
      <vt:lpstr>Base</vt:lpstr>
      <vt:lpstr>Opttax</vt:lpstr>
      <vt:lpstr>Limt2</vt:lpstr>
      <vt:lpstr>stern</vt:lpstr>
      <vt:lpstr>sterncalib</vt:lpstr>
      <vt:lpstr>Copen</vt:lpstr>
      <vt:lpstr>Base</vt:lpstr>
      <vt:lpstr>Copen</vt:lpstr>
      <vt:lpstr>LimTwo</vt:lpstr>
      <vt:lpstr>Optimal</vt:lpstr>
      <vt:lpstr>Stern</vt:lpstr>
      <vt:lpstr>SternCalib</vt:lpstr>
    </vt:vector>
  </TitlesOfParts>
  <Company>Yale University Department of Economics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BillN</cp:lastModifiedBy>
  <cp:lastPrinted>2012-06-05T16:15:05Z</cp:lastPrinted>
  <dcterms:created xsi:type="dcterms:W3CDTF">1999-01-07T15:40:04Z</dcterms:created>
  <dcterms:modified xsi:type="dcterms:W3CDTF">2014-04-21T14:09:47Z</dcterms:modified>
</cp:coreProperties>
</file>